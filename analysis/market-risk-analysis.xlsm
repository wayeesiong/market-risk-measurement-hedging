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Ex1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wayee\OneDrive\Desktop\April 2025\Risk Management\Assignment\Work\"/>
    </mc:Choice>
  </mc:AlternateContent>
  <xr:revisionPtr revIDLastSave="0" documentId="13_ncr:1_{A80194B1-5A6E-4ACA-B20B-8274812A374E}" xr6:coauthVersionLast="47" xr6:coauthVersionMax="47" xr10:uidLastSave="{00000000-0000-0000-0000-000000000000}"/>
  <bookViews>
    <workbookView xWindow="-108" yWindow="-108" windowWidth="23256" windowHeight="12456" tabRatio="799" firstSheet="6" activeTab="12" xr2:uid="{00000000-000D-0000-FFFF-FFFF00000000}"/>
  </bookViews>
  <sheets>
    <sheet name="Data" sheetId="1" r:id="rId1"/>
    <sheet name="Market Holidays" sheetId="25" r:id="rId2"/>
    <sheet name="Hang Seng Index Beta" sheetId="15" r:id="rId3"/>
    <sheet name="FTSE China 50 Beta" sheetId="20" r:id="rId4"/>
    <sheet name="HS Tech Beta" sheetId="21" r:id="rId5"/>
    <sheet name="Hang Seng CEI Beta" sheetId="22" r:id="rId6"/>
    <sheet name="Hang Seng CCI Beta" sheetId="23" r:id="rId7"/>
    <sheet name="Portfolio Beta" sheetId="24" r:id="rId8"/>
    <sheet name="$ Portfolio Loss" sheetId="13" r:id="rId9"/>
    <sheet name="$ Portfolio VaR" sheetId="10" r:id="rId10"/>
    <sheet name="$ Portfolio VaR monte carlo" sheetId="14" r:id="rId11"/>
    <sheet name="Portfolio VaR and ES Analysis" sheetId="26" r:id="rId12"/>
    <sheet name="Hedging Outcome" sheetId="27" r:id="rId13"/>
  </sheets>
  <definedNames>
    <definedName name="_xlnm._FilterDatabase" localSheetId="7" hidden="1">'Portfolio Beta'!$N$1:$N$645</definedName>
    <definedName name="_xlchart.v1.0" hidden="1">'$ Portfolio Loss'!$O$4</definedName>
    <definedName name="_xlchart.v1.1" hidden="1">'$ Portfolio Loss'!$O$5:$O$319</definedName>
    <definedName name="_xlchart.v1.2" hidden="1">'$ Portfolio VaR monte carlo'!$R$4:$R$1003</definedName>
    <definedName name="solver_eng" localSheetId="6" hidden="1">1</definedName>
    <definedName name="solver_eng" localSheetId="5" hidden="1">1</definedName>
    <definedName name="solver_neg" localSheetId="6" hidden="1">1</definedName>
    <definedName name="solver_neg" localSheetId="5" hidden="1">1</definedName>
    <definedName name="solver_num" localSheetId="6" hidden="1">0</definedName>
    <definedName name="solver_num" localSheetId="5" hidden="1">0</definedName>
    <definedName name="solver_opt" localSheetId="6" hidden="1">'Hang Seng CCI Beta'!$K$8</definedName>
    <definedName name="solver_opt" localSheetId="5" hidden="1">'Hang Seng CEI Beta'!$K$8</definedName>
    <definedName name="solver_typ" localSheetId="6" hidden="1">1</definedName>
    <definedName name="solver_typ" localSheetId="5" hidden="1">1</definedName>
    <definedName name="solver_val" localSheetId="6" hidden="1">0</definedName>
    <definedName name="solver_val" localSheetId="5" hidden="1">0</definedName>
    <definedName name="solver_ver" localSheetId="6" hidden="1">3</definedName>
    <definedName name="solver_ver" localSheetId="5" hidden="1">3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26" l="1"/>
  <c r="B2" i="26"/>
  <c r="C24" i="10"/>
  <c r="R7" i="14"/>
  <c r="B16" i="13"/>
  <c r="B25" i="10" l="1"/>
  <c r="U28" i="24" l="1"/>
  <c r="S28" i="24"/>
  <c r="L28" i="23"/>
  <c r="L28" i="22"/>
  <c r="L28" i="21"/>
  <c r="L28" i="20"/>
  <c r="L28" i="15"/>
  <c r="R6" i="24"/>
  <c r="R5" i="24"/>
  <c r="K3" i="23"/>
  <c r="K2" i="23"/>
  <c r="K3" i="22"/>
  <c r="K2" i="22"/>
  <c r="K3" i="20"/>
  <c r="K2" i="20"/>
  <c r="K3" i="15"/>
  <c r="K2" i="15"/>
  <c r="U2" i="1"/>
  <c r="U3" i="1"/>
  <c r="R2" i="24"/>
  <c r="R3" i="24"/>
  <c r="H317" i="24"/>
  <c r="H316" i="24"/>
  <c r="H315" i="24"/>
  <c r="H314" i="24"/>
  <c r="H313" i="24"/>
  <c r="H312" i="24"/>
  <c r="H311" i="24"/>
  <c r="H310" i="24"/>
  <c r="H309" i="24"/>
  <c r="H308" i="24"/>
  <c r="H307" i="24"/>
  <c r="H306" i="24"/>
  <c r="H305" i="24"/>
  <c r="H304" i="24"/>
  <c r="H303" i="24"/>
  <c r="H302" i="24"/>
  <c r="H301" i="24"/>
  <c r="H300" i="24"/>
  <c r="H299" i="24"/>
  <c r="H298" i="24"/>
  <c r="H297" i="24"/>
  <c r="H296" i="24"/>
  <c r="H295" i="24"/>
  <c r="H294" i="24"/>
  <c r="H293" i="24"/>
  <c r="H292" i="24"/>
  <c r="H291" i="24"/>
  <c r="H290" i="24"/>
  <c r="H289" i="24"/>
  <c r="H288" i="24"/>
  <c r="H287" i="24"/>
  <c r="H286" i="24"/>
  <c r="H285" i="24"/>
  <c r="H284" i="24"/>
  <c r="H283" i="24"/>
  <c r="H282" i="24"/>
  <c r="H281" i="24"/>
  <c r="H280" i="24"/>
  <c r="H279" i="24"/>
  <c r="H278" i="24"/>
  <c r="H277" i="24"/>
  <c r="H276" i="24"/>
  <c r="H275" i="24"/>
  <c r="H274" i="24"/>
  <c r="H273" i="24"/>
  <c r="H272" i="24"/>
  <c r="H271" i="24"/>
  <c r="H270" i="24"/>
  <c r="H269" i="24"/>
  <c r="H268" i="24"/>
  <c r="H267" i="24"/>
  <c r="H266" i="24"/>
  <c r="H265" i="24"/>
  <c r="H264" i="24"/>
  <c r="H263" i="24"/>
  <c r="H262" i="24"/>
  <c r="H261" i="24"/>
  <c r="H260" i="24"/>
  <c r="H259" i="24"/>
  <c r="H258" i="24"/>
  <c r="H257" i="24"/>
  <c r="H256" i="24"/>
  <c r="H255" i="24"/>
  <c r="H254" i="24"/>
  <c r="H253" i="24"/>
  <c r="H252" i="24"/>
  <c r="H251" i="24"/>
  <c r="H250" i="24"/>
  <c r="H249" i="24"/>
  <c r="H248" i="24"/>
  <c r="H247" i="24"/>
  <c r="H246" i="24"/>
  <c r="H245" i="24"/>
  <c r="H244" i="24"/>
  <c r="H243" i="24"/>
  <c r="H242" i="24"/>
  <c r="H241" i="24"/>
  <c r="H240" i="24"/>
  <c r="H239" i="24"/>
  <c r="H238" i="24"/>
  <c r="H237" i="24"/>
  <c r="H236" i="24"/>
  <c r="H235" i="24"/>
  <c r="H234" i="24"/>
  <c r="H233" i="24"/>
  <c r="H232" i="24"/>
  <c r="H231" i="24"/>
  <c r="H230" i="24"/>
  <c r="H229" i="24"/>
  <c r="H228" i="24"/>
  <c r="H227" i="24"/>
  <c r="H226" i="24"/>
  <c r="H225" i="24"/>
  <c r="H224" i="24"/>
  <c r="H223" i="24"/>
  <c r="H222" i="24"/>
  <c r="H221" i="24"/>
  <c r="H220" i="24"/>
  <c r="H219" i="24"/>
  <c r="H218" i="24"/>
  <c r="H217" i="24"/>
  <c r="H216" i="24"/>
  <c r="H215" i="24"/>
  <c r="H214" i="24"/>
  <c r="H213" i="24"/>
  <c r="H212" i="24"/>
  <c r="H211" i="24"/>
  <c r="H210" i="24"/>
  <c r="H209" i="24"/>
  <c r="H208" i="24"/>
  <c r="H207" i="24"/>
  <c r="H206" i="24"/>
  <c r="H205" i="24"/>
  <c r="H204" i="24"/>
  <c r="H203" i="24"/>
  <c r="H202" i="24"/>
  <c r="H201" i="24"/>
  <c r="H200" i="24"/>
  <c r="H199" i="24"/>
  <c r="H198" i="24"/>
  <c r="H197" i="24"/>
  <c r="H196" i="24"/>
  <c r="H195" i="24"/>
  <c r="H194" i="24"/>
  <c r="H193" i="24"/>
  <c r="H192" i="24"/>
  <c r="H191" i="24"/>
  <c r="H190" i="24"/>
  <c r="H189" i="24"/>
  <c r="H188" i="24"/>
  <c r="H187" i="24"/>
  <c r="H186" i="24"/>
  <c r="H185" i="24"/>
  <c r="H184" i="24"/>
  <c r="H183" i="24"/>
  <c r="H182" i="24"/>
  <c r="H181" i="24"/>
  <c r="H180" i="24"/>
  <c r="H179" i="24"/>
  <c r="H178" i="24"/>
  <c r="H177" i="24"/>
  <c r="H176" i="24"/>
  <c r="H175" i="24"/>
  <c r="H174" i="24"/>
  <c r="H173" i="24"/>
  <c r="H172" i="24"/>
  <c r="H171" i="24"/>
  <c r="H170" i="24"/>
  <c r="H169" i="24"/>
  <c r="H168" i="24"/>
  <c r="H167" i="24"/>
  <c r="H166" i="24"/>
  <c r="H165" i="24"/>
  <c r="H164" i="24"/>
  <c r="H163" i="24"/>
  <c r="H162" i="24"/>
  <c r="H161" i="24"/>
  <c r="H160" i="24"/>
  <c r="H159" i="24"/>
  <c r="H158" i="24"/>
  <c r="H157" i="24"/>
  <c r="H156" i="24"/>
  <c r="H155" i="24"/>
  <c r="H154" i="24"/>
  <c r="H153" i="24"/>
  <c r="H152" i="24"/>
  <c r="H151" i="24"/>
  <c r="H150" i="24"/>
  <c r="H149" i="24"/>
  <c r="H148" i="24"/>
  <c r="H147" i="24"/>
  <c r="H146" i="24"/>
  <c r="H145" i="24"/>
  <c r="H144" i="24"/>
  <c r="H143" i="24"/>
  <c r="H142" i="24"/>
  <c r="H141" i="24"/>
  <c r="H140" i="24"/>
  <c r="H139" i="24"/>
  <c r="H138" i="24"/>
  <c r="H137" i="24"/>
  <c r="H136" i="24"/>
  <c r="H135" i="24"/>
  <c r="H134" i="24"/>
  <c r="H133" i="24"/>
  <c r="H132" i="24"/>
  <c r="H131" i="24"/>
  <c r="H130" i="24"/>
  <c r="H129" i="24"/>
  <c r="H128" i="24"/>
  <c r="H127" i="24"/>
  <c r="H126" i="24"/>
  <c r="H125" i="24"/>
  <c r="H124" i="24"/>
  <c r="H123" i="24"/>
  <c r="H122" i="24"/>
  <c r="H121" i="24"/>
  <c r="H120" i="24"/>
  <c r="H119" i="24"/>
  <c r="H118" i="24"/>
  <c r="H117" i="24"/>
  <c r="H116" i="24"/>
  <c r="H115" i="24"/>
  <c r="H114" i="24"/>
  <c r="H113" i="24"/>
  <c r="H112" i="24"/>
  <c r="H111" i="24"/>
  <c r="H110" i="24"/>
  <c r="H109" i="24"/>
  <c r="H108" i="24"/>
  <c r="H107" i="24"/>
  <c r="H106" i="24"/>
  <c r="H105" i="24"/>
  <c r="H104" i="24"/>
  <c r="H103" i="24"/>
  <c r="H102" i="24"/>
  <c r="H101" i="24"/>
  <c r="H100" i="24"/>
  <c r="H99" i="24"/>
  <c r="H98" i="24"/>
  <c r="H97" i="24"/>
  <c r="H96" i="24"/>
  <c r="H95" i="24"/>
  <c r="H94" i="24"/>
  <c r="H93" i="24"/>
  <c r="H92" i="24"/>
  <c r="H91" i="24"/>
  <c r="H90" i="24"/>
  <c r="H89" i="24"/>
  <c r="H88" i="24"/>
  <c r="H87" i="24"/>
  <c r="H86" i="24"/>
  <c r="H85" i="24"/>
  <c r="H84" i="24"/>
  <c r="H83" i="24"/>
  <c r="H82" i="24"/>
  <c r="H81" i="24"/>
  <c r="H80" i="24"/>
  <c r="H79" i="24"/>
  <c r="H78" i="24"/>
  <c r="H77" i="24"/>
  <c r="H76" i="24"/>
  <c r="H75" i="24"/>
  <c r="H74" i="24"/>
  <c r="H73" i="24"/>
  <c r="H72" i="24"/>
  <c r="H71" i="24"/>
  <c r="H70" i="24"/>
  <c r="H69" i="24"/>
  <c r="H68" i="24"/>
  <c r="H67" i="24"/>
  <c r="H66" i="24"/>
  <c r="H65" i="24"/>
  <c r="H64" i="24"/>
  <c r="H63" i="24"/>
  <c r="H62" i="24"/>
  <c r="H61" i="24"/>
  <c r="H60" i="24"/>
  <c r="H59" i="24"/>
  <c r="H58" i="24"/>
  <c r="H57" i="24"/>
  <c r="H56" i="24"/>
  <c r="H55" i="24"/>
  <c r="H54" i="24"/>
  <c r="H53" i="24"/>
  <c r="H52" i="24"/>
  <c r="H51" i="24"/>
  <c r="H50" i="24"/>
  <c r="H49" i="24"/>
  <c r="H48" i="24"/>
  <c r="H47" i="24"/>
  <c r="H46" i="24"/>
  <c r="H45" i="24"/>
  <c r="H44" i="24"/>
  <c r="H43" i="24"/>
  <c r="H42" i="24"/>
  <c r="H41" i="24"/>
  <c r="H40" i="24"/>
  <c r="H39" i="24"/>
  <c r="H38" i="24"/>
  <c r="H37" i="24"/>
  <c r="H36" i="24"/>
  <c r="H35" i="24"/>
  <c r="H34" i="24"/>
  <c r="H33" i="24"/>
  <c r="H32" i="24"/>
  <c r="H31" i="24"/>
  <c r="H30" i="24"/>
  <c r="H29" i="24"/>
  <c r="H28" i="24"/>
  <c r="H27" i="24"/>
  <c r="H26" i="24"/>
  <c r="H25" i="24"/>
  <c r="H24" i="24"/>
  <c r="H23" i="24"/>
  <c r="H22" i="24"/>
  <c r="H21" i="24"/>
  <c r="H20" i="24"/>
  <c r="H19" i="24"/>
  <c r="H18" i="24"/>
  <c r="H17" i="24"/>
  <c r="H16" i="24"/>
  <c r="H15" i="24"/>
  <c r="H14" i="24"/>
  <c r="H13" i="24"/>
  <c r="H12" i="24"/>
  <c r="H11" i="24"/>
  <c r="H10" i="24"/>
  <c r="H9" i="24"/>
  <c r="H8" i="24"/>
  <c r="H7" i="24"/>
  <c r="H6" i="24"/>
  <c r="H4" i="24"/>
  <c r="H3" i="24"/>
  <c r="H5" i="24"/>
  <c r="M2" i="24"/>
  <c r="L2" i="24"/>
  <c r="K2" i="24"/>
  <c r="J2" i="24"/>
  <c r="I2" i="24"/>
  <c r="L317" i="24"/>
  <c r="M317" i="24"/>
  <c r="K317" i="24"/>
  <c r="J317" i="24"/>
  <c r="I317" i="24"/>
  <c r="M316" i="24"/>
  <c r="L316" i="24"/>
  <c r="K316" i="24"/>
  <c r="J316" i="24"/>
  <c r="I316" i="24"/>
  <c r="M315" i="24"/>
  <c r="L315" i="24"/>
  <c r="K315" i="24"/>
  <c r="J315" i="24"/>
  <c r="I315" i="24"/>
  <c r="M314" i="24"/>
  <c r="L314" i="24"/>
  <c r="K314" i="24"/>
  <c r="J314" i="24"/>
  <c r="I314" i="24"/>
  <c r="M313" i="24"/>
  <c r="L313" i="24"/>
  <c r="K313" i="24"/>
  <c r="J313" i="24"/>
  <c r="I313" i="24"/>
  <c r="M312" i="24"/>
  <c r="L312" i="24"/>
  <c r="K312" i="24"/>
  <c r="J312" i="24"/>
  <c r="I312" i="24"/>
  <c r="M311" i="24"/>
  <c r="L311" i="24"/>
  <c r="K311" i="24"/>
  <c r="J311" i="24"/>
  <c r="I311" i="24"/>
  <c r="M310" i="24"/>
  <c r="L310" i="24"/>
  <c r="K310" i="24"/>
  <c r="J310" i="24"/>
  <c r="I310" i="24"/>
  <c r="M309" i="24"/>
  <c r="L309" i="24"/>
  <c r="K309" i="24"/>
  <c r="J309" i="24"/>
  <c r="I309" i="24"/>
  <c r="M308" i="24"/>
  <c r="L308" i="24"/>
  <c r="K308" i="24"/>
  <c r="J308" i="24"/>
  <c r="I308" i="24"/>
  <c r="M307" i="24"/>
  <c r="L307" i="24"/>
  <c r="K307" i="24"/>
  <c r="J307" i="24"/>
  <c r="I307" i="24"/>
  <c r="M306" i="24"/>
  <c r="L306" i="24"/>
  <c r="K306" i="24"/>
  <c r="J306" i="24"/>
  <c r="I306" i="24"/>
  <c r="M305" i="24"/>
  <c r="L305" i="24"/>
  <c r="K305" i="24"/>
  <c r="J305" i="24"/>
  <c r="I305" i="24"/>
  <c r="M304" i="24"/>
  <c r="L304" i="24"/>
  <c r="K304" i="24"/>
  <c r="J304" i="24"/>
  <c r="I304" i="24"/>
  <c r="M303" i="24"/>
  <c r="L303" i="24"/>
  <c r="K303" i="24"/>
  <c r="J303" i="24"/>
  <c r="I303" i="24"/>
  <c r="M302" i="24"/>
  <c r="L302" i="24"/>
  <c r="K302" i="24"/>
  <c r="J302" i="24"/>
  <c r="I302" i="24"/>
  <c r="M301" i="24"/>
  <c r="L301" i="24"/>
  <c r="K301" i="24"/>
  <c r="J301" i="24"/>
  <c r="I301" i="24"/>
  <c r="M300" i="24"/>
  <c r="L300" i="24"/>
  <c r="K300" i="24"/>
  <c r="J300" i="24"/>
  <c r="I300" i="24"/>
  <c r="M299" i="24"/>
  <c r="L299" i="24"/>
  <c r="K299" i="24"/>
  <c r="J299" i="24"/>
  <c r="I299" i="24"/>
  <c r="M298" i="24"/>
  <c r="L298" i="24"/>
  <c r="K298" i="24"/>
  <c r="J298" i="24"/>
  <c r="I298" i="24"/>
  <c r="M297" i="24"/>
  <c r="L297" i="24"/>
  <c r="K297" i="24"/>
  <c r="J297" i="24"/>
  <c r="I297" i="24"/>
  <c r="M296" i="24"/>
  <c r="L296" i="24"/>
  <c r="K296" i="24"/>
  <c r="J296" i="24"/>
  <c r="I296" i="24"/>
  <c r="M295" i="24"/>
  <c r="L295" i="24"/>
  <c r="K295" i="24"/>
  <c r="J295" i="24"/>
  <c r="I295" i="24"/>
  <c r="M294" i="24"/>
  <c r="L294" i="24"/>
  <c r="K294" i="24"/>
  <c r="J294" i="24"/>
  <c r="I294" i="24"/>
  <c r="M293" i="24"/>
  <c r="L293" i="24"/>
  <c r="K293" i="24"/>
  <c r="J293" i="24"/>
  <c r="I293" i="24"/>
  <c r="M292" i="24"/>
  <c r="L292" i="24"/>
  <c r="K292" i="24"/>
  <c r="J292" i="24"/>
  <c r="I292" i="24"/>
  <c r="M291" i="24"/>
  <c r="L291" i="24"/>
  <c r="K291" i="24"/>
  <c r="J291" i="24"/>
  <c r="I291" i="24"/>
  <c r="M290" i="24"/>
  <c r="L290" i="24"/>
  <c r="K290" i="24"/>
  <c r="J290" i="24"/>
  <c r="I290" i="24"/>
  <c r="M289" i="24"/>
  <c r="L289" i="24"/>
  <c r="K289" i="24"/>
  <c r="J289" i="24"/>
  <c r="I289" i="24"/>
  <c r="M288" i="24"/>
  <c r="L288" i="24"/>
  <c r="K288" i="24"/>
  <c r="J288" i="24"/>
  <c r="I288" i="24"/>
  <c r="M287" i="24"/>
  <c r="L287" i="24"/>
  <c r="K287" i="24"/>
  <c r="J287" i="24"/>
  <c r="I287" i="24"/>
  <c r="M286" i="24"/>
  <c r="L286" i="24"/>
  <c r="K286" i="24"/>
  <c r="J286" i="24"/>
  <c r="I286" i="24"/>
  <c r="M285" i="24"/>
  <c r="L285" i="24"/>
  <c r="K285" i="24"/>
  <c r="J285" i="24"/>
  <c r="I285" i="24"/>
  <c r="M284" i="24"/>
  <c r="L284" i="24"/>
  <c r="K284" i="24"/>
  <c r="J284" i="24"/>
  <c r="I284" i="24"/>
  <c r="M283" i="24"/>
  <c r="L283" i="24"/>
  <c r="K283" i="24"/>
  <c r="J283" i="24"/>
  <c r="I283" i="24"/>
  <c r="M282" i="24"/>
  <c r="L282" i="24"/>
  <c r="K282" i="24"/>
  <c r="J282" i="24"/>
  <c r="I282" i="24"/>
  <c r="M281" i="24"/>
  <c r="L281" i="24"/>
  <c r="K281" i="24"/>
  <c r="J281" i="24"/>
  <c r="I281" i="24"/>
  <c r="M280" i="24"/>
  <c r="L280" i="24"/>
  <c r="K280" i="24"/>
  <c r="J280" i="24"/>
  <c r="I280" i="24"/>
  <c r="M279" i="24"/>
  <c r="L279" i="24"/>
  <c r="K279" i="24"/>
  <c r="J279" i="24"/>
  <c r="I279" i="24"/>
  <c r="M278" i="24"/>
  <c r="L278" i="24"/>
  <c r="K278" i="24"/>
  <c r="J278" i="24"/>
  <c r="I278" i="24"/>
  <c r="M277" i="24"/>
  <c r="L277" i="24"/>
  <c r="K277" i="24"/>
  <c r="J277" i="24"/>
  <c r="I277" i="24"/>
  <c r="M276" i="24"/>
  <c r="L276" i="24"/>
  <c r="K276" i="24"/>
  <c r="J276" i="24"/>
  <c r="I276" i="24"/>
  <c r="M275" i="24"/>
  <c r="L275" i="24"/>
  <c r="K275" i="24"/>
  <c r="J275" i="24"/>
  <c r="I275" i="24"/>
  <c r="M274" i="24"/>
  <c r="L274" i="24"/>
  <c r="K274" i="24"/>
  <c r="J274" i="24"/>
  <c r="I274" i="24"/>
  <c r="M273" i="24"/>
  <c r="L273" i="24"/>
  <c r="K273" i="24"/>
  <c r="J273" i="24"/>
  <c r="I273" i="24"/>
  <c r="M272" i="24"/>
  <c r="L272" i="24"/>
  <c r="K272" i="24"/>
  <c r="J272" i="24"/>
  <c r="I272" i="24"/>
  <c r="M271" i="24"/>
  <c r="L271" i="24"/>
  <c r="K271" i="24"/>
  <c r="J271" i="24"/>
  <c r="I271" i="24"/>
  <c r="M270" i="24"/>
  <c r="L270" i="24"/>
  <c r="K270" i="24"/>
  <c r="J270" i="24"/>
  <c r="I270" i="24"/>
  <c r="M269" i="24"/>
  <c r="L269" i="24"/>
  <c r="K269" i="24"/>
  <c r="J269" i="24"/>
  <c r="I269" i="24"/>
  <c r="M268" i="24"/>
  <c r="L268" i="24"/>
  <c r="K268" i="24"/>
  <c r="J268" i="24"/>
  <c r="I268" i="24"/>
  <c r="M267" i="24"/>
  <c r="L267" i="24"/>
  <c r="K267" i="24"/>
  <c r="J267" i="24"/>
  <c r="I267" i="24"/>
  <c r="M266" i="24"/>
  <c r="L266" i="24"/>
  <c r="K266" i="24"/>
  <c r="J266" i="24"/>
  <c r="I266" i="24"/>
  <c r="M265" i="24"/>
  <c r="L265" i="24"/>
  <c r="K265" i="24"/>
  <c r="J265" i="24"/>
  <c r="I265" i="24"/>
  <c r="M264" i="24"/>
  <c r="L264" i="24"/>
  <c r="K264" i="24"/>
  <c r="J264" i="24"/>
  <c r="I264" i="24"/>
  <c r="M263" i="24"/>
  <c r="L263" i="24"/>
  <c r="K263" i="24"/>
  <c r="J263" i="24"/>
  <c r="I263" i="24"/>
  <c r="M262" i="24"/>
  <c r="L262" i="24"/>
  <c r="K262" i="24"/>
  <c r="J262" i="24"/>
  <c r="I262" i="24"/>
  <c r="M261" i="24"/>
  <c r="L261" i="24"/>
  <c r="K261" i="24"/>
  <c r="J261" i="24"/>
  <c r="I261" i="24"/>
  <c r="M260" i="24"/>
  <c r="L260" i="24"/>
  <c r="K260" i="24"/>
  <c r="J260" i="24"/>
  <c r="I260" i="24"/>
  <c r="M259" i="24"/>
  <c r="L259" i="24"/>
  <c r="K259" i="24"/>
  <c r="J259" i="24"/>
  <c r="I259" i="24"/>
  <c r="M258" i="24"/>
  <c r="L258" i="24"/>
  <c r="K258" i="24"/>
  <c r="J258" i="24"/>
  <c r="I258" i="24"/>
  <c r="M257" i="24"/>
  <c r="L257" i="24"/>
  <c r="K257" i="24"/>
  <c r="J257" i="24"/>
  <c r="I257" i="24"/>
  <c r="M256" i="24"/>
  <c r="L256" i="24"/>
  <c r="K256" i="24"/>
  <c r="J256" i="24"/>
  <c r="I256" i="24"/>
  <c r="M255" i="24"/>
  <c r="L255" i="24"/>
  <c r="K255" i="24"/>
  <c r="J255" i="24"/>
  <c r="I255" i="24"/>
  <c r="M254" i="24"/>
  <c r="L254" i="24"/>
  <c r="K254" i="24"/>
  <c r="J254" i="24"/>
  <c r="I254" i="24"/>
  <c r="M253" i="24"/>
  <c r="L253" i="24"/>
  <c r="K253" i="24"/>
  <c r="J253" i="24"/>
  <c r="I253" i="24"/>
  <c r="M252" i="24"/>
  <c r="L252" i="24"/>
  <c r="K252" i="24"/>
  <c r="J252" i="24"/>
  <c r="I252" i="24"/>
  <c r="M251" i="24"/>
  <c r="L251" i="24"/>
  <c r="K251" i="24"/>
  <c r="J251" i="24"/>
  <c r="I251" i="24"/>
  <c r="M250" i="24"/>
  <c r="L250" i="24"/>
  <c r="K250" i="24"/>
  <c r="J250" i="24"/>
  <c r="I250" i="24"/>
  <c r="M249" i="24"/>
  <c r="L249" i="24"/>
  <c r="K249" i="24"/>
  <c r="J249" i="24"/>
  <c r="I249" i="24"/>
  <c r="M248" i="24"/>
  <c r="L248" i="24"/>
  <c r="K248" i="24"/>
  <c r="J248" i="24"/>
  <c r="I248" i="24"/>
  <c r="M247" i="24"/>
  <c r="L247" i="24"/>
  <c r="K247" i="24"/>
  <c r="J247" i="24"/>
  <c r="I247" i="24"/>
  <c r="M246" i="24"/>
  <c r="L246" i="24"/>
  <c r="K246" i="24"/>
  <c r="J246" i="24"/>
  <c r="I246" i="24"/>
  <c r="M245" i="24"/>
  <c r="L245" i="24"/>
  <c r="K245" i="24"/>
  <c r="J245" i="24"/>
  <c r="I245" i="24"/>
  <c r="M244" i="24"/>
  <c r="L244" i="24"/>
  <c r="K244" i="24"/>
  <c r="J244" i="24"/>
  <c r="I244" i="24"/>
  <c r="M243" i="24"/>
  <c r="L243" i="24"/>
  <c r="K243" i="24"/>
  <c r="J243" i="24"/>
  <c r="I243" i="24"/>
  <c r="M242" i="24"/>
  <c r="L242" i="24"/>
  <c r="K242" i="24"/>
  <c r="J242" i="24"/>
  <c r="I242" i="24"/>
  <c r="M241" i="24"/>
  <c r="L241" i="24"/>
  <c r="K241" i="24"/>
  <c r="J241" i="24"/>
  <c r="I241" i="24"/>
  <c r="M240" i="24"/>
  <c r="L240" i="24"/>
  <c r="K240" i="24"/>
  <c r="J240" i="24"/>
  <c r="I240" i="24"/>
  <c r="M239" i="24"/>
  <c r="L239" i="24"/>
  <c r="K239" i="24"/>
  <c r="J239" i="24"/>
  <c r="I239" i="24"/>
  <c r="M238" i="24"/>
  <c r="L238" i="24"/>
  <c r="K238" i="24"/>
  <c r="J238" i="24"/>
  <c r="I238" i="24"/>
  <c r="M237" i="24"/>
  <c r="L237" i="24"/>
  <c r="K237" i="24"/>
  <c r="J237" i="24"/>
  <c r="I237" i="24"/>
  <c r="M236" i="24"/>
  <c r="L236" i="24"/>
  <c r="K236" i="24"/>
  <c r="J236" i="24"/>
  <c r="I236" i="24"/>
  <c r="M235" i="24"/>
  <c r="L235" i="24"/>
  <c r="K235" i="24"/>
  <c r="J235" i="24"/>
  <c r="I235" i="24"/>
  <c r="M234" i="24"/>
  <c r="L234" i="24"/>
  <c r="K234" i="24"/>
  <c r="J234" i="24"/>
  <c r="I234" i="24"/>
  <c r="M233" i="24"/>
  <c r="L233" i="24"/>
  <c r="K233" i="24"/>
  <c r="J233" i="24"/>
  <c r="I233" i="24"/>
  <c r="M232" i="24"/>
  <c r="L232" i="24"/>
  <c r="K232" i="24"/>
  <c r="J232" i="24"/>
  <c r="I232" i="24"/>
  <c r="M231" i="24"/>
  <c r="L231" i="24"/>
  <c r="K231" i="24"/>
  <c r="J231" i="24"/>
  <c r="I231" i="24"/>
  <c r="M230" i="24"/>
  <c r="L230" i="24"/>
  <c r="K230" i="24"/>
  <c r="J230" i="24"/>
  <c r="I230" i="24"/>
  <c r="M229" i="24"/>
  <c r="L229" i="24"/>
  <c r="K229" i="24"/>
  <c r="J229" i="24"/>
  <c r="I229" i="24"/>
  <c r="M228" i="24"/>
  <c r="L228" i="24"/>
  <c r="K228" i="24"/>
  <c r="J228" i="24"/>
  <c r="I228" i="24"/>
  <c r="M227" i="24"/>
  <c r="L227" i="24"/>
  <c r="K227" i="24"/>
  <c r="J227" i="24"/>
  <c r="I227" i="24"/>
  <c r="M226" i="24"/>
  <c r="L226" i="24"/>
  <c r="K226" i="24"/>
  <c r="J226" i="24"/>
  <c r="I226" i="24"/>
  <c r="M225" i="24"/>
  <c r="L225" i="24"/>
  <c r="K225" i="24"/>
  <c r="J225" i="24"/>
  <c r="I225" i="24"/>
  <c r="M224" i="24"/>
  <c r="L224" i="24"/>
  <c r="K224" i="24"/>
  <c r="J224" i="24"/>
  <c r="I224" i="24"/>
  <c r="M223" i="24"/>
  <c r="L223" i="24"/>
  <c r="K223" i="24"/>
  <c r="J223" i="24"/>
  <c r="I223" i="24"/>
  <c r="M222" i="24"/>
  <c r="L222" i="24"/>
  <c r="K222" i="24"/>
  <c r="J222" i="24"/>
  <c r="I222" i="24"/>
  <c r="M221" i="24"/>
  <c r="L221" i="24"/>
  <c r="K221" i="24"/>
  <c r="J221" i="24"/>
  <c r="I221" i="24"/>
  <c r="M220" i="24"/>
  <c r="L220" i="24"/>
  <c r="K220" i="24"/>
  <c r="J220" i="24"/>
  <c r="I220" i="24"/>
  <c r="M219" i="24"/>
  <c r="L219" i="24"/>
  <c r="K219" i="24"/>
  <c r="J219" i="24"/>
  <c r="I219" i="24"/>
  <c r="M218" i="24"/>
  <c r="L218" i="24"/>
  <c r="K218" i="24"/>
  <c r="J218" i="24"/>
  <c r="I218" i="24"/>
  <c r="M217" i="24"/>
  <c r="L217" i="24"/>
  <c r="K217" i="24"/>
  <c r="J217" i="24"/>
  <c r="I217" i="24"/>
  <c r="M216" i="24"/>
  <c r="L216" i="24"/>
  <c r="K216" i="24"/>
  <c r="J216" i="24"/>
  <c r="I216" i="24"/>
  <c r="M215" i="24"/>
  <c r="L215" i="24"/>
  <c r="K215" i="24"/>
  <c r="J215" i="24"/>
  <c r="I215" i="24"/>
  <c r="M214" i="24"/>
  <c r="L214" i="24"/>
  <c r="K214" i="24"/>
  <c r="J214" i="24"/>
  <c r="I214" i="24"/>
  <c r="M213" i="24"/>
  <c r="L213" i="24"/>
  <c r="K213" i="24"/>
  <c r="J213" i="24"/>
  <c r="I213" i="24"/>
  <c r="M212" i="24"/>
  <c r="L212" i="24"/>
  <c r="K212" i="24"/>
  <c r="J212" i="24"/>
  <c r="I212" i="24"/>
  <c r="M211" i="24"/>
  <c r="L211" i="24"/>
  <c r="K211" i="24"/>
  <c r="J211" i="24"/>
  <c r="I211" i="24"/>
  <c r="M210" i="24"/>
  <c r="L210" i="24"/>
  <c r="K210" i="24"/>
  <c r="J210" i="24"/>
  <c r="I210" i="24"/>
  <c r="M209" i="24"/>
  <c r="L209" i="24"/>
  <c r="K209" i="24"/>
  <c r="J209" i="24"/>
  <c r="I209" i="24"/>
  <c r="M208" i="24"/>
  <c r="L208" i="24"/>
  <c r="K208" i="24"/>
  <c r="J208" i="24"/>
  <c r="I208" i="24"/>
  <c r="M207" i="24"/>
  <c r="L207" i="24"/>
  <c r="K207" i="24"/>
  <c r="J207" i="24"/>
  <c r="I207" i="24"/>
  <c r="M206" i="24"/>
  <c r="L206" i="24"/>
  <c r="K206" i="24"/>
  <c r="J206" i="24"/>
  <c r="I206" i="24"/>
  <c r="M205" i="24"/>
  <c r="L205" i="24"/>
  <c r="K205" i="24"/>
  <c r="J205" i="24"/>
  <c r="I205" i="24"/>
  <c r="M204" i="24"/>
  <c r="L204" i="24"/>
  <c r="K204" i="24"/>
  <c r="J204" i="24"/>
  <c r="I204" i="24"/>
  <c r="M203" i="24"/>
  <c r="L203" i="24"/>
  <c r="K203" i="24"/>
  <c r="J203" i="24"/>
  <c r="I203" i="24"/>
  <c r="M202" i="24"/>
  <c r="L202" i="24"/>
  <c r="K202" i="24"/>
  <c r="J202" i="24"/>
  <c r="I202" i="24"/>
  <c r="M201" i="24"/>
  <c r="L201" i="24"/>
  <c r="K201" i="24"/>
  <c r="J201" i="24"/>
  <c r="I201" i="24"/>
  <c r="M200" i="24"/>
  <c r="L200" i="24"/>
  <c r="K200" i="24"/>
  <c r="J200" i="24"/>
  <c r="I200" i="24"/>
  <c r="M199" i="24"/>
  <c r="L199" i="24"/>
  <c r="K199" i="24"/>
  <c r="J199" i="24"/>
  <c r="I199" i="24"/>
  <c r="M198" i="24"/>
  <c r="L198" i="24"/>
  <c r="K198" i="24"/>
  <c r="J198" i="24"/>
  <c r="I198" i="24"/>
  <c r="M197" i="24"/>
  <c r="L197" i="24"/>
  <c r="K197" i="24"/>
  <c r="J197" i="24"/>
  <c r="I197" i="24"/>
  <c r="M196" i="24"/>
  <c r="L196" i="24"/>
  <c r="K196" i="24"/>
  <c r="J196" i="24"/>
  <c r="I196" i="24"/>
  <c r="M195" i="24"/>
  <c r="L195" i="24"/>
  <c r="K195" i="24"/>
  <c r="J195" i="24"/>
  <c r="I195" i="24"/>
  <c r="M194" i="24"/>
  <c r="L194" i="24"/>
  <c r="K194" i="24"/>
  <c r="J194" i="24"/>
  <c r="I194" i="24"/>
  <c r="M193" i="24"/>
  <c r="L193" i="24"/>
  <c r="K193" i="24"/>
  <c r="J193" i="24"/>
  <c r="I193" i="24"/>
  <c r="M192" i="24"/>
  <c r="L192" i="24"/>
  <c r="K192" i="24"/>
  <c r="J192" i="24"/>
  <c r="I192" i="24"/>
  <c r="M191" i="24"/>
  <c r="L191" i="24"/>
  <c r="K191" i="24"/>
  <c r="J191" i="24"/>
  <c r="I191" i="24"/>
  <c r="M190" i="24"/>
  <c r="L190" i="24"/>
  <c r="K190" i="24"/>
  <c r="J190" i="24"/>
  <c r="I190" i="24"/>
  <c r="M189" i="24"/>
  <c r="L189" i="24"/>
  <c r="K189" i="24"/>
  <c r="J189" i="24"/>
  <c r="I189" i="24"/>
  <c r="M188" i="24"/>
  <c r="L188" i="24"/>
  <c r="K188" i="24"/>
  <c r="J188" i="24"/>
  <c r="I188" i="24"/>
  <c r="M187" i="24"/>
  <c r="L187" i="24"/>
  <c r="K187" i="24"/>
  <c r="J187" i="24"/>
  <c r="I187" i="24"/>
  <c r="M186" i="24"/>
  <c r="L186" i="24"/>
  <c r="K186" i="24"/>
  <c r="J186" i="24"/>
  <c r="I186" i="24"/>
  <c r="M185" i="24"/>
  <c r="L185" i="24"/>
  <c r="K185" i="24"/>
  <c r="J185" i="24"/>
  <c r="I185" i="24"/>
  <c r="M184" i="24"/>
  <c r="L184" i="24"/>
  <c r="K184" i="24"/>
  <c r="J184" i="24"/>
  <c r="I184" i="24"/>
  <c r="M183" i="24"/>
  <c r="L183" i="24"/>
  <c r="K183" i="24"/>
  <c r="J183" i="24"/>
  <c r="I183" i="24"/>
  <c r="M182" i="24"/>
  <c r="L182" i="24"/>
  <c r="K182" i="24"/>
  <c r="J182" i="24"/>
  <c r="I182" i="24"/>
  <c r="M181" i="24"/>
  <c r="L181" i="24"/>
  <c r="K181" i="24"/>
  <c r="J181" i="24"/>
  <c r="I181" i="24"/>
  <c r="M180" i="24"/>
  <c r="L180" i="24"/>
  <c r="K180" i="24"/>
  <c r="J180" i="24"/>
  <c r="I180" i="24"/>
  <c r="M179" i="24"/>
  <c r="L179" i="24"/>
  <c r="K179" i="24"/>
  <c r="J179" i="24"/>
  <c r="I179" i="24"/>
  <c r="M178" i="24"/>
  <c r="L178" i="24"/>
  <c r="K178" i="24"/>
  <c r="J178" i="24"/>
  <c r="I178" i="24"/>
  <c r="M177" i="24"/>
  <c r="L177" i="24"/>
  <c r="K177" i="24"/>
  <c r="J177" i="24"/>
  <c r="I177" i="24"/>
  <c r="M176" i="24"/>
  <c r="L176" i="24"/>
  <c r="K176" i="24"/>
  <c r="J176" i="24"/>
  <c r="I176" i="24"/>
  <c r="M175" i="24"/>
  <c r="L175" i="24"/>
  <c r="K175" i="24"/>
  <c r="J175" i="24"/>
  <c r="I175" i="24"/>
  <c r="M174" i="24"/>
  <c r="L174" i="24"/>
  <c r="K174" i="24"/>
  <c r="J174" i="24"/>
  <c r="I174" i="24"/>
  <c r="M173" i="24"/>
  <c r="L173" i="24"/>
  <c r="K173" i="24"/>
  <c r="J173" i="24"/>
  <c r="I173" i="24"/>
  <c r="M172" i="24"/>
  <c r="L172" i="24"/>
  <c r="K172" i="24"/>
  <c r="J172" i="24"/>
  <c r="I172" i="24"/>
  <c r="M171" i="24"/>
  <c r="L171" i="24"/>
  <c r="K171" i="24"/>
  <c r="J171" i="24"/>
  <c r="I171" i="24"/>
  <c r="M170" i="24"/>
  <c r="L170" i="24"/>
  <c r="K170" i="24"/>
  <c r="J170" i="24"/>
  <c r="I170" i="24"/>
  <c r="M169" i="24"/>
  <c r="L169" i="24"/>
  <c r="K169" i="24"/>
  <c r="J169" i="24"/>
  <c r="I169" i="24"/>
  <c r="M168" i="24"/>
  <c r="L168" i="24"/>
  <c r="K168" i="24"/>
  <c r="J168" i="24"/>
  <c r="I168" i="24"/>
  <c r="M167" i="24"/>
  <c r="L167" i="24"/>
  <c r="K167" i="24"/>
  <c r="J167" i="24"/>
  <c r="I167" i="24"/>
  <c r="M166" i="24"/>
  <c r="L166" i="24"/>
  <c r="K166" i="24"/>
  <c r="J166" i="24"/>
  <c r="I166" i="24"/>
  <c r="M165" i="24"/>
  <c r="L165" i="24"/>
  <c r="K165" i="24"/>
  <c r="J165" i="24"/>
  <c r="I165" i="24"/>
  <c r="M164" i="24"/>
  <c r="L164" i="24"/>
  <c r="K164" i="24"/>
  <c r="J164" i="24"/>
  <c r="I164" i="24"/>
  <c r="M163" i="24"/>
  <c r="L163" i="24"/>
  <c r="K163" i="24"/>
  <c r="J163" i="24"/>
  <c r="I163" i="24"/>
  <c r="M162" i="24"/>
  <c r="L162" i="24"/>
  <c r="K162" i="24"/>
  <c r="J162" i="24"/>
  <c r="I162" i="24"/>
  <c r="M161" i="24"/>
  <c r="L161" i="24"/>
  <c r="K161" i="24"/>
  <c r="J161" i="24"/>
  <c r="I161" i="24"/>
  <c r="M160" i="24"/>
  <c r="L160" i="24"/>
  <c r="K160" i="24"/>
  <c r="J160" i="24"/>
  <c r="I160" i="24"/>
  <c r="M159" i="24"/>
  <c r="L159" i="24"/>
  <c r="K159" i="24"/>
  <c r="J159" i="24"/>
  <c r="I159" i="24"/>
  <c r="M158" i="24"/>
  <c r="L158" i="24"/>
  <c r="K158" i="24"/>
  <c r="J158" i="24"/>
  <c r="I158" i="24"/>
  <c r="M157" i="24"/>
  <c r="L157" i="24"/>
  <c r="K157" i="24"/>
  <c r="J157" i="24"/>
  <c r="I157" i="24"/>
  <c r="M156" i="24"/>
  <c r="L156" i="24"/>
  <c r="K156" i="24"/>
  <c r="J156" i="24"/>
  <c r="I156" i="24"/>
  <c r="M155" i="24"/>
  <c r="L155" i="24"/>
  <c r="K155" i="24"/>
  <c r="J155" i="24"/>
  <c r="I155" i="24"/>
  <c r="M154" i="24"/>
  <c r="L154" i="24"/>
  <c r="K154" i="24"/>
  <c r="J154" i="24"/>
  <c r="I154" i="24"/>
  <c r="M153" i="24"/>
  <c r="L153" i="24"/>
  <c r="K153" i="24"/>
  <c r="J153" i="24"/>
  <c r="I153" i="24"/>
  <c r="M152" i="24"/>
  <c r="L152" i="24"/>
  <c r="K152" i="24"/>
  <c r="J152" i="24"/>
  <c r="I152" i="24"/>
  <c r="M151" i="24"/>
  <c r="L151" i="24"/>
  <c r="K151" i="24"/>
  <c r="J151" i="24"/>
  <c r="I151" i="24"/>
  <c r="M150" i="24"/>
  <c r="L150" i="24"/>
  <c r="K150" i="24"/>
  <c r="J150" i="24"/>
  <c r="I150" i="24"/>
  <c r="M149" i="24"/>
  <c r="L149" i="24"/>
  <c r="K149" i="24"/>
  <c r="J149" i="24"/>
  <c r="I149" i="24"/>
  <c r="M148" i="24"/>
  <c r="L148" i="24"/>
  <c r="K148" i="24"/>
  <c r="J148" i="24"/>
  <c r="I148" i="24"/>
  <c r="M147" i="24"/>
  <c r="L147" i="24"/>
  <c r="K147" i="24"/>
  <c r="J147" i="24"/>
  <c r="I147" i="24"/>
  <c r="M146" i="24"/>
  <c r="L146" i="24"/>
  <c r="K146" i="24"/>
  <c r="J146" i="24"/>
  <c r="I146" i="24"/>
  <c r="M145" i="24"/>
  <c r="L145" i="24"/>
  <c r="K145" i="24"/>
  <c r="J145" i="24"/>
  <c r="I145" i="24"/>
  <c r="M144" i="24"/>
  <c r="L144" i="24"/>
  <c r="K144" i="24"/>
  <c r="J144" i="24"/>
  <c r="I144" i="24"/>
  <c r="M143" i="24"/>
  <c r="L143" i="24"/>
  <c r="K143" i="24"/>
  <c r="J143" i="24"/>
  <c r="I143" i="24"/>
  <c r="M142" i="24"/>
  <c r="L142" i="24"/>
  <c r="K142" i="24"/>
  <c r="J142" i="24"/>
  <c r="I142" i="24"/>
  <c r="M141" i="24"/>
  <c r="L141" i="24"/>
  <c r="K141" i="24"/>
  <c r="J141" i="24"/>
  <c r="I141" i="24"/>
  <c r="M140" i="24"/>
  <c r="L140" i="24"/>
  <c r="K140" i="24"/>
  <c r="J140" i="24"/>
  <c r="I140" i="24"/>
  <c r="M139" i="24"/>
  <c r="L139" i="24"/>
  <c r="K139" i="24"/>
  <c r="J139" i="24"/>
  <c r="I139" i="24"/>
  <c r="M138" i="24"/>
  <c r="L138" i="24"/>
  <c r="K138" i="24"/>
  <c r="J138" i="24"/>
  <c r="I138" i="24"/>
  <c r="M137" i="24"/>
  <c r="L137" i="24"/>
  <c r="K137" i="24"/>
  <c r="J137" i="24"/>
  <c r="I137" i="24"/>
  <c r="M136" i="24"/>
  <c r="L136" i="24"/>
  <c r="K136" i="24"/>
  <c r="J136" i="24"/>
  <c r="I136" i="24"/>
  <c r="M135" i="24"/>
  <c r="L135" i="24"/>
  <c r="K135" i="24"/>
  <c r="J135" i="24"/>
  <c r="I135" i="24"/>
  <c r="M134" i="24"/>
  <c r="L134" i="24"/>
  <c r="K134" i="24"/>
  <c r="J134" i="24"/>
  <c r="I134" i="24"/>
  <c r="M133" i="24"/>
  <c r="L133" i="24"/>
  <c r="K133" i="24"/>
  <c r="J133" i="24"/>
  <c r="I133" i="24"/>
  <c r="M132" i="24"/>
  <c r="L132" i="24"/>
  <c r="K132" i="24"/>
  <c r="J132" i="24"/>
  <c r="I132" i="24"/>
  <c r="M131" i="24"/>
  <c r="L131" i="24"/>
  <c r="K131" i="24"/>
  <c r="J131" i="24"/>
  <c r="I131" i="24"/>
  <c r="M130" i="24"/>
  <c r="L130" i="24"/>
  <c r="K130" i="24"/>
  <c r="J130" i="24"/>
  <c r="I130" i="24"/>
  <c r="M129" i="24"/>
  <c r="L129" i="24"/>
  <c r="K129" i="24"/>
  <c r="J129" i="24"/>
  <c r="I129" i="24"/>
  <c r="M128" i="24"/>
  <c r="L128" i="24"/>
  <c r="K128" i="24"/>
  <c r="J128" i="24"/>
  <c r="I128" i="24"/>
  <c r="M127" i="24"/>
  <c r="L127" i="24"/>
  <c r="K127" i="24"/>
  <c r="J127" i="24"/>
  <c r="I127" i="24"/>
  <c r="M126" i="24"/>
  <c r="L126" i="24"/>
  <c r="K126" i="24"/>
  <c r="J126" i="24"/>
  <c r="I126" i="24"/>
  <c r="M125" i="24"/>
  <c r="L125" i="24"/>
  <c r="K125" i="24"/>
  <c r="J125" i="24"/>
  <c r="I125" i="24"/>
  <c r="M124" i="24"/>
  <c r="L124" i="24"/>
  <c r="K124" i="24"/>
  <c r="J124" i="24"/>
  <c r="I124" i="24"/>
  <c r="M123" i="24"/>
  <c r="L123" i="24"/>
  <c r="K123" i="24"/>
  <c r="J123" i="24"/>
  <c r="I123" i="24"/>
  <c r="M122" i="24"/>
  <c r="L122" i="24"/>
  <c r="K122" i="24"/>
  <c r="J122" i="24"/>
  <c r="I122" i="24"/>
  <c r="M121" i="24"/>
  <c r="L121" i="24"/>
  <c r="K121" i="24"/>
  <c r="J121" i="24"/>
  <c r="I121" i="24"/>
  <c r="M120" i="24"/>
  <c r="L120" i="24"/>
  <c r="K120" i="24"/>
  <c r="J120" i="24"/>
  <c r="I120" i="24"/>
  <c r="M119" i="24"/>
  <c r="L119" i="24"/>
  <c r="K119" i="24"/>
  <c r="J119" i="24"/>
  <c r="I119" i="24"/>
  <c r="M118" i="24"/>
  <c r="L118" i="24"/>
  <c r="K118" i="24"/>
  <c r="J118" i="24"/>
  <c r="I118" i="24"/>
  <c r="M117" i="24"/>
  <c r="L117" i="24"/>
  <c r="K117" i="24"/>
  <c r="J117" i="24"/>
  <c r="I117" i="24"/>
  <c r="M116" i="24"/>
  <c r="L116" i="24"/>
  <c r="K116" i="24"/>
  <c r="J116" i="24"/>
  <c r="I116" i="24"/>
  <c r="M115" i="24"/>
  <c r="L115" i="24"/>
  <c r="K115" i="24"/>
  <c r="J115" i="24"/>
  <c r="I115" i="24"/>
  <c r="M114" i="24"/>
  <c r="L114" i="24"/>
  <c r="K114" i="24"/>
  <c r="J114" i="24"/>
  <c r="I114" i="24"/>
  <c r="M113" i="24"/>
  <c r="L113" i="24"/>
  <c r="K113" i="24"/>
  <c r="J113" i="24"/>
  <c r="I113" i="24"/>
  <c r="M112" i="24"/>
  <c r="L112" i="24"/>
  <c r="K112" i="24"/>
  <c r="J112" i="24"/>
  <c r="I112" i="24"/>
  <c r="M111" i="24"/>
  <c r="L111" i="24"/>
  <c r="K111" i="24"/>
  <c r="J111" i="24"/>
  <c r="I111" i="24"/>
  <c r="M110" i="24"/>
  <c r="L110" i="24"/>
  <c r="K110" i="24"/>
  <c r="J110" i="24"/>
  <c r="I110" i="24"/>
  <c r="M109" i="24"/>
  <c r="L109" i="24"/>
  <c r="K109" i="24"/>
  <c r="J109" i="24"/>
  <c r="I109" i="24"/>
  <c r="M108" i="24"/>
  <c r="L108" i="24"/>
  <c r="K108" i="24"/>
  <c r="J108" i="24"/>
  <c r="I108" i="24"/>
  <c r="M107" i="24"/>
  <c r="L107" i="24"/>
  <c r="K107" i="24"/>
  <c r="J107" i="24"/>
  <c r="I107" i="24"/>
  <c r="M106" i="24"/>
  <c r="L106" i="24"/>
  <c r="K106" i="24"/>
  <c r="J106" i="24"/>
  <c r="I106" i="24"/>
  <c r="M105" i="24"/>
  <c r="L105" i="24"/>
  <c r="K105" i="24"/>
  <c r="J105" i="24"/>
  <c r="I105" i="24"/>
  <c r="M104" i="24"/>
  <c r="L104" i="24"/>
  <c r="K104" i="24"/>
  <c r="J104" i="24"/>
  <c r="I104" i="24"/>
  <c r="M103" i="24"/>
  <c r="L103" i="24"/>
  <c r="K103" i="24"/>
  <c r="J103" i="24"/>
  <c r="I103" i="24"/>
  <c r="M102" i="24"/>
  <c r="L102" i="24"/>
  <c r="K102" i="24"/>
  <c r="J102" i="24"/>
  <c r="I102" i="24"/>
  <c r="M101" i="24"/>
  <c r="L101" i="24"/>
  <c r="K101" i="24"/>
  <c r="J101" i="24"/>
  <c r="I101" i="24"/>
  <c r="M100" i="24"/>
  <c r="L100" i="24"/>
  <c r="K100" i="24"/>
  <c r="J100" i="24"/>
  <c r="I100" i="24"/>
  <c r="M99" i="24"/>
  <c r="L99" i="24"/>
  <c r="K99" i="24"/>
  <c r="J99" i="24"/>
  <c r="I99" i="24"/>
  <c r="M98" i="24"/>
  <c r="L98" i="24"/>
  <c r="K98" i="24"/>
  <c r="J98" i="24"/>
  <c r="I98" i="24"/>
  <c r="M97" i="24"/>
  <c r="L97" i="24"/>
  <c r="K97" i="24"/>
  <c r="J97" i="24"/>
  <c r="I97" i="24"/>
  <c r="M96" i="24"/>
  <c r="L96" i="24"/>
  <c r="K96" i="24"/>
  <c r="J96" i="24"/>
  <c r="I96" i="24"/>
  <c r="M95" i="24"/>
  <c r="L95" i="24"/>
  <c r="K95" i="24"/>
  <c r="J95" i="24"/>
  <c r="I95" i="24"/>
  <c r="M94" i="24"/>
  <c r="L94" i="24"/>
  <c r="K94" i="24"/>
  <c r="J94" i="24"/>
  <c r="I94" i="24"/>
  <c r="M93" i="24"/>
  <c r="L93" i="24"/>
  <c r="K93" i="24"/>
  <c r="J93" i="24"/>
  <c r="I93" i="24"/>
  <c r="M92" i="24"/>
  <c r="L92" i="24"/>
  <c r="K92" i="24"/>
  <c r="J92" i="24"/>
  <c r="I92" i="24"/>
  <c r="M91" i="24"/>
  <c r="L91" i="24"/>
  <c r="K91" i="24"/>
  <c r="J91" i="24"/>
  <c r="I91" i="24"/>
  <c r="M90" i="24"/>
  <c r="L90" i="24"/>
  <c r="K90" i="24"/>
  <c r="J90" i="24"/>
  <c r="I90" i="24"/>
  <c r="M89" i="24"/>
  <c r="L89" i="24"/>
  <c r="K89" i="24"/>
  <c r="J89" i="24"/>
  <c r="I89" i="24"/>
  <c r="M88" i="24"/>
  <c r="L88" i="24"/>
  <c r="K88" i="24"/>
  <c r="J88" i="24"/>
  <c r="I88" i="24"/>
  <c r="M87" i="24"/>
  <c r="L87" i="24"/>
  <c r="K87" i="24"/>
  <c r="J87" i="24"/>
  <c r="I87" i="24"/>
  <c r="M86" i="24"/>
  <c r="L86" i="24"/>
  <c r="K86" i="24"/>
  <c r="J86" i="24"/>
  <c r="I86" i="24"/>
  <c r="M85" i="24"/>
  <c r="L85" i="24"/>
  <c r="K85" i="24"/>
  <c r="J85" i="24"/>
  <c r="I85" i="24"/>
  <c r="M84" i="24"/>
  <c r="L84" i="24"/>
  <c r="K84" i="24"/>
  <c r="J84" i="24"/>
  <c r="I84" i="24"/>
  <c r="M83" i="24"/>
  <c r="L83" i="24"/>
  <c r="K83" i="24"/>
  <c r="J83" i="24"/>
  <c r="I83" i="24"/>
  <c r="M82" i="24"/>
  <c r="L82" i="24"/>
  <c r="K82" i="24"/>
  <c r="J82" i="24"/>
  <c r="I82" i="24"/>
  <c r="M81" i="24"/>
  <c r="L81" i="24"/>
  <c r="K81" i="24"/>
  <c r="J81" i="24"/>
  <c r="I81" i="24"/>
  <c r="M80" i="24"/>
  <c r="L80" i="24"/>
  <c r="K80" i="24"/>
  <c r="J80" i="24"/>
  <c r="I80" i="24"/>
  <c r="M79" i="24"/>
  <c r="L79" i="24"/>
  <c r="K79" i="24"/>
  <c r="J79" i="24"/>
  <c r="I79" i="24"/>
  <c r="M78" i="24"/>
  <c r="L78" i="24"/>
  <c r="K78" i="24"/>
  <c r="J78" i="24"/>
  <c r="I78" i="24"/>
  <c r="M77" i="24"/>
  <c r="L77" i="24"/>
  <c r="K77" i="24"/>
  <c r="J77" i="24"/>
  <c r="I77" i="24"/>
  <c r="M76" i="24"/>
  <c r="L76" i="24"/>
  <c r="K76" i="24"/>
  <c r="J76" i="24"/>
  <c r="I76" i="24"/>
  <c r="M75" i="24"/>
  <c r="L75" i="24"/>
  <c r="K75" i="24"/>
  <c r="J75" i="24"/>
  <c r="I75" i="24"/>
  <c r="M74" i="24"/>
  <c r="L74" i="24"/>
  <c r="K74" i="24"/>
  <c r="J74" i="24"/>
  <c r="I74" i="24"/>
  <c r="M73" i="24"/>
  <c r="L73" i="24"/>
  <c r="K73" i="24"/>
  <c r="J73" i="24"/>
  <c r="I73" i="24"/>
  <c r="M72" i="24"/>
  <c r="L72" i="24"/>
  <c r="K72" i="24"/>
  <c r="J72" i="24"/>
  <c r="I72" i="24"/>
  <c r="M71" i="24"/>
  <c r="L71" i="24"/>
  <c r="K71" i="24"/>
  <c r="J71" i="24"/>
  <c r="I71" i="24"/>
  <c r="M70" i="24"/>
  <c r="L70" i="24"/>
  <c r="K70" i="24"/>
  <c r="J70" i="24"/>
  <c r="I70" i="24"/>
  <c r="M69" i="24"/>
  <c r="L69" i="24"/>
  <c r="K69" i="24"/>
  <c r="J69" i="24"/>
  <c r="I69" i="24"/>
  <c r="M68" i="24"/>
  <c r="L68" i="24"/>
  <c r="K68" i="24"/>
  <c r="J68" i="24"/>
  <c r="I68" i="24"/>
  <c r="M67" i="24"/>
  <c r="L67" i="24"/>
  <c r="K67" i="24"/>
  <c r="J67" i="24"/>
  <c r="I67" i="24"/>
  <c r="M66" i="24"/>
  <c r="L66" i="24"/>
  <c r="K66" i="24"/>
  <c r="J66" i="24"/>
  <c r="I66" i="24"/>
  <c r="M65" i="24"/>
  <c r="L65" i="24"/>
  <c r="K65" i="24"/>
  <c r="J65" i="24"/>
  <c r="I65" i="24"/>
  <c r="M64" i="24"/>
  <c r="L64" i="24"/>
  <c r="K64" i="24"/>
  <c r="J64" i="24"/>
  <c r="I64" i="24"/>
  <c r="M63" i="24"/>
  <c r="L63" i="24"/>
  <c r="K63" i="24"/>
  <c r="J63" i="24"/>
  <c r="I63" i="24"/>
  <c r="M62" i="24"/>
  <c r="L62" i="24"/>
  <c r="K62" i="24"/>
  <c r="J62" i="24"/>
  <c r="I62" i="24"/>
  <c r="M61" i="24"/>
  <c r="L61" i="24"/>
  <c r="K61" i="24"/>
  <c r="J61" i="24"/>
  <c r="I61" i="24"/>
  <c r="M60" i="24"/>
  <c r="L60" i="24"/>
  <c r="K60" i="24"/>
  <c r="J60" i="24"/>
  <c r="I60" i="24"/>
  <c r="M59" i="24"/>
  <c r="L59" i="24"/>
  <c r="K59" i="24"/>
  <c r="J59" i="24"/>
  <c r="I59" i="24"/>
  <c r="M58" i="24"/>
  <c r="L58" i="24"/>
  <c r="K58" i="24"/>
  <c r="J58" i="24"/>
  <c r="I58" i="24"/>
  <c r="M57" i="24"/>
  <c r="L57" i="24"/>
  <c r="K57" i="24"/>
  <c r="J57" i="24"/>
  <c r="I57" i="24"/>
  <c r="M56" i="24"/>
  <c r="L56" i="24"/>
  <c r="K56" i="24"/>
  <c r="J56" i="24"/>
  <c r="I56" i="24"/>
  <c r="M55" i="24"/>
  <c r="L55" i="24"/>
  <c r="K55" i="24"/>
  <c r="J55" i="24"/>
  <c r="I55" i="24"/>
  <c r="M54" i="24"/>
  <c r="L54" i="24"/>
  <c r="K54" i="24"/>
  <c r="J54" i="24"/>
  <c r="I54" i="24"/>
  <c r="M53" i="24"/>
  <c r="L53" i="24"/>
  <c r="K53" i="24"/>
  <c r="J53" i="24"/>
  <c r="I53" i="24"/>
  <c r="M52" i="24"/>
  <c r="L52" i="24"/>
  <c r="K52" i="24"/>
  <c r="J52" i="24"/>
  <c r="I52" i="24"/>
  <c r="M51" i="24"/>
  <c r="L51" i="24"/>
  <c r="K51" i="24"/>
  <c r="J51" i="24"/>
  <c r="I51" i="24"/>
  <c r="M50" i="24"/>
  <c r="L50" i="24"/>
  <c r="K50" i="24"/>
  <c r="J50" i="24"/>
  <c r="I50" i="24"/>
  <c r="M49" i="24"/>
  <c r="L49" i="24"/>
  <c r="K49" i="24"/>
  <c r="J49" i="24"/>
  <c r="I49" i="24"/>
  <c r="M48" i="24"/>
  <c r="L48" i="24"/>
  <c r="K48" i="24"/>
  <c r="J48" i="24"/>
  <c r="I48" i="24"/>
  <c r="M47" i="24"/>
  <c r="L47" i="24"/>
  <c r="K47" i="24"/>
  <c r="J47" i="24"/>
  <c r="I47" i="24"/>
  <c r="M46" i="24"/>
  <c r="L46" i="24"/>
  <c r="K46" i="24"/>
  <c r="J46" i="24"/>
  <c r="I46" i="24"/>
  <c r="M45" i="24"/>
  <c r="L45" i="24"/>
  <c r="K45" i="24"/>
  <c r="J45" i="24"/>
  <c r="I45" i="24"/>
  <c r="M44" i="24"/>
  <c r="L44" i="24"/>
  <c r="K44" i="24"/>
  <c r="J44" i="24"/>
  <c r="I44" i="24"/>
  <c r="M43" i="24"/>
  <c r="L43" i="24"/>
  <c r="K43" i="24"/>
  <c r="J43" i="24"/>
  <c r="I43" i="24"/>
  <c r="M42" i="24"/>
  <c r="L42" i="24"/>
  <c r="K42" i="24"/>
  <c r="J42" i="24"/>
  <c r="I42" i="24"/>
  <c r="M41" i="24"/>
  <c r="L41" i="24"/>
  <c r="K41" i="24"/>
  <c r="J41" i="24"/>
  <c r="I41" i="24"/>
  <c r="M40" i="24"/>
  <c r="L40" i="24"/>
  <c r="K40" i="24"/>
  <c r="J40" i="24"/>
  <c r="I40" i="24"/>
  <c r="M39" i="24"/>
  <c r="L39" i="24"/>
  <c r="K39" i="24"/>
  <c r="J39" i="24"/>
  <c r="I39" i="24"/>
  <c r="M38" i="24"/>
  <c r="L38" i="24"/>
  <c r="K38" i="24"/>
  <c r="J38" i="24"/>
  <c r="I38" i="24"/>
  <c r="M37" i="24"/>
  <c r="L37" i="24"/>
  <c r="K37" i="24"/>
  <c r="J37" i="24"/>
  <c r="I37" i="24"/>
  <c r="M36" i="24"/>
  <c r="L36" i="24"/>
  <c r="K36" i="24"/>
  <c r="J36" i="24"/>
  <c r="I36" i="24"/>
  <c r="M35" i="24"/>
  <c r="L35" i="24"/>
  <c r="K35" i="24"/>
  <c r="J35" i="24"/>
  <c r="I35" i="24"/>
  <c r="M34" i="24"/>
  <c r="L34" i="24"/>
  <c r="K34" i="24"/>
  <c r="J34" i="24"/>
  <c r="I34" i="24"/>
  <c r="M33" i="24"/>
  <c r="L33" i="24"/>
  <c r="K33" i="24"/>
  <c r="J33" i="24"/>
  <c r="I33" i="24"/>
  <c r="M32" i="24"/>
  <c r="L32" i="24"/>
  <c r="K32" i="24"/>
  <c r="J32" i="24"/>
  <c r="I32" i="24"/>
  <c r="M31" i="24"/>
  <c r="L31" i="24"/>
  <c r="K31" i="24"/>
  <c r="J31" i="24"/>
  <c r="I31" i="24"/>
  <c r="M30" i="24"/>
  <c r="L30" i="24"/>
  <c r="K30" i="24"/>
  <c r="J30" i="24"/>
  <c r="I30" i="24"/>
  <c r="M29" i="24"/>
  <c r="L29" i="24"/>
  <c r="K29" i="24"/>
  <c r="J29" i="24"/>
  <c r="I29" i="24"/>
  <c r="M28" i="24"/>
  <c r="L28" i="24"/>
  <c r="K28" i="24"/>
  <c r="J28" i="24"/>
  <c r="I28" i="24"/>
  <c r="M27" i="24"/>
  <c r="L27" i="24"/>
  <c r="K27" i="24"/>
  <c r="J27" i="24"/>
  <c r="I27" i="24"/>
  <c r="M26" i="24"/>
  <c r="L26" i="24"/>
  <c r="K26" i="24"/>
  <c r="J26" i="24"/>
  <c r="I26" i="24"/>
  <c r="M25" i="24"/>
  <c r="L25" i="24"/>
  <c r="K25" i="24"/>
  <c r="J25" i="24"/>
  <c r="I25" i="24"/>
  <c r="M24" i="24"/>
  <c r="L24" i="24"/>
  <c r="K24" i="24"/>
  <c r="J24" i="24"/>
  <c r="I24" i="24"/>
  <c r="M23" i="24"/>
  <c r="L23" i="24"/>
  <c r="K23" i="24"/>
  <c r="J23" i="24"/>
  <c r="I23" i="24"/>
  <c r="M22" i="24"/>
  <c r="L22" i="24"/>
  <c r="K22" i="24"/>
  <c r="J22" i="24"/>
  <c r="I22" i="24"/>
  <c r="M21" i="24"/>
  <c r="L21" i="24"/>
  <c r="K21" i="24"/>
  <c r="J21" i="24"/>
  <c r="I21" i="24"/>
  <c r="M20" i="24"/>
  <c r="L20" i="24"/>
  <c r="K20" i="24"/>
  <c r="J20" i="24"/>
  <c r="I20" i="24"/>
  <c r="M19" i="24"/>
  <c r="L19" i="24"/>
  <c r="K19" i="24"/>
  <c r="J19" i="24"/>
  <c r="I19" i="24"/>
  <c r="M18" i="24"/>
  <c r="L18" i="24"/>
  <c r="K18" i="24"/>
  <c r="J18" i="24"/>
  <c r="I18" i="24"/>
  <c r="M17" i="24"/>
  <c r="L17" i="24"/>
  <c r="K17" i="24"/>
  <c r="J17" i="24"/>
  <c r="I17" i="24"/>
  <c r="M16" i="24"/>
  <c r="L16" i="24"/>
  <c r="K16" i="24"/>
  <c r="J16" i="24"/>
  <c r="I16" i="24"/>
  <c r="M15" i="24"/>
  <c r="L15" i="24"/>
  <c r="K15" i="24"/>
  <c r="J15" i="24"/>
  <c r="I15" i="24"/>
  <c r="M14" i="24"/>
  <c r="L14" i="24"/>
  <c r="K14" i="24"/>
  <c r="J14" i="24"/>
  <c r="I14" i="24"/>
  <c r="M13" i="24"/>
  <c r="L13" i="24"/>
  <c r="K13" i="24"/>
  <c r="J13" i="24"/>
  <c r="I13" i="24"/>
  <c r="M12" i="24"/>
  <c r="L12" i="24"/>
  <c r="K12" i="24"/>
  <c r="J12" i="24"/>
  <c r="I12" i="24"/>
  <c r="M11" i="24"/>
  <c r="L11" i="24"/>
  <c r="K11" i="24"/>
  <c r="J11" i="24"/>
  <c r="I11" i="24"/>
  <c r="M10" i="24"/>
  <c r="L10" i="24"/>
  <c r="K10" i="24"/>
  <c r="J10" i="24"/>
  <c r="I10" i="24"/>
  <c r="M9" i="24"/>
  <c r="L9" i="24"/>
  <c r="K9" i="24"/>
  <c r="J9" i="24"/>
  <c r="I9" i="24"/>
  <c r="M8" i="24"/>
  <c r="L8" i="24"/>
  <c r="K8" i="24"/>
  <c r="J8" i="24"/>
  <c r="I8" i="24"/>
  <c r="B10" i="24"/>
  <c r="M7" i="24"/>
  <c r="L7" i="24"/>
  <c r="K7" i="24"/>
  <c r="J7" i="24"/>
  <c r="I7" i="24"/>
  <c r="C9" i="24"/>
  <c r="M6" i="24"/>
  <c r="L6" i="24"/>
  <c r="K6" i="24"/>
  <c r="J6" i="24"/>
  <c r="I6" i="24"/>
  <c r="C8" i="24"/>
  <c r="M5" i="24"/>
  <c r="L5" i="24"/>
  <c r="K5" i="24"/>
  <c r="J5" i="24"/>
  <c r="I5" i="24"/>
  <c r="C7" i="24"/>
  <c r="M4" i="24"/>
  <c r="L4" i="24"/>
  <c r="K4" i="24"/>
  <c r="J4" i="24"/>
  <c r="I4" i="24"/>
  <c r="C6" i="24"/>
  <c r="M3" i="24"/>
  <c r="L3" i="24"/>
  <c r="K3" i="24"/>
  <c r="J3" i="24"/>
  <c r="I3" i="24"/>
  <c r="C5" i="24"/>
  <c r="J5" i="13"/>
  <c r="G317" i="23"/>
  <c r="G316" i="23"/>
  <c r="G315" i="23"/>
  <c r="G314" i="23"/>
  <c r="G313" i="23"/>
  <c r="G312" i="23"/>
  <c r="G311" i="23"/>
  <c r="G310" i="23"/>
  <c r="H310" i="23" s="1"/>
  <c r="G309" i="23"/>
  <c r="G308" i="23"/>
  <c r="G307" i="23"/>
  <c r="G306" i="23"/>
  <c r="G305" i="23"/>
  <c r="H306" i="23" s="1"/>
  <c r="G304" i="23"/>
  <c r="G303" i="23"/>
  <c r="G302" i="23"/>
  <c r="G301" i="23"/>
  <c r="G300" i="23"/>
  <c r="G299" i="23"/>
  <c r="G298" i="23"/>
  <c r="G297" i="23"/>
  <c r="G296" i="23"/>
  <c r="G295" i="23"/>
  <c r="H296" i="23" s="1"/>
  <c r="G294" i="23"/>
  <c r="G293" i="23"/>
  <c r="G292" i="23"/>
  <c r="G291" i="23"/>
  <c r="G290" i="23"/>
  <c r="G289" i="23"/>
  <c r="G288" i="23"/>
  <c r="G287" i="23"/>
  <c r="G286" i="23"/>
  <c r="G285" i="23"/>
  <c r="G284" i="23"/>
  <c r="G283" i="23"/>
  <c r="G282" i="23"/>
  <c r="G281" i="23"/>
  <c r="G280" i="23"/>
  <c r="H280" i="23" s="1"/>
  <c r="G279" i="23"/>
  <c r="G278" i="23"/>
  <c r="G277" i="23"/>
  <c r="G276" i="23"/>
  <c r="G275" i="23"/>
  <c r="G274" i="23"/>
  <c r="G273" i="23"/>
  <c r="H273" i="23" s="1"/>
  <c r="G272" i="23"/>
  <c r="H272" i="23" s="1"/>
  <c r="G271" i="23"/>
  <c r="G270" i="23"/>
  <c r="G269" i="23"/>
  <c r="G268" i="23"/>
  <c r="G267" i="23"/>
  <c r="G266" i="23"/>
  <c r="G265" i="23"/>
  <c r="G264" i="23"/>
  <c r="G263" i="23"/>
  <c r="G262" i="23"/>
  <c r="H262" i="23" s="1"/>
  <c r="G261" i="23"/>
  <c r="G260" i="23"/>
  <c r="G259" i="23"/>
  <c r="G258" i="23"/>
  <c r="G257" i="23"/>
  <c r="H258" i="23" s="1"/>
  <c r="G256" i="23"/>
  <c r="H256" i="23" s="1"/>
  <c r="G255" i="23"/>
  <c r="G254" i="23"/>
  <c r="G253" i="23"/>
  <c r="G252" i="23"/>
  <c r="G251" i="23"/>
  <c r="G250" i="23"/>
  <c r="G249" i="23"/>
  <c r="G248" i="23"/>
  <c r="G247" i="23"/>
  <c r="H247" i="23" s="1"/>
  <c r="G246" i="23"/>
  <c r="G245" i="23"/>
  <c r="G244" i="23"/>
  <c r="G243" i="23"/>
  <c r="G242" i="23"/>
  <c r="G241" i="23"/>
  <c r="G240" i="23"/>
  <c r="H240" i="23" s="1"/>
  <c r="G239" i="23"/>
  <c r="G238" i="23"/>
  <c r="G237" i="23"/>
  <c r="G236" i="23"/>
  <c r="G235" i="23"/>
  <c r="G234" i="23"/>
  <c r="G233" i="23"/>
  <c r="G232" i="23"/>
  <c r="G231" i="23"/>
  <c r="H232" i="23" s="1"/>
  <c r="G230" i="23"/>
  <c r="G229" i="23"/>
  <c r="G228" i="23"/>
  <c r="G227" i="23"/>
  <c r="G226" i="23"/>
  <c r="G225" i="23"/>
  <c r="G224" i="23"/>
  <c r="G223" i="23"/>
  <c r="G222" i="23"/>
  <c r="G221" i="23"/>
  <c r="G220" i="23"/>
  <c r="G219" i="23"/>
  <c r="G218" i="23"/>
  <c r="G217" i="23"/>
  <c r="G216" i="23"/>
  <c r="G215" i="23"/>
  <c r="G214" i="23"/>
  <c r="H214" i="23" s="1"/>
  <c r="G213" i="23"/>
  <c r="G212" i="23"/>
  <c r="G211" i="23"/>
  <c r="G210" i="23"/>
  <c r="G209" i="23"/>
  <c r="G208" i="23"/>
  <c r="G207" i="23"/>
  <c r="G206" i="23"/>
  <c r="G205" i="23"/>
  <c r="G204" i="23"/>
  <c r="G203" i="23"/>
  <c r="G202" i="23"/>
  <c r="G201" i="23"/>
  <c r="G200" i="23"/>
  <c r="G199" i="23"/>
  <c r="H199" i="23" s="1"/>
  <c r="G198" i="23"/>
  <c r="G197" i="23"/>
  <c r="G196" i="23"/>
  <c r="G195" i="23"/>
  <c r="G194" i="23"/>
  <c r="G193" i="23"/>
  <c r="G192" i="23"/>
  <c r="G191" i="23"/>
  <c r="G190" i="23"/>
  <c r="G189" i="23"/>
  <c r="G188" i="23"/>
  <c r="G187" i="23"/>
  <c r="G186" i="23"/>
  <c r="G185" i="23"/>
  <c r="G184" i="23"/>
  <c r="H184" i="23" s="1"/>
  <c r="G183" i="23"/>
  <c r="G182" i="23"/>
  <c r="H182" i="23" s="1"/>
  <c r="G181" i="23"/>
  <c r="G180" i="23"/>
  <c r="G179" i="23"/>
  <c r="G178" i="23"/>
  <c r="G177" i="23"/>
  <c r="H177" i="23" s="1"/>
  <c r="G176" i="23"/>
  <c r="H176" i="23" s="1"/>
  <c r="G175" i="23"/>
  <c r="G174" i="23"/>
  <c r="H174" i="23" s="1"/>
  <c r="G173" i="23"/>
  <c r="G172" i="23"/>
  <c r="G171" i="23"/>
  <c r="G170" i="23"/>
  <c r="G169" i="23"/>
  <c r="G168" i="23"/>
  <c r="G167" i="23"/>
  <c r="G166" i="23"/>
  <c r="G165" i="23"/>
  <c r="G164" i="23"/>
  <c r="G163" i="23"/>
  <c r="G162" i="23"/>
  <c r="G161" i="23"/>
  <c r="H162" i="23" s="1"/>
  <c r="G160" i="23"/>
  <c r="G159" i="23"/>
  <c r="H159" i="23" s="1"/>
  <c r="G158" i="23"/>
  <c r="G157" i="23"/>
  <c r="G156" i="23"/>
  <c r="G155" i="23"/>
  <c r="G154" i="23"/>
  <c r="G153" i="23"/>
  <c r="G152" i="23"/>
  <c r="H152" i="23" s="1"/>
  <c r="G151" i="23"/>
  <c r="G150" i="23"/>
  <c r="G149" i="23"/>
  <c r="G148" i="23"/>
  <c r="G147" i="23"/>
  <c r="G146" i="23"/>
  <c r="G145" i="23"/>
  <c r="H145" i="23" s="1"/>
  <c r="G144" i="23"/>
  <c r="G143" i="23"/>
  <c r="H144" i="23" s="1"/>
  <c r="G142" i="23"/>
  <c r="G141" i="23"/>
  <c r="G140" i="23"/>
  <c r="G139" i="23"/>
  <c r="G138" i="23"/>
  <c r="G137" i="23"/>
  <c r="G136" i="23"/>
  <c r="G135" i="23"/>
  <c r="G134" i="23"/>
  <c r="G133" i="23"/>
  <c r="G132" i="23"/>
  <c r="G131" i="23"/>
  <c r="G130" i="23"/>
  <c r="G129" i="23"/>
  <c r="G128" i="23"/>
  <c r="H128" i="23" s="1"/>
  <c r="G127" i="23"/>
  <c r="G126" i="23"/>
  <c r="H126" i="23" s="1"/>
  <c r="G125" i="23"/>
  <c r="G124" i="23"/>
  <c r="G123" i="23"/>
  <c r="G122" i="23"/>
  <c r="G121" i="23"/>
  <c r="H122" i="23" s="1"/>
  <c r="G120" i="23"/>
  <c r="G119" i="23"/>
  <c r="H120" i="23" s="1"/>
  <c r="G118" i="23"/>
  <c r="H118" i="23" s="1"/>
  <c r="G117" i="23"/>
  <c r="G116" i="23"/>
  <c r="G115" i="23"/>
  <c r="G114" i="23"/>
  <c r="G113" i="23"/>
  <c r="G112" i="23"/>
  <c r="H112" i="23" s="1"/>
  <c r="G111" i="23"/>
  <c r="G110" i="23"/>
  <c r="G109" i="23"/>
  <c r="G108" i="23"/>
  <c r="G107" i="23"/>
  <c r="G106" i="23"/>
  <c r="G105" i="23"/>
  <c r="H105" i="23" s="1"/>
  <c r="G104" i="23"/>
  <c r="G103" i="23"/>
  <c r="H104" i="23" s="1"/>
  <c r="G102" i="23"/>
  <c r="G101" i="23"/>
  <c r="G100" i="23"/>
  <c r="G99" i="23"/>
  <c r="G98" i="23"/>
  <c r="G97" i="23"/>
  <c r="H97" i="23" s="1"/>
  <c r="G96" i="23"/>
  <c r="G95" i="23"/>
  <c r="G94" i="23"/>
  <c r="H94" i="23" s="1"/>
  <c r="G93" i="23"/>
  <c r="G92" i="23"/>
  <c r="G91" i="23"/>
  <c r="G90" i="23"/>
  <c r="G89" i="23"/>
  <c r="G88" i="23"/>
  <c r="G87" i="23"/>
  <c r="G86" i="23"/>
  <c r="H86" i="23" s="1"/>
  <c r="G85" i="23"/>
  <c r="G84" i="23"/>
  <c r="G83" i="23"/>
  <c r="G82" i="23"/>
  <c r="G81" i="23"/>
  <c r="G80" i="23"/>
  <c r="G79" i="23"/>
  <c r="G78" i="23"/>
  <c r="G77" i="23"/>
  <c r="G76" i="23"/>
  <c r="G75" i="23"/>
  <c r="H75" i="23" s="1"/>
  <c r="G74" i="23"/>
  <c r="G73" i="23"/>
  <c r="G72" i="23"/>
  <c r="G71" i="23"/>
  <c r="H72" i="23" s="1"/>
  <c r="G70" i="23"/>
  <c r="H71" i="23" s="1"/>
  <c r="G69" i="23"/>
  <c r="G68" i="23"/>
  <c r="G67" i="23"/>
  <c r="H67" i="23" s="1"/>
  <c r="G66" i="23"/>
  <c r="G65" i="23"/>
  <c r="G64" i="23"/>
  <c r="G63" i="23"/>
  <c r="G62" i="23"/>
  <c r="G61" i="23"/>
  <c r="G60" i="23"/>
  <c r="G59" i="23"/>
  <c r="G58" i="23"/>
  <c r="G57" i="23"/>
  <c r="G56" i="23"/>
  <c r="H56" i="23" s="1"/>
  <c r="G55" i="23"/>
  <c r="G54" i="23"/>
  <c r="H54" i="23" s="1"/>
  <c r="G53" i="23"/>
  <c r="G52" i="23"/>
  <c r="G51" i="23"/>
  <c r="G50" i="23"/>
  <c r="G49" i="23"/>
  <c r="H49" i="23" s="1"/>
  <c r="G48" i="23"/>
  <c r="G47" i="23"/>
  <c r="H48" i="23" s="1"/>
  <c r="G46" i="23"/>
  <c r="H46" i="23" s="1"/>
  <c r="G45" i="23"/>
  <c r="G44" i="23"/>
  <c r="G43" i="23"/>
  <c r="G42" i="23"/>
  <c r="G41" i="23"/>
  <c r="G40" i="23"/>
  <c r="G39" i="23"/>
  <c r="H40" i="23" s="1"/>
  <c r="G38" i="23"/>
  <c r="H38" i="23" s="1"/>
  <c r="G37" i="23"/>
  <c r="G36" i="23"/>
  <c r="G35" i="23"/>
  <c r="G34" i="23"/>
  <c r="G33" i="23"/>
  <c r="G32" i="23"/>
  <c r="H32" i="23" s="1"/>
  <c r="G31" i="23"/>
  <c r="H31" i="23" s="1"/>
  <c r="G30" i="23"/>
  <c r="G29" i="23"/>
  <c r="G28" i="23"/>
  <c r="G27" i="23"/>
  <c r="G26" i="23"/>
  <c r="G25" i="23"/>
  <c r="G24" i="23"/>
  <c r="H24" i="23" s="1"/>
  <c r="G23" i="23"/>
  <c r="G22" i="23"/>
  <c r="G21" i="23"/>
  <c r="G20" i="23"/>
  <c r="G19" i="23"/>
  <c r="G18" i="23"/>
  <c r="G17" i="23"/>
  <c r="G16" i="23"/>
  <c r="H16" i="23" s="1"/>
  <c r="G15" i="23"/>
  <c r="G14" i="23"/>
  <c r="H14" i="23" s="1"/>
  <c r="G13" i="23"/>
  <c r="G12" i="23"/>
  <c r="G11" i="23"/>
  <c r="G10" i="23"/>
  <c r="G9" i="23"/>
  <c r="G8" i="23"/>
  <c r="G7" i="23"/>
  <c r="G6" i="23"/>
  <c r="H6" i="23" s="1"/>
  <c r="G5" i="23"/>
  <c r="G4" i="23"/>
  <c r="G3" i="23"/>
  <c r="G2" i="23"/>
  <c r="D317" i="23"/>
  <c r="D316" i="23"/>
  <c r="D315" i="23"/>
  <c r="H314" i="23"/>
  <c r="D314" i="23"/>
  <c r="D313" i="23"/>
  <c r="D312" i="23"/>
  <c r="D311" i="23"/>
  <c r="D310" i="23"/>
  <c r="D309" i="23"/>
  <c r="D308" i="23"/>
  <c r="D307" i="23"/>
  <c r="D306" i="23"/>
  <c r="D305" i="23"/>
  <c r="D304" i="23"/>
  <c r="D303" i="23"/>
  <c r="D302" i="23"/>
  <c r="D301" i="23"/>
  <c r="D300" i="23"/>
  <c r="H299" i="23"/>
  <c r="D299" i="23"/>
  <c r="D298" i="23"/>
  <c r="D297" i="23"/>
  <c r="D296" i="23"/>
  <c r="D295" i="23"/>
  <c r="D294" i="23"/>
  <c r="D293" i="23"/>
  <c r="D292" i="23"/>
  <c r="D291" i="23"/>
  <c r="D290" i="23"/>
  <c r="D289" i="23"/>
  <c r="H288" i="23"/>
  <c r="D288" i="23"/>
  <c r="D287" i="23"/>
  <c r="D286" i="23"/>
  <c r="D285" i="23"/>
  <c r="D284" i="23"/>
  <c r="D283" i="23"/>
  <c r="D282" i="23"/>
  <c r="H281" i="23"/>
  <c r="D281" i="23"/>
  <c r="D280" i="23"/>
  <c r="D279" i="23"/>
  <c r="D278" i="23"/>
  <c r="H277" i="23"/>
  <c r="D277" i="23"/>
  <c r="D276" i="23"/>
  <c r="D275" i="23"/>
  <c r="D274" i="23"/>
  <c r="D273" i="23"/>
  <c r="D272" i="23"/>
  <c r="D271" i="23"/>
  <c r="D270" i="23"/>
  <c r="H269" i="23"/>
  <c r="D269" i="23"/>
  <c r="D268" i="23"/>
  <c r="H267" i="23"/>
  <c r="D267" i="23"/>
  <c r="H266" i="23"/>
  <c r="D266" i="23"/>
  <c r="D265" i="23"/>
  <c r="H264" i="23"/>
  <c r="D264" i="23"/>
  <c r="D263" i="23"/>
  <c r="D262" i="23"/>
  <c r="D261" i="23"/>
  <c r="D260" i="23"/>
  <c r="H259" i="23"/>
  <c r="D259" i="23"/>
  <c r="D258" i="23"/>
  <c r="D257" i="23"/>
  <c r="D256" i="23"/>
  <c r="D255" i="23"/>
  <c r="D254" i="23"/>
  <c r="D253" i="23"/>
  <c r="H253" i="23"/>
  <c r="D252" i="23"/>
  <c r="H251" i="23"/>
  <c r="D251" i="23"/>
  <c r="D250" i="23"/>
  <c r="D249" i="23"/>
  <c r="H248" i="23"/>
  <c r="D248" i="23"/>
  <c r="D247" i="23"/>
  <c r="D246" i="23"/>
  <c r="D245" i="23"/>
  <c r="H245" i="23"/>
  <c r="D244" i="23"/>
  <c r="H243" i="23"/>
  <c r="D243" i="23"/>
  <c r="D242" i="23"/>
  <c r="D241" i="23"/>
  <c r="D240" i="23"/>
  <c r="D239" i="23"/>
  <c r="D238" i="23"/>
  <c r="D237" i="23"/>
  <c r="H237" i="23"/>
  <c r="D236" i="23"/>
  <c r="D235" i="23"/>
  <c r="D234" i="23"/>
  <c r="D233" i="23"/>
  <c r="D232" i="23"/>
  <c r="D231" i="23"/>
  <c r="D230" i="23"/>
  <c r="D229" i="23"/>
  <c r="D228" i="23"/>
  <c r="D227" i="23"/>
  <c r="D226" i="23"/>
  <c r="H225" i="23"/>
  <c r="D225" i="23"/>
  <c r="H224" i="23"/>
  <c r="D224" i="23"/>
  <c r="D223" i="23"/>
  <c r="D222" i="23"/>
  <c r="D221" i="23"/>
  <c r="D220" i="23"/>
  <c r="D219" i="23"/>
  <c r="D218" i="23"/>
  <c r="D217" i="23"/>
  <c r="D216" i="23"/>
  <c r="D215" i="23"/>
  <c r="D214" i="23"/>
  <c r="D213" i="23"/>
  <c r="H213" i="23"/>
  <c r="D212" i="23"/>
  <c r="D211" i="23"/>
  <c r="D210" i="23"/>
  <c r="D209" i="23"/>
  <c r="D208" i="23"/>
  <c r="D207" i="23"/>
  <c r="D206" i="23"/>
  <c r="D205" i="23"/>
  <c r="H205" i="23"/>
  <c r="D204" i="23"/>
  <c r="H203" i="23"/>
  <c r="D203" i="23"/>
  <c r="D202" i="23"/>
  <c r="D201" i="23"/>
  <c r="D200" i="23"/>
  <c r="D199" i="23"/>
  <c r="D198" i="23"/>
  <c r="D197" i="23"/>
  <c r="H196" i="23"/>
  <c r="D196" i="23"/>
  <c r="H195" i="23"/>
  <c r="D195" i="23"/>
  <c r="D194" i="23"/>
  <c r="D193" i="23"/>
  <c r="H192" i="23"/>
  <c r="D192" i="23"/>
  <c r="D191" i="23"/>
  <c r="D190" i="23"/>
  <c r="D189" i="23"/>
  <c r="D188" i="23"/>
  <c r="D187" i="23"/>
  <c r="D186" i="23"/>
  <c r="H185" i="23"/>
  <c r="D185" i="23"/>
  <c r="D184" i="23"/>
  <c r="D183" i="23"/>
  <c r="D182" i="23"/>
  <c r="D181" i="23"/>
  <c r="D180" i="23"/>
  <c r="D179" i="23"/>
  <c r="D178" i="23"/>
  <c r="D177" i="23"/>
  <c r="D176" i="23"/>
  <c r="D175" i="23"/>
  <c r="D174" i="23"/>
  <c r="D173" i="23"/>
  <c r="D172" i="23"/>
  <c r="D171" i="23"/>
  <c r="D170" i="23"/>
  <c r="D169" i="23"/>
  <c r="D168" i="23"/>
  <c r="D167" i="23"/>
  <c r="H166" i="23"/>
  <c r="D166" i="23"/>
  <c r="D165" i="23"/>
  <c r="D164" i="23"/>
  <c r="H163" i="23"/>
  <c r="D163" i="23"/>
  <c r="D162" i="23"/>
  <c r="D161" i="23"/>
  <c r="D160" i="23"/>
  <c r="D159" i="23"/>
  <c r="D158" i="23"/>
  <c r="D157" i="23"/>
  <c r="H156" i="23"/>
  <c r="D156" i="23"/>
  <c r="H155" i="23"/>
  <c r="D155" i="23"/>
  <c r="D154" i="23"/>
  <c r="D153" i="23"/>
  <c r="D152" i="23"/>
  <c r="D151" i="23"/>
  <c r="D150" i="23"/>
  <c r="D149" i="23"/>
  <c r="D148" i="23"/>
  <c r="D147" i="23"/>
  <c r="D146" i="23"/>
  <c r="D145" i="23"/>
  <c r="D144" i="23"/>
  <c r="D143" i="23"/>
  <c r="D142" i="23"/>
  <c r="H141" i="23"/>
  <c r="D141" i="23"/>
  <c r="D140" i="23"/>
  <c r="D139" i="23"/>
  <c r="D138" i="23"/>
  <c r="H137" i="23"/>
  <c r="D137" i="23"/>
  <c r="D136" i="23"/>
  <c r="D135" i="23"/>
  <c r="D134" i="23"/>
  <c r="H133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H115" i="23"/>
  <c r="D115" i="23"/>
  <c r="D114" i="23"/>
  <c r="D113" i="23"/>
  <c r="D112" i="23"/>
  <c r="D111" i="23"/>
  <c r="D110" i="23"/>
  <c r="H109" i="23"/>
  <c r="D109" i="23"/>
  <c r="H108" i="23"/>
  <c r="D108" i="23"/>
  <c r="D107" i="23"/>
  <c r="D106" i="23"/>
  <c r="D105" i="23"/>
  <c r="D104" i="23"/>
  <c r="D103" i="23"/>
  <c r="D102" i="23"/>
  <c r="H101" i="23"/>
  <c r="D101" i="23"/>
  <c r="D100" i="23"/>
  <c r="D99" i="23"/>
  <c r="D98" i="23"/>
  <c r="D97" i="23"/>
  <c r="H96" i="23"/>
  <c r="D96" i="23"/>
  <c r="D95" i="23"/>
  <c r="D94" i="23"/>
  <c r="H93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H64" i="23"/>
  <c r="D64" i="23"/>
  <c r="D63" i="23"/>
  <c r="D62" i="23"/>
  <c r="D61" i="23"/>
  <c r="D60" i="23"/>
  <c r="D59" i="23"/>
  <c r="D58" i="23"/>
  <c r="H57" i="23"/>
  <c r="D57" i="23"/>
  <c r="D56" i="23"/>
  <c r="D55" i="23"/>
  <c r="D54" i="23"/>
  <c r="H53" i="23"/>
  <c r="D53" i="23"/>
  <c r="D52" i="23"/>
  <c r="D51" i="23"/>
  <c r="D50" i="23"/>
  <c r="D49" i="23"/>
  <c r="D48" i="23"/>
  <c r="D47" i="23"/>
  <c r="D46" i="23"/>
  <c r="D45" i="23"/>
  <c r="H45" i="23"/>
  <c r="D44" i="23"/>
  <c r="D43" i="23"/>
  <c r="D42" i="23"/>
  <c r="D41" i="23"/>
  <c r="D40" i="23"/>
  <c r="D39" i="23"/>
  <c r="D38" i="23"/>
  <c r="D37" i="23"/>
  <c r="D36" i="23"/>
  <c r="D35" i="23"/>
  <c r="H34" i="23"/>
  <c r="D34" i="23"/>
  <c r="D33" i="23"/>
  <c r="D32" i="23"/>
  <c r="D31" i="23"/>
  <c r="H30" i="23"/>
  <c r="D30" i="23"/>
  <c r="D29" i="23"/>
  <c r="H29" i="23"/>
  <c r="D28" i="23"/>
  <c r="H27" i="23"/>
  <c r="D27" i="23"/>
  <c r="D26" i="23"/>
  <c r="H25" i="23"/>
  <c r="D25" i="23"/>
  <c r="D24" i="23"/>
  <c r="D23" i="23"/>
  <c r="D22" i="23"/>
  <c r="H21" i="23"/>
  <c r="D21" i="23"/>
  <c r="D20" i="23"/>
  <c r="D19" i="23"/>
  <c r="D18" i="23"/>
  <c r="D17" i="23"/>
  <c r="D16" i="23"/>
  <c r="D15" i="23"/>
  <c r="D14" i="23"/>
  <c r="H13" i="23"/>
  <c r="D13" i="23"/>
  <c r="D12" i="23"/>
  <c r="D11" i="23"/>
  <c r="D10" i="23"/>
  <c r="H9" i="23"/>
  <c r="D9" i="23"/>
  <c r="D8" i="23"/>
  <c r="D7" i="23"/>
  <c r="K6" i="23"/>
  <c r="D6" i="23"/>
  <c r="K5" i="23"/>
  <c r="D5" i="23"/>
  <c r="H4" i="23"/>
  <c r="D4" i="23"/>
  <c r="D3" i="23"/>
  <c r="G2" i="22"/>
  <c r="H3" i="22"/>
  <c r="G317" i="22"/>
  <c r="G316" i="22"/>
  <c r="G315" i="22"/>
  <c r="G314" i="22"/>
  <c r="H314" i="22" s="1"/>
  <c r="G313" i="22"/>
  <c r="G312" i="22"/>
  <c r="H312" i="22" s="1"/>
  <c r="G311" i="22"/>
  <c r="G310" i="22"/>
  <c r="H310" i="22" s="1"/>
  <c r="G309" i="22"/>
  <c r="G308" i="22"/>
  <c r="G307" i="22"/>
  <c r="G306" i="22"/>
  <c r="G305" i="22"/>
  <c r="G304" i="22"/>
  <c r="H304" i="22" s="1"/>
  <c r="G303" i="22"/>
  <c r="H303" i="22" s="1"/>
  <c r="G302" i="22"/>
  <c r="H302" i="22" s="1"/>
  <c r="G301" i="22"/>
  <c r="G300" i="22"/>
  <c r="G299" i="22"/>
  <c r="G298" i="22"/>
  <c r="G297" i="22"/>
  <c r="G296" i="22"/>
  <c r="H296" i="22" s="1"/>
  <c r="G295" i="22"/>
  <c r="H295" i="22" s="1"/>
  <c r="G294" i="22"/>
  <c r="G293" i="22"/>
  <c r="G292" i="22"/>
  <c r="G291" i="22"/>
  <c r="G290" i="22"/>
  <c r="H291" i="22" s="1"/>
  <c r="G289" i="22"/>
  <c r="G288" i="22"/>
  <c r="H288" i="22" s="1"/>
  <c r="G287" i="22"/>
  <c r="H287" i="22" s="1"/>
  <c r="G286" i="22"/>
  <c r="G285" i="22"/>
  <c r="G284" i="22"/>
  <c r="G283" i="22"/>
  <c r="G282" i="22"/>
  <c r="G281" i="22"/>
  <c r="G280" i="22"/>
  <c r="G279" i="22"/>
  <c r="G278" i="22"/>
  <c r="G277" i="22"/>
  <c r="G276" i="22"/>
  <c r="G275" i="22"/>
  <c r="G274" i="22"/>
  <c r="G273" i="22"/>
  <c r="G272" i="22"/>
  <c r="G271" i="22"/>
  <c r="H272" i="22" s="1"/>
  <c r="G270" i="22"/>
  <c r="G269" i="22"/>
  <c r="G268" i="22"/>
  <c r="G267" i="22"/>
  <c r="G266" i="22"/>
  <c r="G265" i="22"/>
  <c r="H265" i="22" s="1"/>
  <c r="G264" i="22"/>
  <c r="H264" i="22" s="1"/>
  <c r="G263" i="22"/>
  <c r="G262" i="22"/>
  <c r="G261" i="22"/>
  <c r="G260" i="22"/>
  <c r="G259" i="22"/>
  <c r="G258" i="22"/>
  <c r="G257" i="22"/>
  <c r="H257" i="22" s="1"/>
  <c r="G256" i="22"/>
  <c r="H256" i="22" s="1"/>
  <c r="G255" i="22"/>
  <c r="G254" i="22"/>
  <c r="H254" i="22" s="1"/>
  <c r="G253" i="22"/>
  <c r="G252" i="22"/>
  <c r="G251" i="22"/>
  <c r="G250" i="22"/>
  <c r="G249" i="22"/>
  <c r="G248" i="22"/>
  <c r="G247" i="22"/>
  <c r="G246" i="22"/>
  <c r="H246" i="22" s="1"/>
  <c r="G245" i="22"/>
  <c r="G244" i="22"/>
  <c r="G243" i="22"/>
  <c r="G242" i="22"/>
  <c r="G241" i="22"/>
  <c r="G240" i="22"/>
  <c r="H240" i="22" s="1"/>
  <c r="G239" i="22"/>
  <c r="G238" i="22"/>
  <c r="H238" i="22" s="1"/>
  <c r="G237" i="22"/>
  <c r="G236" i="22"/>
  <c r="G235" i="22"/>
  <c r="G234" i="22"/>
  <c r="G233" i="22"/>
  <c r="G232" i="22"/>
  <c r="G231" i="22"/>
  <c r="H232" i="22" s="1"/>
  <c r="G230" i="22"/>
  <c r="G229" i="22"/>
  <c r="G228" i="22"/>
  <c r="G227" i="22"/>
  <c r="G226" i="22"/>
  <c r="G225" i="22"/>
  <c r="G224" i="22"/>
  <c r="H224" i="22" s="1"/>
  <c r="G223" i="22"/>
  <c r="G222" i="22"/>
  <c r="G221" i="22"/>
  <c r="G220" i="22"/>
  <c r="G219" i="22"/>
  <c r="G218" i="22"/>
  <c r="G217" i="22"/>
  <c r="G216" i="22"/>
  <c r="H216" i="22" s="1"/>
  <c r="G215" i="22"/>
  <c r="G214" i="22"/>
  <c r="G213" i="22"/>
  <c r="G212" i="22"/>
  <c r="G211" i="22"/>
  <c r="G210" i="22"/>
  <c r="G209" i="22"/>
  <c r="H209" i="22" s="1"/>
  <c r="G208" i="22"/>
  <c r="H208" i="22" s="1"/>
  <c r="G207" i="22"/>
  <c r="G206" i="22"/>
  <c r="G205" i="22"/>
  <c r="G204" i="22"/>
  <c r="G203" i="22"/>
  <c r="G202" i="22"/>
  <c r="G201" i="22"/>
  <c r="G200" i="22"/>
  <c r="H200" i="22" s="1"/>
  <c r="G199" i="22"/>
  <c r="G198" i="22"/>
  <c r="H198" i="22" s="1"/>
  <c r="G197" i="22"/>
  <c r="G196" i="22"/>
  <c r="G195" i="22"/>
  <c r="G194" i="22"/>
  <c r="G193" i="22"/>
  <c r="G192" i="22"/>
  <c r="G191" i="22"/>
  <c r="H192" i="22" s="1"/>
  <c r="G190" i="22"/>
  <c r="H190" i="22" s="1"/>
  <c r="G189" i="22"/>
  <c r="G188" i="22"/>
  <c r="G187" i="22"/>
  <c r="G186" i="22"/>
  <c r="G185" i="22"/>
  <c r="G184" i="22"/>
  <c r="H184" i="22" s="1"/>
  <c r="G183" i="22"/>
  <c r="H183" i="22" s="1"/>
  <c r="G182" i="22"/>
  <c r="H182" i="22" s="1"/>
  <c r="G181" i="22"/>
  <c r="G180" i="22"/>
  <c r="G179" i="22"/>
  <c r="G178" i="22"/>
  <c r="H179" i="22" s="1"/>
  <c r="G177" i="22"/>
  <c r="G176" i="22"/>
  <c r="H176" i="22" s="1"/>
  <c r="G175" i="22"/>
  <c r="G174" i="22"/>
  <c r="G173" i="22"/>
  <c r="G172" i="22"/>
  <c r="G171" i="22"/>
  <c r="G170" i="22"/>
  <c r="G169" i="22"/>
  <c r="G168" i="22"/>
  <c r="G167" i="22"/>
  <c r="H168" i="22" s="1"/>
  <c r="G166" i="22"/>
  <c r="G165" i="22"/>
  <c r="G164" i="22"/>
  <c r="G163" i="22"/>
  <c r="G162" i="22"/>
  <c r="G161" i="22"/>
  <c r="G160" i="22"/>
  <c r="H160" i="22" s="1"/>
  <c r="G159" i="22"/>
  <c r="G158" i="22"/>
  <c r="G157" i="22"/>
  <c r="G156" i="22"/>
  <c r="G155" i="22"/>
  <c r="G154" i="22"/>
  <c r="G153" i="22"/>
  <c r="H153" i="22" s="1"/>
  <c r="G152" i="22"/>
  <c r="G151" i="22"/>
  <c r="G150" i="22"/>
  <c r="G149" i="22"/>
  <c r="G148" i="22"/>
  <c r="G147" i="22"/>
  <c r="G146" i="22"/>
  <c r="H146" i="22" s="1"/>
  <c r="G145" i="22"/>
  <c r="G144" i="22"/>
  <c r="G143" i="22"/>
  <c r="G142" i="22"/>
  <c r="H142" i="22" s="1"/>
  <c r="G141" i="22"/>
  <c r="G140" i="22"/>
  <c r="G139" i="22"/>
  <c r="G138" i="22"/>
  <c r="G137" i="22"/>
  <c r="G136" i="22"/>
  <c r="G135" i="22"/>
  <c r="G134" i="22"/>
  <c r="H134" i="22" s="1"/>
  <c r="G133" i="22"/>
  <c r="G132" i="22"/>
  <c r="G131" i="22"/>
  <c r="G130" i="22"/>
  <c r="H131" i="22" s="1"/>
  <c r="G129" i="22"/>
  <c r="G128" i="22"/>
  <c r="G127" i="22"/>
  <c r="H128" i="22" s="1"/>
  <c r="G126" i="22"/>
  <c r="G125" i="22"/>
  <c r="G124" i="22"/>
  <c r="G123" i="22"/>
  <c r="G122" i="22"/>
  <c r="G121" i="22"/>
  <c r="G120" i="22"/>
  <c r="H120" i="22" s="1"/>
  <c r="G119" i="22"/>
  <c r="H119" i="22" s="1"/>
  <c r="G118" i="22"/>
  <c r="G117" i="22"/>
  <c r="G116" i="22"/>
  <c r="G115" i="22"/>
  <c r="G114" i="22"/>
  <c r="H114" i="22" s="1"/>
  <c r="G113" i="22"/>
  <c r="G112" i="22"/>
  <c r="H112" i="22" s="1"/>
  <c r="G111" i="22"/>
  <c r="G110" i="22"/>
  <c r="G109" i="22"/>
  <c r="G108" i="22"/>
  <c r="G107" i="22"/>
  <c r="G106" i="22"/>
  <c r="H107" i="22" s="1"/>
  <c r="G105" i="22"/>
  <c r="H105" i="22" s="1"/>
  <c r="G104" i="22"/>
  <c r="H104" i="22" s="1"/>
  <c r="G103" i="22"/>
  <c r="G102" i="22"/>
  <c r="G101" i="22"/>
  <c r="G100" i="22"/>
  <c r="G99" i="22"/>
  <c r="G98" i="22"/>
  <c r="G97" i="22"/>
  <c r="G96" i="22"/>
  <c r="G95" i="22"/>
  <c r="H96" i="22" s="1"/>
  <c r="G94" i="22"/>
  <c r="H94" i="22" s="1"/>
  <c r="G93" i="22"/>
  <c r="G92" i="22"/>
  <c r="G91" i="22"/>
  <c r="G90" i="22"/>
  <c r="G89" i="22"/>
  <c r="G88" i="22"/>
  <c r="G87" i="22"/>
  <c r="H88" i="22" s="1"/>
  <c r="G86" i="22"/>
  <c r="H86" i="22" s="1"/>
  <c r="G85" i="22"/>
  <c r="G84" i="22"/>
  <c r="G83" i="22"/>
  <c r="G82" i="22"/>
  <c r="G81" i="22"/>
  <c r="G80" i="22"/>
  <c r="G79" i="22"/>
  <c r="G78" i="22"/>
  <c r="H78" i="22" s="1"/>
  <c r="G77" i="22"/>
  <c r="G76" i="22"/>
  <c r="G75" i="22"/>
  <c r="G74" i="22"/>
  <c r="G73" i="22"/>
  <c r="H74" i="22" s="1"/>
  <c r="G72" i="22"/>
  <c r="H72" i="22" s="1"/>
  <c r="G71" i="22"/>
  <c r="G70" i="22"/>
  <c r="G69" i="22"/>
  <c r="G68" i="22"/>
  <c r="G67" i="22"/>
  <c r="G66" i="22"/>
  <c r="H66" i="22" s="1"/>
  <c r="G65" i="22"/>
  <c r="G64" i="22"/>
  <c r="H64" i="22" s="1"/>
  <c r="G63" i="22"/>
  <c r="G62" i="22"/>
  <c r="G61" i="22"/>
  <c r="G60" i="22"/>
  <c r="G59" i="22"/>
  <c r="G58" i="22"/>
  <c r="G57" i="22"/>
  <c r="G56" i="22"/>
  <c r="G55" i="22"/>
  <c r="G54" i="22"/>
  <c r="G53" i="22"/>
  <c r="G52" i="22"/>
  <c r="G51" i="22"/>
  <c r="G50" i="22"/>
  <c r="G49" i="22"/>
  <c r="G48" i="22"/>
  <c r="H48" i="22" s="1"/>
  <c r="G47" i="22"/>
  <c r="G46" i="22"/>
  <c r="G45" i="22"/>
  <c r="G44" i="22"/>
  <c r="G43" i="22"/>
  <c r="G42" i="22"/>
  <c r="G41" i="22"/>
  <c r="G40" i="22"/>
  <c r="H40" i="22" s="1"/>
  <c r="G39" i="22"/>
  <c r="G38" i="22"/>
  <c r="H38" i="22" s="1"/>
  <c r="G37" i="22"/>
  <c r="G36" i="22"/>
  <c r="G35" i="22"/>
  <c r="G34" i="22"/>
  <c r="G33" i="22"/>
  <c r="G32" i="22"/>
  <c r="H32" i="22" s="1"/>
  <c r="G31" i="22"/>
  <c r="G30" i="22"/>
  <c r="H30" i="22" s="1"/>
  <c r="G29" i="22"/>
  <c r="G28" i="22"/>
  <c r="G27" i="22"/>
  <c r="G26" i="22"/>
  <c r="H27" i="22" s="1"/>
  <c r="G25" i="22"/>
  <c r="G24" i="22"/>
  <c r="H24" i="22" s="1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H10" i="22" s="1"/>
  <c r="G8" i="22"/>
  <c r="H8" i="22" s="1"/>
  <c r="G7" i="22"/>
  <c r="G6" i="22"/>
  <c r="G5" i="22"/>
  <c r="G4" i="22"/>
  <c r="G3" i="22"/>
  <c r="H11" i="22"/>
  <c r="H16" i="22"/>
  <c r="H23" i="22"/>
  <c r="H45" i="22"/>
  <c r="H49" i="22"/>
  <c r="H56" i="22"/>
  <c r="H57" i="22"/>
  <c r="H97" i="22"/>
  <c r="H101" i="22"/>
  <c r="H122" i="22"/>
  <c r="H136" i="22"/>
  <c r="H162" i="22"/>
  <c r="H170" i="22"/>
  <c r="H172" i="22"/>
  <c r="H202" i="22"/>
  <c r="H205" i="22"/>
  <c r="H226" i="22"/>
  <c r="H248" i="22"/>
  <c r="H269" i="22"/>
  <c r="H273" i="22"/>
  <c r="H285" i="22"/>
  <c r="H298" i="22"/>
  <c r="H306" i="22"/>
  <c r="H309" i="22"/>
  <c r="H299" i="22"/>
  <c r="H283" i="22"/>
  <c r="H280" i="22"/>
  <c r="H235" i="22"/>
  <c r="H171" i="22"/>
  <c r="H152" i="22"/>
  <c r="H108" i="22"/>
  <c r="H80" i="22"/>
  <c r="H67" i="22"/>
  <c r="H317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H301" i="22"/>
  <c r="D300" i="22"/>
  <c r="D299" i="22"/>
  <c r="D298" i="22"/>
  <c r="D297" i="22"/>
  <c r="D296" i="22"/>
  <c r="D295" i="22"/>
  <c r="D294" i="22"/>
  <c r="D293" i="22"/>
  <c r="H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H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H261" i="22"/>
  <c r="D261" i="22"/>
  <c r="D260" i="22"/>
  <c r="D259" i="22"/>
  <c r="D258" i="22"/>
  <c r="D257" i="22"/>
  <c r="D256" i="22"/>
  <c r="D255" i="22"/>
  <c r="D254" i="22"/>
  <c r="H253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H227" i="22"/>
  <c r="D227" i="22"/>
  <c r="D226" i="22"/>
  <c r="D225" i="22"/>
  <c r="D224" i="22"/>
  <c r="D223" i="22"/>
  <c r="D222" i="22"/>
  <c r="D221" i="22"/>
  <c r="D220" i="22"/>
  <c r="H219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H203" i="22"/>
  <c r="D203" i="22"/>
  <c r="D202" i="22"/>
  <c r="D201" i="22"/>
  <c r="D200" i="22"/>
  <c r="D199" i="22"/>
  <c r="D198" i="22"/>
  <c r="H197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H157" i="22"/>
  <c r="D157" i="22"/>
  <c r="D156" i="22"/>
  <c r="D155" i="22"/>
  <c r="D154" i="22"/>
  <c r="D153" i="22"/>
  <c r="D152" i="22"/>
  <c r="D151" i="22"/>
  <c r="D150" i="22"/>
  <c r="H149" i="22"/>
  <c r="D149" i="22"/>
  <c r="D148" i="22"/>
  <c r="D147" i="22"/>
  <c r="D146" i="22"/>
  <c r="D145" i="22"/>
  <c r="D144" i="22"/>
  <c r="H144" i="22"/>
  <c r="D143" i="22"/>
  <c r="D142" i="22"/>
  <c r="H141" i="22"/>
  <c r="D141" i="22"/>
  <c r="D140" i="22"/>
  <c r="H139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H123" i="22"/>
  <c r="D123" i="22"/>
  <c r="D122" i="22"/>
  <c r="D121" i="22"/>
  <c r="D120" i="22"/>
  <c r="D119" i="22"/>
  <c r="D118" i="22"/>
  <c r="D117" i="22"/>
  <c r="D116" i="22"/>
  <c r="H115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H93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H75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H53" i="22"/>
  <c r="D53" i="22"/>
  <c r="D52" i="22"/>
  <c r="D51" i="22"/>
  <c r="D50" i="22"/>
  <c r="D49" i="22"/>
  <c r="D48" i="22"/>
  <c r="D47" i="22"/>
  <c r="D46" i="22"/>
  <c r="D45" i="22"/>
  <c r="D44" i="22"/>
  <c r="H43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H19" i="22"/>
  <c r="D19" i="22"/>
  <c r="D18" i="22"/>
  <c r="D17" i="22"/>
  <c r="D16" i="22"/>
  <c r="D15" i="22"/>
  <c r="D14" i="22"/>
  <c r="D13" i="22"/>
  <c r="H12" i="22"/>
  <c r="D12" i="22"/>
  <c r="D11" i="22"/>
  <c r="D10" i="22"/>
  <c r="D9" i="22"/>
  <c r="D8" i="22"/>
  <c r="D7" i="22"/>
  <c r="K6" i="22"/>
  <c r="H6" i="22"/>
  <c r="D6" i="22"/>
  <c r="K5" i="22"/>
  <c r="D5" i="22"/>
  <c r="D4" i="22"/>
  <c r="D3" i="22"/>
  <c r="K5" i="21"/>
  <c r="G317" i="21"/>
  <c r="G316" i="21"/>
  <c r="G315" i="21"/>
  <c r="G314" i="21"/>
  <c r="G313" i="21"/>
  <c r="G312" i="21"/>
  <c r="H312" i="21" s="1"/>
  <c r="G311" i="21"/>
  <c r="G310" i="21"/>
  <c r="H310" i="21" s="1"/>
  <c r="G309" i="21"/>
  <c r="G308" i="21"/>
  <c r="G307" i="21"/>
  <c r="G306" i="21"/>
  <c r="G305" i="21"/>
  <c r="H306" i="21" s="1"/>
  <c r="G304" i="21"/>
  <c r="G303" i="21"/>
  <c r="G302" i="21"/>
  <c r="G301" i="21"/>
  <c r="H301" i="21" s="1"/>
  <c r="G300" i="21"/>
  <c r="G299" i="21"/>
  <c r="G298" i="21"/>
  <c r="G297" i="21"/>
  <c r="G296" i="21"/>
  <c r="H296" i="21" s="1"/>
  <c r="G295" i="21"/>
  <c r="G294" i="21"/>
  <c r="G293" i="21"/>
  <c r="G292" i="21"/>
  <c r="G291" i="21"/>
  <c r="G290" i="21"/>
  <c r="G289" i="21"/>
  <c r="G288" i="21"/>
  <c r="H288" i="21" s="1"/>
  <c r="G287" i="21"/>
  <c r="G286" i="21"/>
  <c r="G285" i="21"/>
  <c r="G284" i="21"/>
  <c r="G283" i="21"/>
  <c r="G282" i="21"/>
  <c r="G281" i="21"/>
  <c r="G280" i="21"/>
  <c r="G279" i="21"/>
  <c r="G278" i="21"/>
  <c r="G277" i="21"/>
  <c r="H277" i="21" s="1"/>
  <c r="G276" i="21"/>
  <c r="G275" i="21"/>
  <c r="G274" i="21"/>
  <c r="G273" i="21"/>
  <c r="G272" i="21"/>
  <c r="H272" i="21" s="1"/>
  <c r="G271" i="21"/>
  <c r="G270" i="21"/>
  <c r="G269" i="21"/>
  <c r="G268" i="21"/>
  <c r="G267" i="21"/>
  <c r="G266" i="21"/>
  <c r="G265" i="21"/>
  <c r="G264" i="21"/>
  <c r="H265" i="21" s="1"/>
  <c r="G263" i="21"/>
  <c r="G262" i="21"/>
  <c r="G261" i="21"/>
  <c r="G260" i="21"/>
  <c r="G259" i="21"/>
  <c r="G258" i="21"/>
  <c r="G257" i="21"/>
  <c r="H257" i="21" s="1"/>
  <c r="G256" i="21"/>
  <c r="G255" i="21"/>
  <c r="H256" i="21" s="1"/>
  <c r="G254" i="21"/>
  <c r="H254" i="21" s="1"/>
  <c r="G253" i="21"/>
  <c r="H253" i="21" s="1"/>
  <c r="G252" i="21"/>
  <c r="G251" i="21"/>
  <c r="G250" i="21"/>
  <c r="G249" i="21"/>
  <c r="G248" i="21"/>
  <c r="H248" i="21" s="1"/>
  <c r="G247" i="21"/>
  <c r="G246" i="21"/>
  <c r="H246" i="21" s="1"/>
  <c r="G245" i="21"/>
  <c r="G244" i="21"/>
  <c r="G243" i="21"/>
  <c r="G242" i="21"/>
  <c r="H242" i="21" s="1"/>
  <c r="G241" i="21"/>
  <c r="G240" i="21"/>
  <c r="G239" i="21"/>
  <c r="H240" i="21" s="1"/>
  <c r="G238" i="21"/>
  <c r="H238" i="21" s="1"/>
  <c r="G237" i="21"/>
  <c r="G236" i="21"/>
  <c r="G235" i="21"/>
  <c r="G234" i="21"/>
  <c r="G233" i="21"/>
  <c r="G232" i="21"/>
  <c r="H232" i="21" s="1"/>
  <c r="G231" i="21"/>
  <c r="G230" i="21"/>
  <c r="G229" i="21"/>
  <c r="G228" i="21"/>
  <c r="G227" i="21"/>
  <c r="G226" i="21"/>
  <c r="G225" i="21"/>
  <c r="G224" i="21"/>
  <c r="H224" i="21" s="1"/>
  <c r="G223" i="21"/>
  <c r="G222" i="21"/>
  <c r="G221" i="21"/>
  <c r="G220" i="21"/>
  <c r="G219" i="21"/>
  <c r="G218" i="21"/>
  <c r="G217" i="21"/>
  <c r="G216" i="21"/>
  <c r="G215" i="21"/>
  <c r="G214" i="21"/>
  <c r="G213" i="21"/>
  <c r="G212" i="21"/>
  <c r="G211" i="21"/>
  <c r="G210" i="21"/>
  <c r="G209" i="21"/>
  <c r="G208" i="21"/>
  <c r="H209" i="21" s="1"/>
  <c r="G207" i="21"/>
  <c r="G206" i="21"/>
  <c r="G205" i="21"/>
  <c r="G204" i="21"/>
  <c r="G203" i="21"/>
  <c r="G202" i="21"/>
  <c r="G201" i="21"/>
  <c r="H201" i="21" s="1"/>
  <c r="G200" i="21"/>
  <c r="G199" i="21"/>
  <c r="H200" i="21" s="1"/>
  <c r="G198" i="21"/>
  <c r="G197" i="21"/>
  <c r="G196" i="21"/>
  <c r="G195" i="21"/>
  <c r="G194" i="21"/>
  <c r="G193" i="21"/>
  <c r="G192" i="21"/>
  <c r="H193" i="21" s="1"/>
  <c r="G191" i="21"/>
  <c r="G190" i="21"/>
  <c r="H190" i="21" s="1"/>
  <c r="G189" i="21"/>
  <c r="G188" i="21"/>
  <c r="G187" i="21"/>
  <c r="G186" i="21"/>
  <c r="G185" i="21"/>
  <c r="G184" i="21"/>
  <c r="H184" i="21" s="1"/>
  <c r="G183" i="21"/>
  <c r="G182" i="21"/>
  <c r="H182" i="21" s="1"/>
  <c r="G181" i="21"/>
  <c r="G180" i="21"/>
  <c r="G179" i="21"/>
  <c r="G178" i="21"/>
  <c r="G177" i="21"/>
  <c r="H178" i="21" s="1"/>
  <c r="G176" i="21"/>
  <c r="G175" i="21"/>
  <c r="G174" i="21"/>
  <c r="H174" i="21" s="1"/>
  <c r="G173" i="21"/>
  <c r="G172" i="21"/>
  <c r="G171" i="21"/>
  <c r="G170" i="21"/>
  <c r="G169" i="21"/>
  <c r="G168" i="21"/>
  <c r="H168" i="21" s="1"/>
  <c r="G167" i="21"/>
  <c r="G166" i="21"/>
  <c r="G165" i="21"/>
  <c r="G164" i="21"/>
  <c r="G163" i="21"/>
  <c r="G162" i="21"/>
  <c r="H163" i="21" s="1"/>
  <c r="G161" i="21"/>
  <c r="G160" i="21"/>
  <c r="G159" i="21"/>
  <c r="G158" i="21"/>
  <c r="G157" i="21"/>
  <c r="H157" i="21" s="1"/>
  <c r="G156" i="21"/>
  <c r="G155" i="21"/>
  <c r="G154" i="21"/>
  <c r="G153" i="21"/>
  <c r="G152" i="21"/>
  <c r="H152" i="21" s="1"/>
  <c r="G151" i="21"/>
  <c r="G150" i="21"/>
  <c r="G149" i="21"/>
  <c r="G148" i="21"/>
  <c r="G147" i="21"/>
  <c r="G146" i="21"/>
  <c r="G145" i="21"/>
  <c r="H145" i="21" s="1"/>
  <c r="G144" i="21"/>
  <c r="H144" i="21" s="1"/>
  <c r="G143" i="21"/>
  <c r="G142" i="21"/>
  <c r="G141" i="21"/>
  <c r="G140" i="21"/>
  <c r="G139" i="21"/>
  <c r="G138" i="21"/>
  <c r="G137" i="21"/>
  <c r="G136" i="21"/>
  <c r="H137" i="21" s="1"/>
  <c r="G135" i="21"/>
  <c r="G134" i="21"/>
  <c r="G133" i="21"/>
  <c r="G132" i="21"/>
  <c r="G131" i="21"/>
  <c r="G130" i="21"/>
  <c r="G129" i="21"/>
  <c r="G128" i="21"/>
  <c r="H128" i="21" s="1"/>
  <c r="G127" i="21"/>
  <c r="G126" i="21"/>
  <c r="H126" i="21" s="1"/>
  <c r="G125" i="21"/>
  <c r="G124" i="21"/>
  <c r="G123" i="21"/>
  <c r="G122" i="21"/>
  <c r="G121" i="21"/>
  <c r="G120" i="21"/>
  <c r="H120" i="21" s="1"/>
  <c r="G119" i="21"/>
  <c r="G118" i="21"/>
  <c r="H118" i="21" s="1"/>
  <c r="G117" i="21"/>
  <c r="G116" i="21"/>
  <c r="G115" i="21"/>
  <c r="G114" i="21"/>
  <c r="G113" i="21"/>
  <c r="G112" i="21"/>
  <c r="G111" i="21"/>
  <c r="G110" i="21"/>
  <c r="H110" i="21" s="1"/>
  <c r="G109" i="21"/>
  <c r="G108" i="21"/>
  <c r="G107" i="21"/>
  <c r="G106" i="21"/>
  <c r="G105" i="21"/>
  <c r="G104" i="21"/>
  <c r="H104" i="21" s="1"/>
  <c r="G103" i="21"/>
  <c r="G102" i="21"/>
  <c r="G101" i="21"/>
  <c r="G100" i="21"/>
  <c r="G99" i="21"/>
  <c r="G98" i="21"/>
  <c r="G97" i="21"/>
  <c r="G96" i="21"/>
  <c r="G95" i="21"/>
  <c r="G94" i="21"/>
  <c r="G93" i="21"/>
  <c r="G92" i="21"/>
  <c r="G91" i="21"/>
  <c r="G90" i="21"/>
  <c r="G89" i="21"/>
  <c r="G88" i="21"/>
  <c r="H88" i="21" s="1"/>
  <c r="G87" i="21"/>
  <c r="G86" i="21"/>
  <c r="G85" i="21"/>
  <c r="G84" i="21"/>
  <c r="G83" i="21"/>
  <c r="G82" i="21"/>
  <c r="G81" i="21"/>
  <c r="H81" i="21" s="1"/>
  <c r="G80" i="21"/>
  <c r="H80" i="21" s="1"/>
  <c r="G79" i="21"/>
  <c r="G78" i="21"/>
  <c r="G77" i="21"/>
  <c r="G76" i="21"/>
  <c r="G75" i="21"/>
  <c r="G74" i="21"/>
  <c r="G73" i="21"/>
  <c r="G72" i="21"/>
  <c r="H73" i="21" s="1"/>
  <c r="G71" i="21"/>
  <c r="G70" i="21"/>
  <c r="G69" i="21"/>
  <c r="G68" i="21"/>
  <c r="G67" i="21"/>
  <c r="G66" i="21"/>
  <c r="G65" i="21"/>
  <c r="G64" i="21"/>
  <c r="H64" i="21" s="1"/>
  <c r="G63" i="21"/>
  <c r="G62" i="21"/>
  <c r="H62" i="21" s="1"/>
  <c r="G61" i="21"/>
  <c r="G60" i="21"/>
  <c r="G59" i="21"/>
  <c r="G58" i="21"/>
  <c r="G57" i="21"/>
  <c r="G56" i="21"/>
  <c r="H56" i="21" s="1"/>
  <c r="G55" i="21"/>
  <c r="G54" i="21"/>
  <c r="G53" i="21"/>
  <c r="H53" i="21" s="1"/>
  <c r="G52" i="21"/>
  <c r="G51" i="21"/>
  <c r="G50" i="21"/>
  <c r="G49" i="21"/>
  <c r="G48" i="21"/>
  <c r="H48" i="21" s="1"/>
  <c r="G47" i="21"/>
  <c r="G46" i="21"/>
  <c r="H46" i="21" s="1"/>
  <c r="G45" i="21"/>
  <c r="G44" i="21"/>
  <c r="G43" i="21"/>
  <c r="G42" i="21"/>
  <c r="G41" i="21"/>
  <c r="G40" i="21"/>
  <c r="H40" i="21" s="1"/>
  <c r="G39" i="21"/>
  <c r="G38" i="21"/>
  <c r="G37" i="21"/>
  <c r="G36" i="21"/>
  <c r="G35" i="21"/>
  <c r="G34" i="21"/>
  <c r="G33" i="21"/>
  <c r="G32" i="21"/>
  <c r="G31" i="21"/>
  <c r="G30" i="21"/>
  <c r="G29" i="21"/>
  <c r="G28" i="21"/>
  <c r="G27" i="21"/>
  <c r="G26" i="21"/>
  <c r="G25" i="21"/>
  <c r="G24" i="21"/>
  <c r="H24" i="21" s="1"/>
  <c r="G23" i="21"/>
  <c r="G22" i="21"/>
  <c r="G21" i="21"/>
  <c r="G20" i="21"/>
  <c r="G19" i="21"/>
  <c r="G18" i="21"/>
  <c r="G17" i="21"/>
  <c r="H17" i="21" s="1"/>
  <c r="G16" i="21"/>
  <c r="H16" i="21" s="1"/>
  <c r="G15" i="21"/>
  <c r="G14" i="21"/>
  <c r="G13" i="21"/>
  <c r="G12" i="21"/>
  <c r="G11" i="21"/>
  <c r="G10" i="21"/>
  <c r="G9" i="21"/>
  <c r="G8" i="21"/>
  <c r="H9" i="21" s="1"/>
  <c r="G7" i="21"/>
  <c r="G6" i="21"/>
  <c r="H6" i="21" s="1"/>
  <c r="G5" i="21"/>
  <c r="G4" i="21"/>
  <c r="G3" i="21"/>
  <c r="G2" i="21"/>
  <c r="D317" i="21"/>
  <c r="D316" i="21"/>
  <c r="D315" i="21"/>
  <c r="H314" i="21"/>
  <c r="D314" i="21"/>
  <c r="D313" i="21"/>
  <c r="D312" i="21"/>
  <c r="D311" i="21"/>
  <c r="D310" i="21"/>
  <c r="D309" i="21"/>
  <c r="H309" i="21"/>
  <c r="D308" i="21"/>
  <c r="D307" i="21"/>
  <c r="D306" i="21"/>
  <c r="D305" i="21"/>
  <c r="H304" i="21"/>
  <c r="D304" i="21"/>
  <c r="D303" i="21"/>
  <c r="D302" i="21"/>
  <c r="D301" i="21"/>
  <c r="D300" i="21"/>
  <c r="H299" i="21"/>
  <c r="D299" i="21"/>
  <c r="D298" i="21"/>
  <c r="D297" i="21"/>
  <c r="D296" i="21"/>
  <c r="D295" i="21"/>
  <c r="D294" i="21"/>
  <c r="D293" i="21"/>
  <c r="H293" i="21"/>
  <c r="D292" i="21"/>
  <c r="H291" i="21"/>
  <c r="D291" i="21"/>
  <c r="D290" i="21"/>
  <c r="D289" i="21"/>
  <c r="D288" i="21"/>
  <c r="D287" i="21"/>
  <c r="D286" i="21"/>
  <c r="D285" i="21"/>
  <c r="H285" i="21"/>
  <c r="D284" i="21"/>
  <c r="D283" i="21"/>
  <c r="D282" i="21"/>
  <c r="D281" i="21"/>
  <c r="H280" i="21"/>
  <c r="D280" i="21"/>
  <c r="D279" i="21"/>
  <c r="D278" i="21"/>
  <c r="D277" i="21"/>
  <c r="D276" i="21"/>
  <c r="D275" i="21"/>
  <c r="D274" i="21"/>
  <c r="H273" i="21"/>
  <c r="D273" i="21"/>
  <c r="D272" i="21"/>
  <c r="D271" i="21"/>
  <c r="D270" i="21"/>
  <c r="D269" i="21"/>
  <c r="D268" i="21"/>
  <c r="D267" i="21"/>
  <c r="D266" i="21"/>
  <c r="D265" i="21"/>
  <c r="D264" i="21"/>
  <c r="D263" i="21"/>
  <c r="D262" i="21"/>
  <c r="D261" i="21"/>
  <c r="D260" i="21"/>
  <c r="D259" i="21"/>
  <c r="D258" i="21"/>
  <c r="D257" i="21"/>
  <c r="D256" i="21"/>
  <c r="D255" i="21"/>
  <c r="D254" i="21"/>
  <c r="D253" i="21"/>
  <c r="D252" i="21"/>
  <c r="D251" i="21"/>
  <c r="H250" i="21"/>
  <c r="D250" i="21"/>
  <c r="D249" i="21"/>
  <c r="D248" i="21"/>
  <c r="D247" i="21"/>
  <c r="D246" i="21"/>
  <c r="D245" i="21"/>
  <c r="H245" i="21"/>
  <c r="D244" i="21"/>
  <c r="D243" i="21"/>
  <c r="D242" i="21"/>
  <c r="D241" i="21"/>
  <c r="D240" i="21"/>
  <c r="D239" i="21"/>
  <c r="D238" i="21"/>
  <c r="D237" i="21"/>
  <c r="D236" i="21"/>
  <c r="H235" i="21"/>
  <c r="D235" i="21"/>
  <c r="H234" i="21"/>
  <c r="D234" i="21"/>
  <c r="D233" i="21"/>
  <c r="D232" i="21"/>
  <c r="D231" i="21"/>
  <c r="D230" i="21"/>
  <c r="D229" i="21"/>
  <c r="H229" i="21"/>
  <c r="D228" i="21"/>
  <c r="H227" i="21"/>
  <c r="D227" i="21"/>
  <c r="D226" i="21"/>
  <c r="D225" i="21"/>
  <c r="D224" i="21"/>
  <c r="D223" i="21"/>
  <c r="D222" i="21"/>
  <c r="D221" i="21"/>
  <c r="H221" i="21"/>
  <c r="D220" i="21"/>
  <c r="H219" i="21"/>
  <c r="D219" i="21"/>
  <c r="D218" i="21"/>
  <c r="D217" i="21"/>
  <c r="H216" i="21"/>
  <c r="D216" i="21"/>
  <c r="D215" i="21"/>
  <c r="D214" i="21"/>
  <c r="D213" i="21"/>
  <c r="H213" i="21"/>
  <c r="D212" i="21"/>
  <c r="D211" i="21"/>
  <c r="D210" i="21"/>
  <c r="D209" i="21"/>
  <c r="D208" i="21"/>
  <c r="D207" i="21"/>
  <c r="D206" i="21"/>
  <c r="D205" i="21"/>
  <c r="D204" i="21"/>
  <c r="D203" i="21"/>
  <c r="D202" i="21"/>
  <c r="D201" i="21"/>
  <c r="D200" i="21"/>
  <c r="D199" i="21"/>
  <c r="D198" i="21"/>
  <c r="D197" i="21"/>
  <c r="D196" i="21"/>
  <c r="D195" i="21"/>
  <c r="D194" i="21"/>
  <c r="D193" i="21"/>
  <c r="H192" i="21"/>
  <c r="D192" i="21"/>
  <c r="D191" i="21"/>
  <c r="D190" i="21"/>
  <c r="D189" i="21"/>
  <c r="H189" i="21"/>
  <c r="D188" i="21"/>
  <c r="D187" i="21"/>
  <c r="H186" i="21"/>
  <c r="D186" i="21"/>
  <c r="D185" i="21"/>
  <c r="D184" i="21"/>
  <c r="D183" i="21"/>
  <c r="D182" i="21"/>
  <c r="D181" i="21"/>
  <c r="H181" i="21"/>
  <c r="D180" i="21"/>
  <c r="D179" i="21"/>
  <c r="D178" i="21"/>
  <c r="D177" i="21"/>
  <c r="H176" i="21"/>
  <c r="D176" i="21"/>
  <c r="D175" i="21"/>
  <c r="D174" i="21"/>
  <c r="D173" i="21"/>
  <c r="H173" i="21"/>
  <c r="D172" i="21"/>
  <c r="H171" i="21"/>
  <c r="D171" i="21"/>
  <c r="H170" i="21"/>
  <c r="D170" i="21"/>
  <c r="D169" i="21"/>
  <c r="D168" i="21"/>
  <c r="D167" i="21"/>
  <c r="D166" i="21"/>
  <c r="D165" i="21"/>
  <c r="H165" i="21"/>
  <c r="D164" i="21"/>
  <c r="D163" i="21"/>
  <c r="D162" i="21"/>
  <c r="D161" i="21"/>
  <c r="H160" i="21"/>
  <c r="D160" i="21"/>
  <c r="D159" i="21"/>
  <c r="D158" i="21"/>
  <c r="D157" i="21"/>
  <c r="D156" i="21"/>
  <c r="H155" i="21"/>
  <c r="D155" i="21"/>
  <c r="D154" i="21"/>
  <c r="D153" i="21"/>
  <c r="D152" i="21"/>
  <c r="D151" i="21"/>
  <c r="D150" i="21"/>
  <c r="D149" i="21"/>
  <c r="H149" i="21"/>
  <c r="D148" i="21"/>
  <c r="D147" i="21"/>
  <c r="D146" i="21"/>
  <c r="D145" i="21"/>
  <c r="D144" i="21"/>
  <c r="D143" i="21"/>
  <c r="D142" i="21"/>
  <c r="D141" i="21"/>
  <c r="D140" i="21"/>
  <c r="D139" i="21"/>
  <c r="D138" i="21"/>
  <c r="D137" i="21"/>
  <c r="D136" i="21"/>
  <c r="H136" i="21"/>
  <c r="D135" i="21"/>
  <c r="D134" i="21"/>
  <c r="D133" i="21"/>
  <c r="D132" i="21"/>
  <c r="D131" i="21"/>
  <c r="D130" i="21"/>
  <c r="H129" i="21"/>
  <c r="D129" i="21"/>
  <c r="D128" i="21"/>
  <c r="D127" i="21"/>
  <c r="D126" i="21"/>
  <c r="D125" i="21"/>
  <c r="D124" i="21"/>
  <c r="D123" i="21"/>
  <c r="H122" i="21"/>
  <c r="D122" i="21"/>
  <c r="D121" i="21"/>
  <c r="D120" i="21"/>
  <c r="D119" i="21"/>
  <c r="D118" i="21"/>
  <c r="D117" i="21"/>
  <c r="H117" i="21"/>
  <c r="D116" i="21"/>
  <c r="D115" i="21"/>
  <c r="H114" i="21"/>
  <c r="D114" i="21"/>
  <c r="D113" i="21"/>
  <c r="H112" i="21"/>
  <c r="D112" i="21"/>
  <c r="D111" i="21"/>
  <c r="D110" i="21"/>
  <c r="D109" i="21"/>
  <c r="H109" i="21"/>
  <c r="D108" i="21"/>
  <c r="H107" i="21"/>
  <c r="D107" i="21"/>
  <c r="H106" i="21"/>
  <c r="D106" i="21"/>
  <c r="D105" i="21"/>
  <c r="D104" i="21"/>
  <c r="D103" i="21"/>
  <c r="D102" i="21"/>
  <c r="D101" i="21"/>
  <c r="H101" i="21"/>
  <c r="D100" i="21"/>
  <c r="H99" i="21"/>
  <c r="D99" i="21"/>
  <c r="D98" i="21"/>
  <c r="D97" i="21"/>
  <c r="H96" i="21"/>
  <c r="D96" i="21"/>
  <c r="D95" i="21"/>
  <c r="D94" i="21"/>
  <c r="D93" i="21"/>
  <c r="H93" i="21"/>
  <c r="D92" i="21"/>
  <c r="D91" i="21"/>
  <c r="D90" i="21"/>
  <c r="D89" i="21"/>
  <c r="D88" i="21"/>
  <c r="D87" i="21"/>
  <c r="D86" i="21"/>
  <c r="D85" i="21"/>
  <c r="H85" i="21"/>
  <c r="D84" i="21"/>
  <c r="D83" i="21"/>
  <c r="D82" i="21"/>
  <c r="D81" i="21"/>
  <c r="D80" i="21"/>
  <c r="D79" i="21"/>
  <c r="D78" i="21"/>
  <c r="D77" i="21"/>
  <c r="D76" i="21"/>
  <c r="D75" i="21"/>
  <c r="D74" i="21"/>
  <c r="D73" i="21"/>
  <c r="D72" i="21"/>
  <c r="H72" i="21"/>
  <c r="D71" i="21"/>
  <c r="D70" i="21"/>
  <c r="D69" i="21"/>
  <c r="D68" i="21"/>
  <c r="D67" i="21"/>
  <c r="D66" i="21"/>
  <c r="H65" i="21"/>
  <c r="D65" i="21"/>
  <c r="D64" i="21"/>
  <c r="D63" i="21"/>
  <c r="D62" i="21"/>
  <c r="D61" i="21"/>
  <c r="H61" i="21"/>
  <c r="D60" i="21"/>
  <c r="D59" i="21"/>
  <c r="H58" i="21"/>
  <c r="D58" i="21"/>
  <c r="D57" i="21"/>
  <c r="D56" i="21"/>
  <c r="D55" i="21"/>
  <c r="H54" i="21"/>
  <c r="D54" i="21"/>
  <c r="D53" i="21"/>
  <c r="D52" i="21"/>
  <c r="D51" i="21"/>
  <c r="H50" i="21"/>
  <c r="D50" i="21"/>
  <c r="D49" i="21"/>
  <c r="D48" i="21"/>
  <c r="D47" i="21"/>
  <c r="D46" i="21"/>
  <c r="D45" i="21"/>
  <c r="D44" i="21"/>
  <c r="H43" i="21"/>
  <c r="D43" i="21"/>
  <c r="H42" i="21"/>
  <c r="D42" i="21"/>
  <c r="D41" i="21"/>
  <c r="D40" i="21"/>
  <c r="D39" i="21"/>
  <c r="D38" i="21"/>
  <c r="D37" i="21"/>
  <c r="H37" i="21"/>
  <c r="D36" i="21"/>
  <c r="H35" i="21"/>
  <c r="D35" i="21"/>
  <c r="D34" i="21"/>
  <c r="D33" i="21"/>
  <c r="H32" i="21"/>
  <c r="D32" i="21"/>
  <c r="D31" i="21"/>
  <c r="D30" i="21"/>
  <c r="D29" i="21"/>
  <c r="H29" i="21"/>
  <c r="D28" i="21"/>
  <c r="D27" i="21"/>
  <c r="D26" i="21"/>
  <c r="D25" i="21"/>
  <c r="D24" i="21"/>
  <c r="D23" i="21"/>
  <c r="D22" i="21"/>
  <c r="D21" i="21"/>
  <c r="H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8" i="21"/>
  <c r="H8" i="21"/>
  <c r="D7" i="21"/>
  <c r="K6" i="21"/>
  <c r="D6" i="21"/>
  <c r="D5" i="21"/>
  <c r="D4" i="21"/>
  <c r="K3" i="21"/>
  <c r="D3" i="21"/>
  <c r="K2" i="21"/>
  <c r="G317" i="20"/>
  <c r="G316" i="20"/>
  <c r="G315" i="20"/>
  <c r="G314" i="20"/>
  <c r="G313" i="20"/>
  <c r="G312" i="20"/>
  <c r="H312" i="20" s="1"/>
  <c r="G311" i="20"/>
  <c r="G310" i="20"/>
  <c r="H310" i="20" s="1"/>
  <c r="G309" i="20"/>
  <c r="G308" i="20"/>
  <c r="G307" i="20"/>
  <c r="G306" i="20"/>
  <c r="H307" i="20" s="1"/>
  <c r="G305" i="20"/>
  <c r="G304" i="20"/>
  <c r="G303" i="20"/>
  <c r="H304" i="20" s="1"/>
  <c r="G302" i="20"/>
  <c r="G301" i="20"/>
  <c r="G300" i="20"/>
  <c r="G299" i="20"/>
  <c r="G298" i="20"/>
  <c r="G297" i="20"/>
  <c r="G296" i="20"/>
  <c r="G295" i="20"/>
  <c r="G294" i="20"/>
  <c r="G293" i="20"/>
  <c r="G292" i="20"/>
  <c r="G291" i="20"/>
  <c r="G290" i="20"/>
  <c r="G289" i="20"/>
  <c r="G288" i="20"/>
  <c r="H288" i="20" s="1"/>
  <c r="G287" i="20"/>
  <c r="G286" i="20"/>
  <c r="G285" i="20"/>
  <c r="G284" i="20"/>
  <c r="G283" i="20"/>
  <c r="H284" i="20" s="1"/>
  <c r="G282" i="20"/>
  <c r="G281" i="20"/>
  <c r="H281" i="20" s="1"/>
  <c r="G280" i="20"/>
  <c r="H280" i="20" s="1"/>
  <c r="G279" i="20"/>
  <c r="G278" i="20"/>
  <c r="G277" i="20"/>
  <c r="G276" i="20"/>
  <c r="G275" i="20"/>
  <c r="G274" i="20"/>
  <c r="G273" i="20"/>
  <c r="G272" i="20"/>
  <c r="H273" i="20" s="1"/>
  <c r="G271" i="20"/>
  <c r="G270" i="20"/>
  <c r="H270" i="20" s="1"/>
  <c r="G269" i="20"/>
  <c r="G268" i="20"/>
  <c r="G267" i="20"/>
  <c r="G266" i="20"/>
  <c r="G265" i="20"/>
  <c r="G264" i="20"/>
  <c r="G263" i="20"/>
  <c r="G262" i="20"/>
  <c r="H262" i="20" s="1"/>
  <c r="G261" i="20"/>
  <c r="G260" i="20"/>
  <c r="G259" i="20"/>
  <c r="G258" i="20"/>
  <c r="G257" i="20"/>
  <c r="G256" i="20"/>
  <c r="H256" i="20" s="1"/>
  <c r="G255" i="20"/>
  <c r="G254" i="20"/>
  <c r="G253" i="20"/>
  <c r="G252" i="20"/>
  <c r="G251" i="20"/>
  <c r="G250" i="20"/>
  <c r="G249" i="20"/>
  <c r="G248" i="20"/>
  <c r="H248" i="20" s="1"/>
  <c r="G247" i="20"/>
  <c r="H247" i="20" s="1"/>
  <c r="G246" i="20"/>
  <c r="G245" i="20"/>
  <c r="G244" i="20"/>
  <c r="G243" i="20"/>
  <c r="H244" i="20" s="1"/>
  <c r="G242" i="20"/>
  <c r="G241" i="20"/>
  <c r="G240" i="20"/>
  <c r="G239" i="20"/>
  <c r="G238" i="20"/>
  <c r="G237" i="20"/>
  <c r="G236" i="20"/>
  <c r="G235" i="20"/>
  <c r="G234" i="20"/>
  <c r="G233" i="20"/>
  <c r="G232" i="20"/>
  <c r="H232" i="20" s="1"/>
  <c r="G231" i="20"/>
  <c r="G230" i="20"/>
  <c r="G229" i="20"/>
  <c r="G228" i="20"/>
  <c r="G227" i="20"/>
  <c r="G226" i="20"/>
  <c r="G225" i="20"/>
  <c r="H225" i="20" s="1"/>
  <c r="G224" i="20"/>
  <c r="G223" i="20"/>
  <c r="G222" i="20"/>
  <c r="G221" i="20"/>
  <c r="G220" i="20"/>
  <c r="G219" i="20"/>
  <c r="G218" i="20"/>
  <c r="G217" i="20"/>
  <c r="G216" i="20"/>
  <c r="H217" i="20" s="1"/>
  <c r="G215" i="20"/>
  <c r="G214" i="20"/>
  <c r="H214" i="20" s="1"/>
  <c r="G213" i="20"/>
  <c r="G212" i="20"/>
  <c r="G211" i="20"/>
  <c r="G210" i="20"/>
  <c r="G209" i="20"/>
  <c r="G208" i="20"/>
  <c r="H208" i="20" s="1"/>
  <c r="G207" i="20"/>
  <c r="H207" i="20" s="1"/>
  <c r="G206" i="20"/>
  <c r="H206" i="20" s="1"/>
  <c r="G205" i="20"/>
  <c r="G204" i="20"/>
  <c r="G203" i="20"/>
  <c r="H203" i="20" s="1"/>
  <c r="G202" i="20"/>
  <c r="G201" i="20"/>
  <c r="G200" i="20"/>
  <c r="G199" i="20"/>
  <c r="H200" i="20" s="1"/>
  <c r="G198" i="20"/>
  <c r="G197" i="20"/>
  <c r="G196" i="20"/>
  <c r="G195" i="20"/>
  <c r="G194" i="20"/>
  <c r="G193" i="20"/>
  <c r="G192" i="20"/>
  <c r="G191" i="20"/>
  <c r="G190" i="20"/>
  <c r="G189" i="20"/>
  <c r="G188" i="20"/>
  <c r="G187" i="20"/>
  <c r="G186" i="20"/>
  <c r="G185" i="20"/>
  <c r="G184" i="20"/>
  <c r="H184" i="20" s="1"/>
  <c r="G183" i="20"/>
  <c r="G182" i="20"/>
  <c r="G181" i="20"/>
  <c r="G180" i="20"/>
  <c r="G179" i="20"/>
  <c r="G178" i="20"/>
  <c r="G177" i="20"/>
  <c r="G176" i="20"/>
  <c r="H176" i="20" s="1"/>
  <c r="G175" i="20"/>
  <c r="G174" i="20"/>
  <c r="G173" i="20"/>
  <c r="G172" i="20"/>
  <c r="G171" i="20"/>
  <c r="G170" i="20"/>
  <c r="G169" i="20"/>
  <c r="G168" i="20"/>
  <c r="H169" i="20" s="1"/>
  <c r="G167" i="20"/>
  <c r="G166" i="20"/>
  <c r="H166" i="20" s="1"/>
  <c r="G165" i="20"/>
  <c r="G164" i="20"/>
  <c r="G163" i="20"/>
  <c r="G162" i="20"/>
  <c r="G161" i="20"/>
  <c r="G160" i="20"/>
  <c r="H160" i="20" s="1"/>
  <c r="G159" i="20"/>
  <c r="G158" i="20"/>
  <c r="H158" i="20" s="1"/>
  <c r="G157" i="20"/>
  <c r="G156" i="20"/>
  <c r="G155" i="20"/>
  <c r="G154" i="20"/>
  <c r="G153" i="20"/>
  <c r="G152" i="20"/>
  <c r="H152" i="20" s="1"/>
  <c r="G151" i="20"/>
  <c r="G150" i="20"/>
  <c r="H150" i="20" s="1"/>
  <c r="G149" i="20"/>
  <c r="G148" i="20"/>
  <c r="G147" i="20"/>
  <c r="G146" i="20"/>
  <c r="H147" i="20" s="1"/>
  <c r="G145" i="20"/>
  <c r="G144" i="20"/>
  <c r="G143" i="20"/>
  <c r="H143" i="20" s="1"/>
  <c r="G142" i="20"/>
  <c r="H142" i="20" s="1"/>
  <c r="G141" i="20"/>
  <c r="G140" i="20"/>
  <c r="G139" i="20"/>
  <c r="G138" i="20"/>
  <c r="G137" i="20"/>
  <c r="G136" i="20"/>
  <c r="H136" i="20" s="1"/>
  <c r="G135" i="20"/>
  <c r="G134" i="20"/>
  <c r="G133" i="20"/>
  <c r="G132" i="20"/>
  <c r="G131" i="20"/>
  <c r="H132" i="20" s="1"/>
  <c r="G130" i="20"/>
  <c r="G129" i="20"/>
  <c r="G128" i="20"/>
  <c r="H129" i="20" s="1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H112" i="20" s="1"/>
  <c r="G111" i="20"/>
  <c r="G110" i="20"/>
  <c r="H110" i="20" s="1"/>
  <c r="G109" i="20"/>
  <c r="G108" i="20"/>
  <c r="G107" i="20"/>
  <c r="G106" i="20"/>
  <c r="G105" i="20"/>
  <c r="G104" i="20"/>
  <c r="G103" i="20"/>
  <c r="H104" i="20" s="1"/>
  <c r="G102" i="20"/>
  <c r="H102" i="20" s="1"/>
  <c r="G101" i="20"/>
  <c r="G100" i="20"/>
  <c r="G99" i="20"/>
  <c r="G98" i="20"/>
  <c r="G97" i="20"/>
  <c r="G96" i="20"/>
  <c r="H96" i="20" s="1"/>
  <c r="G95" i="20"/>
  <c r="H95" i="20" s="1"/>
  <c r="G94" i="20"/>
  <c r="G93" i="20"/>
  <c r="G92" i="20"/>
  <c r="G91" i="20"/>
  <c r="G90" i="20"/>
  <c r="G89" i="20"/>
  <c r="G88" i="20"/>
  <c r="H88" i="20" s="1"/>
  <c r="G87" i="20"/>
  <c r="G86" i="20"/>
  <c r="G85" i="20"/>
  <c r="G84" i="20"/>
  <c r="G83" i="20"/>
  <c r="H83" i="20" s="1"/>
  <c r="G82" i="20"/>
  <c r="G81" i="20"/>
  <c r="G80" i="20"/>
  <c r="G79" i="20"/>
  <c r="H80" i="20" s="1"/>
  <c r="G78" i="20"/>
  <c r="H78" i="20" s="1"/>
  <c r="G77" i="20"/>
  <c r="G76" i="20"/>
  <c r="G75" i="20"/>
  <c r="G74" i="20"/>
  <c r="G73" i="20"/>
  <c r="G72" i="20"/>
  <c r="H72" i="20" s="1"/>
  <c r="G71" i="20"/>
  <c r="G70" i="20"/>
  <c r="G69" i="20"/>
  <c r="G68" i="20"/>
  <c r="G67" i="20"/>
  <c r="G66" i="20"/>
  <c r="G65" i="20"/>
  <c r="G64" i="20"/>
  <c r="H64" i="20" s="1"/>
  <c r="G63" i="20"/>
  <c r="G62" i="20"/>
  <c r="H62" i="20" s="1"/>
  <c r="G61" i="20"/>
  <c r="G60" i="20"/>
  <c r="G59" i="20"/>
  <c r="G58" i="20"/>
  <c r="G57" i="20"/>
  <c r="H58" i="20" s="1"/>
  <c r="G56" i="20"/>
  <c r="G55" i="20"/>
  <c r="G54" i="20"/>
  <c r="H54" i="20" s="1"/>
  <c r="G53" i="20"/>
  <c r="G52" i="20"/>
  <c r="G51" i="20"/>
  <c r="G50" i="20"/>
  <c r="G49" i="20"/>
  <c r="G48" i="20"/>
  <c r="H48" i="20" s="1"/>
  <c r="G47" i="20"/>
  <c r="G46" i="20"/>
  <c r="G45" i="20"/>
  <c r="G44" i="20"/>
  <c r="G43" i="20"/>
  <c r="G42" i="20"/>
  <c r="G41" i="20"/>
  <c r="G40" i="20"/>
  <c r="H40" i="20" s="1"/>
  <c r="G39" i="20"/>
  <c r="G38" i="20"/>
  <c r="G37" i="20"/>
  <c r="G36" i="20"/>
  <c r="G35" i="20"/>
  <c r="G34" i="20"/>
  <c r="G33" i="20"/>
  <c r="G32" i="20"/>
  <c r="H32" i="20" s="1"/>
  <c r="G31" i="20"/>
  <c r="G30" i="20"/>
  <c r="G29" i="20"/>
  <c r="G28" i="20"/>
  <c r="G27" i="20"/>
  <c r="H28" i="20" s="1"/>
  <c r="G26" i="20"/>
  <c r="G25" i="20"/>
  <c r="G24" i="20"/>
  <c r="G23" i="20"/>
  <c r="G22" i="20"/>
  <c r="G21" i="20"/>
  <c r="G20" i="20"/>
  <c r="G19" i="20"/>
  <c r="G18" i="20"/>
  <c r="G17" i="20"/>
  <c r="H17" i="20" s="1"/>
  <c r="G16" i="20"/>
  <c r="H16" i="20" s="1"/>
  <c r="G15" i="20"/>
  <c r="G14" i="20"/>
  <c r="H14" i="20" s="1"/>
  <c r="G13" i="20"/>
  <c r="G12" i="20"/>
  <c r="G11" i="20"/>
  <c r="G10" i="20"/>
  <c r="G9" i="20"/>
  <c r="G8" i="20"/>
  <c r="H8" i="20" s="1"/>
  <c r="G7" i="20"/>
  <c r="G6" i="20"/>
  <c r="G5" i="20"/>
  <c r="G4" i="20"/>
  <c r="G3" i="20"/>
  <c r="H3" i="20" s="1"/>
  <c r="G2" i="20"/>
  <c r="D317" i="20"/>
  <c r="D316" i="20"/>
  <c r="D315" i="20"/>
  <c r="H314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H299" i="20"/>
  <c r="D299" i="20"/>
  <c r="D298" i="20"/>
  <c r="D297" i="20"/>
  <c r="H296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H277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H264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H251" i="20"/>
  <c r="D251" i="20"/>
  <c r="D250" i="20"/>
  <c r="D249" i="20"/>
  <c r="D248" i="20"/>
  <c r="D247" i="20"/>
  <c r="D246" i="20"/>
  <c r="D245" i="20"/>
  <c r="D244" i="20"/>
  <c r="H243" i="20"/>
  <c r="D243" i="20"/>
  <c r="D242" i="20"/>
  <c r="D241" i="20"/>
  <c r="H240" i="20"/>
  <c r="D240" i="20"/>
  <c r="D239" i="20"/>
  <c r="D238" i="20"/>
  <c r="D237" i="20"/>
  <c r="D236" i="20"/>
  <c r="D235" i="20"/>
  <c r="D234" i="20"/>
  <c r="H233" i="20"/>
  <c r="D233" i="20"/>
  <c r="D232" i="20"/>
  <c r="D231" i="20"/>
  <c r="D230" i="20"/>
  <c r="H229" i="20"/>
  <c r="D229" i="20"/>
  <c r="D228" i="20"/>
  <c r="D227" i="20"/>
  <c r="D226" i="20"/>
  <c r="D225" i="20"/>
  <c r="D224" i="20"/>
  <c r="D223" i="20"/>
  <c r="D222" i="20"/>
  <c r="H221" i="20"/>
  <c r="D221" i="20"/>
  <c r="D220" i="20"/>
  <c r="D219" i="20"/>
  <c r="D218" i="20"/>
  <c r="D217" i="20"/>
  <c r="H216" i="20"/>
  <c r="D216" i="20"/>
  <c r="D215" i="20"/>
  <c r="D214" i="20"/>
  <c r="D213" i="20"/>
  <c r="D212" i="20"/>
  <c r="D211" i="20"/>
  <c r="H210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H195" i="20"/>
  <c r="D195" i="20"/>
  <c r="D194" i="20"/>
  <c r="D193" i="20"/>
  <c r="H192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H180" i="20"/>
  <c r="D180" i="20"/>
  <c r="H179" i="20"/>
  <c r="D179" i="20"/>
  <c r="D178" i="20"/>
  <c r="D177" i="20"/>
  <c r="D176" i="20"/>
  <c r="D175" i="20"/>
  <c r="D174" i="20"/>
  <c r="H173" i="20"/>
  <c r="D173" i="20"/>
  <c r="D172" i="20"/>
  <c r="D171" i="20"/>
  <c r="D170" i="20"/>
  <c r="D169" i="20"/>
  <c r="H168" i="20"/>
  <c r="D168" i="20"/>
  <c r="D167" i="20"/>
  <c r="D166" i="20"/>
  <c r="H165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H146" i="20"/>
  <c r="D146" i="20"/>
  <c r="D145" i="20"/>
  <c r="H144" i="20"/>
  <c r="D144" i="20"/>
  <c r="D143" i="20"/>
  <c r="D142" i="20"/>
  <c r="D141" i="20"/>
  <c r="D140" i="20"/>
  <c r="H139" i="20"/>
  <c r="D139" i="20"/>
  <c r="D138" i="20"/>
  <c r="D137" i="20"/>
  <c r="D136" i="20"/>
  <c r="D135" i="20"/>
  <c r="D134" i="20"/>
  <c r="D133" i="20"/>
  <c r="D132" i="20"/>
  <c r="D131" i="20"/>
  <c r="D130" i="20"/>
  <c r="D129" i="20"/>
  <c r="H128" i="20"/>
  <c r="D128" i="20"/>
  <c r="D127" i="20"/>
  <c r="D126" i="20"/>
  <c r="H125" i="20"/>
  <c r="D125" i="20"/>
  <c r="D124" i="20"/>
  <c r="D123" i="20"/>
  <c r="D122" i="20"/>
  <c r="H121" i="20"/>
  <c r="D121" i="20"/>
  <c r="D120" i="20"/>
  <c r="D119" i="20"/>
  <c r="D118" i="20"/>
  <c r="H117" i="20"/>
  <c r="D117" i="20"/>
  <c r="D116" i="20"/>
  <c r="H115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H99" i="20"/>
  <c r="D99" i="20"/>
  <c r="D98" i="20"/>
  <c r="D97" i="20"/>
  <c r="D96" i="20"/>
  <c r="D95" i="20"/>
  <c r="D94" i="20"/>
  <c r="D93" i="20"/>
  <c r="D92" i="20"/>
  <c r="H91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H77" i="20"/>
  <c r="D77" i="20"/>
  <c r="D76" i="20"/>
  <c r="D75" i="20"/>
  <c r="D74" i="20"/>
  <c r="D73" i="20"/>
  <c r="D72" i="20"/>
  <c r="D71" i="20"/>
  <c r="D70" i="20"/>
  <c r="H69" i="20"/>
  <c r="D69" i="20"/>
  <c r="D68" i="20"/>
  <c r="D67" i="20"/>
  <c r="D66" i="20"/>
  <c r="D65" i="20"/>
  <c r="D64" i="20"/>
  <c r="D63" i="20"/>
  <c r="D62" i="20"/>
  <c r="H61" i="20"/>
  <c r="D61" i="20"/>
  <c r="D60" i="20"/>
  <c r="D59" i="20"/>
  <c r="D58" i="20"/>
  <c r="D57" i="20"/>
  <c r="H56" i="20"/>
  <c r="D56" i="20"/>
  <c r="D55" i="20"/>
  <c r="D54" i="20"/>
  <c r="D53" i="20"/>
  <c r="D52" i="20"/>
  <c r="H51" i="20"/>
  <c r="D51" i="20"/>
  <c r="D50" i="20"/>
  <c r="D49" i="20"/>
  <c r="D48" i="20"/>
  <c r="D47" i="20"/>
  <c r="D46" i="20"/>
  <c r="D45" i="20"/>
  <c r="D44" i="20"/>
  <c r="H43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H25" i="20"/>
  <c r="D25" i="20"/>
  <c r="H24" i="20"/>
  <c r="D24" i="20"/>
  <c r="D23" i="20"/>
  <c r="D22" i="20"/>
  <c r="H21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K6" i="20"/>
  <c r="D6" i="20"/>
  <c r="K5" i="20"/>
  <c r="D5" i="20"/>
  <c r="H4" i="20"/>
  <c r="D4" i="20"/>
  <c r="D3" i="20"/>
  <c r="N70" i="24" l="1"/>
  <c r="N78" i="24"/>
  <c r="N110" i="24"/>
  <c r="N142" i="24"/>
  <c r="N30" i="24"/>
  <c r="O30" i="24" s="1"/>
  <c r="N38" i="24"/>
  <c r="O38" i="24" s="1"/>
  <c r="N2" i="24"/>
  <c r="N276" i="24"/>
  <c r="O276" i="24" s="1"/>
  <c r="N280" i="24"/>
  <c r="N288" i="24"/>
  <c r="N251" i="24"/>
  <c r="N211" i="24"/>
  <c r="N229" i="24"/>
  <c r="O229" i="24" s="1"/>
  <c r="N250" i="24"/>
  <c r="N47" i="24"/>
  <c r="O47" i="24" s="1"/>
  <c r="N87" i="24"/>
  <c r="O87" i="24" s="1"/>
  <c r="N151" i="24"/>
  <c r="N183" i="24"/>
  <c r="N282" i="24"/>
  <c r="N12" i="24"/>
  <c r="N76" i="24"/>
  <c r="O76" i="24" s="1"/>
  <c r="N84" i="24"/>
  <c r="O84" i="24" s="1"/>
  <c r="N148" i="24"/>
  <c r="O148" i="24" s="1"/>
  <c r="N172" i="24"/>
  <c r="O172" i="24" s="1"/>
  <c r="N204" i="24"/>
  <c r="N212" i="24"/>
  <c r="N236" i="24"/>
  <c r="N268" i="24"/>
  <c r="N279" i="24"/>
  <c r="O279" i="24" s="1"/>
  <c r="N305" i="24"/>
  <c r="O305" i="24" s="1"/>
  <c r="N283" i="24"/>
  <c r="O283" i="24" s="1"/>
  <c r="N299" i="24"/>
  <c r="O299" i="24" s="1"/>
  <c r="N178" i="24"/>
  <c r="N186" i="24"/>
  <c r="N218" i="24"/>
  <c r="N242" i="24"/>
  <c r="N274" i="24"/>
  <c r="N3" i="24"/>
  <c r="N42" i="24"/>
  <c r="N79" i="24"/>
  <c r="O79" i="24" s="1"/>
  <c r="N144" i="24"/>
  <c r="N165" i="24"/>
  <c r="N215" i="24"/>
  <c r="N247" i="24"/>
  <c r="N113" i="24"/>
  <c r="O113" i="24" s="1"/>
  <c r="N169" i="24"/>
  <c r="N177" i="24"/>
  <c r="N209" i="24"/>
  <c r="O209" i="24" s="1"/>
  <c r="N72" i="24"/>
  <c r="N316" i="24"/>
  <c r="N66" i="24"/>
  <c r="O66" i="24" s="1"/>
  <c r="N71" i="24"/>
  <c r="O71" i="24" s="1"/>
  <c r="N122" i="24"/>
  <c r="O122" i="24" s="1"/>
  <c r="N132" i="24"/>
  <c r="O132" i="24" s="1"/>
  <c r="N315" i="24"/>
  <c r="O315" i="24" s="1"/>
  <c r="N103" i="24"/>
  <c r="O103" i="24" s="1"/>
  <c r="N162" i="24"/>
  <c r="N63" i="24"/>
  <c r="N161" i="24"/>
  <c r="N194" i="24"/>
  <c r="O194" i="24" s="1"/>
  <c r="N306" i="24"/>
  <c r="N22" i="24"/>
  <c r="O22" i="24" s="1"/>
  <c r="N64" i="24"/>
  <c r="O64" i="24" s="1"/>
  <c r="N88" i="24"/>
  <c r="O88" i="24" s="1"/>
  <c r="N156" i="24"/>
  <c r="N171" i="24"/>
  <c r="N193" i="24"/>
  <c r="N195" i="24"/>
  <c r="O195" i="24" s="1"/>
  <c r="N203" i="24"/>
  <c r="N225" i="24"/>
  <c r="O225" i="24" s="1"/>
  <c r="N230" i="24"/>
  <c r="O230" i="24" s="1"/>
  <c r="N258" i="24"/>
  <c r="O258" i="24" s="1"/>
  <c r="N270" i="24"/>
  <c r="N293" i="24"/>
  <c r="N297" i="24"/>
  <c r="N300" i="24"/>
  <c r="N311" i="24"/>
  <c r="N143" i="24"/>
  <c r="O143" i="24" s="1"/>
  <c r="N105" i="24"/>
  <c r="O105" i="24" s="1"/>
  <c r="N35" i="24"/>
  <c r="O35" i="24" s="1"/>
  <c r="N99" i="24"/>
  <c r="N115" i="24"/>
  <c r="N139" i="24"/>
  <c r="N166" i="24"/>
  <c r="O166" i="24" s="1"/>
  <c r="N206" i="24"/>
  <c r="N233" i="24"/>
  <c r="O233" i="24" s="1"/>
  <c r="N241" i="24"/>
  <c r="O241" i="24" s="1"/>
  <c r="N273" i="24"/>
  <c r="O273" i="24" s="1"/>
  <c r="N16" i="24"/>
  <c r="N21" i="24"/>
  <c r="N29" i="24"/>
  <c r="N51" i="24"/>
  <c r="O51" i="24" s="1"/>
  <c r="N53" i="24"/>
  <c r="O53" i="24" s="1"/>
  <c r="N57" i="24"/>
  <c r="N101" i="24"/>
  <c r="O101" i="24" s="1"/>
  <c r="N168" i="24"/>
  <c r="O168" i="24" s="1"/>
  <c r="N188" i="24"/>
  <c r="N220" i="24"/>
  <c r="N235" i="24"/>
  <c r="N257" i="24"/>
  <c r="N259" i="24"/>
  <c r="N267" i="24"/>
  <c r="O267" i="24" s="1"/>
  <c r="N289" i="24"/>
  <c r="O289" i="24" s="1"/>
  <c r="N294" i="24"/>
  <c r="O294" i="24" s="1"/>
  <c r="N226" i="24"/>
  <c r="N314" i="24"/>
  <c r="N5" i="24"/>
  <c r="N10" i="24"/>
  <c r="O10" i="24" s="1"/>
  <c r="N18" i="24"/>
  <c r="O18" i="24" s="1"/>
  <c r="N26" i="24"/>
  <c r="O26" i="24" s="1"/>
  <c r="N58" i="24"/>
  <c r="O58" i="24" s="1"/>
  <c r="N154" i="24"/>
  <c r="N187" i="24"/>
  <c r="N219" i="24"/>
  <c r="O219" i="24" s="1"/>
  <c r="N232" i="24"/>
  <c r="N252" i="24"/>
  <c r="O252" i="24" s="1"/>
  <c r="N256" i="24"/>
  <c r="O256" i="24" s="1"/>
  <c r="N264" i="24"/>
  <c r="O264" i="24" s="1"/>
  <c r="N284" i="24"/>
  <c r="O284" i="24" s="1"/>
  <c r="N135" i="24"/>
  <c r="O135" i="24" s="1"/>
  <c r="N59" i="24"/>
  <c r="N119" i="24"/>
  <c r="N108" i="24"/>
  <c r="N121" i="24"/>
  <c r="N126" i="24"/>
  <c r="N7" i="24"/>
  <c r="N89" i="24"/>
  <c r="N164" i="24"/>
  <c r="O164" i="24" s="1"/>
  <c r="N96" i="24"/>
  <c r="N155" i="24"/>
  <c r="N25" i="24"/>
  <c r="N74" i="24"/>
  <c r="O74" i="24" s="1"/>
  <c r="N133" i="24"/>
  <c r="N124" i="24"/>
  <c r="O124" i="24" s="1"/>
  <c r="N41" i="24"/>
  <c r="O41" i="24" s="1"/>
  <c r="N80" i="24"/>
  <c r="O80" i="24" s="1"/>
  <c r="N260" i="24"/>
  <c r="N50" i="24"/>
  <c r="N67" i="24"/>
  <c r="O67" i="24" s="1"/>
  <c r="N93" i="24"/>
  <c r="O93" i="24" s="1"/>
  <c r="N292" i="24"/>
  <c r="N307" i="24"/>
  <c r="O307" i="24" s="1"/>
  <c r="N15" i="24"/>
  <c r="O15" i="24" s="1"/>
  <c r="N20" i="24"/>
  <c r="O20" i="24" s="1"/>
  <c r="N46" i="24"/>
  <c r="N82" i="24"/>
  <c r="O82" i="24" s="1"/>
  <c r="N112" i="24"/>
  <c r="N117" i="24"/>
  <c r="N189" i="24"/>
  <c r="O189" i="24" s="1"/>
  <c r="N253" i="24"/>
  <c r="O253" i="24" s="1"/>
  <c r="N277" i="24"/>
  <c r="N24" i="24"/>
  <c r="O24" i="24" s="1"/>
  <c r="N54" i="24"/>
  <c r="N60" i="24"/>
  <c r="O60" i="24" s="1"/>
  <c r="N75" i="24"/>
  <c r="N86" i="24"/>
  <c r="N104" i="24"/>
  <c r="N120" i="24"/>
  <c r="O120" i="24" s="1"/>
  <c r="N136" i="24"/>
  <c r="N153" i="24"/>
  <c r="O153" i="24" s="1"/>
  <c r="N163" i="24"/>
  <c r="O163" i="24" s="1"/>
  <c r="N210" i="24"/>
  <c r="N227" i="24"/>
  <c r="O227" i="24" s="1"/>
  <c r="N245" i="24"/>
  <c r="O245" i="24" s="1"/>
  <c r="N285" i="24"/>
  <c r="N317" i="24"/>
  <c r="O317" i="24" s="1"/>
  <c r="N11" i="24"/>
  <c r="O11" i="24" s="1"/>
  <c r="N43" i="24"/>
  <c r="O43" i="24" s="1"/>
  <c r="N90" i="24"/>
  <c r="N97" i="24"/>
  <c r="O97" i="24" s="1"/>
  <c r="N127" i="24"/>
  <c r="N138" i="24"/>
  <c r="N170" i="24"/>
  <c r="N182" i="24"/>
  <c r="O182" i="24" s="1"/>
  <c r="N202" i="24"/>
  <c r="O202" i="24" s="1"/>
  <c r="N234" i="24"/>
  <c r="O234" i="24" s="1"/>
  <c r="N240" i="24"/>
  <c r="N244" i="24"/>
  <c r="N246" i="24"/>
  <c r="N266" i="24"/>
  <c r="N272" i="24"/>
  <c r="O272" i="24" s="1"/>
  <c r="N281" i="24"/>
  <c r="O281" i="24" s="1"/>
  <c r="N291" i="24"/>
  <c r="O291" i="24" s="1"/>
  <c r="N313" i="24"/>
  <c r="O313" i="24" s="1"/>
  <c r="N179" i="24"/>
  <c r="O179" i="24" s="1"/>
  <c r="N196" i="24"/>
  <c r="O196" i="24" s="1"/>
  <c r="N228" i="24"/>
  <c r="O228" i="24" s="1"/>
  <c r="N243" i="24"/>
  <c r="O243" i="24" s="1"/>
  <c r="N275" i="24"/>
  <c r="O275" i="24" s="1"/>
  <c r="N290" i="24"/>
  <c r="N33" i="24"/>
  <c r="O33" i="24" s="1"/>
  <c r="N48" i="24"/>
  <c r="O48" i="24" s="1"/>
  <c r="N65" i="24"/>
  <c r="N213" i="24"/>
  <c r="O213" i="24" s="1"/>
  <c r="N9" i="24"/>
  <c r="O9" i="24" s="1"/>
  <c r="N23" i="24"/>
  <c r="N40" i="24"/>
  <c r="O40" i="24" s="1"/>
  <c r="N95" i="24"/>
  <c r="O95" i="24" s="1"/>
  <c r="N102" i="24"/>
  <c r="O102" i="24" s="1"/>
  <c r="N157" i="24"/>
  <c r="O157" i="24" s="1"/>
  <c r="N181" i="24"/>
  <c r="N14" i="24"/>
  <c r="N73" i="24"/>
  <c r="O73" i="24" s="1"/>
  <c r="N100" i="24"/>
  <c r="O100" i="24" s="1"/>
  <c r="N109" i="24"/>
  <c r="O109" i="24" s="1"/>
  <c r="N114" i="24"/>
  <c r="O114" i="24" s="1"/>
  <c r="N118" i="24"/>
  <c r="O118" i="24" s="1"/>
  <c r="N125" i="24"/>
  <c r="O125" i="24" s="1"/>
  <c r="N134" i="24"/>
  <c r="N141" i="24"/>
  <c r="N149" i="24"/>
  <c r="N185" i="24"/>
  <c r="N217" i="24"/>
  <c r="O217" i="24" s="1"/>
  <c r="N249" i="24"/>
  <c r="O249" i="24" s="1"/>
  <c r="N296" i="24"/>
  <c r="O296" i="24" s="1"/>
  <c r="N309" i="24"/>
  <c r="O309" i="24" s="1"/>
  <c r="N17" i="24"/>
  <c r="O17" i="24" s="1"/>
  <c r="N32" i="24"/>
  <c r="N34" i="24"/>
  <c r="N39" i="24"/>
  <c r="N49" i="24"/>
  <c r="N56" i="24"/>
  <c r="O56" i="24" s="1"/>
  <c r="N62" i="24"/>
  <c r="O62" i="24" s="1"/>
  <c r="N68" i="24"/>
  <c r="O68" i="24" s="1"/>
  <c r="N81" i="24"/>
  <c r="N83" i="24"/>
  <c r="O83" i="24" s="1"/>
  <c r="N92" i="24"/>
  <c r="N94" i="24"/>
  <c r="O94" i="24" s="1"/>
  <c r="N106" i="24"/>
  <c r="N116" i="24"/>
  <c r="O116" i="24" s="1"/>
  <c r="N130" i="24"/>
  <c r="O130" i="24" s="1"/>
  <c r="N197" i="24"/>
  <c r="O197" i="24" s="1"/>
  <c r="N199" i="24"/>
  <c r="N261" i="24"/>
  <c r="O261" i="24" s="1"/>
  <c r="N263" i="24"/>
  <c r="N298" i="24"/>
  <c r="O298" i="24" s="1"/>
  <c r="N304" i="24"/>
  <c r="O304" i="24" s="1"/>
  <c r="N308" i="24"/>
  <c r="O308" i="24" s="1"/>
  <c r="N310" i="24"/>
  <c r="N140" i="24"/>
  <c r="O140" i="24" s="1"/>
  <c r="N152" i="24"/>
  <c r="O152" i="24" s="1"/>
  <c r="N173" i="24"/>
  <c r="N190" i="24"/>
  <c r="N216" i="24"/>
  <c r="O216" i="24" s="1"/>
  <c r="N237" i="24"/>
  <c r="O237" i="24" s="1"/>
  <c r="N6" i="24"/>
  <c r="O6" i="24" s="1"/>
  <c r="N44" i="24"/>
  <c r="N145" i="24"/>
  <c r="O145" i="24" s="1"/>
  <c r="N8" i="24"/>
  <c r="N28" i="24"/>
  <c r="N31" i="24"/>
  <c r="N37" i="24"/>
  <c r="N55" i="24"/>
  <c r="O55" i="24" s="1"/>
  <c r="N200" i="24"/>
  <c r="O200" i="24" s="1"/>
  <c r="N36" i="24"/>
  <c r="N4" i="24"/>
  <c r="O4" i="24" s="1"/>
  <c r="N19" i="24"/>
  <c r="N27" i="24"/>
  <c r="N45" i="24"/>
  <c r="N61" i="24"/>
  <c r="O61" i="24" s="1"/>
  <c r="N69" i="24"/>
  <c r="N77" i="24"/>
  <c r="O77" i="24" s="1"/>
  <c r="N85" i="24"/>
  <c r="O85" i="24" s="1"/>
  <c r="N111" i="24"/>
  <c r="O111" i="24" s="1"/>
  <c r="N180" i="24"/>
  <c r="O180" i="24" s="1"/>
  <c r="N52" i="24"/>
  <c r="O52" i="24" s="1"/>
  <c r="N254" i="24"/>
  <c r="N13" i="24"/>
  <c r="O13" i="24" s="1"/>
  <c r="N98" i="24"/>
  <c r="O98" i="24" s="1"/>
  <c r="N128" i="24"/>
  <c r="O128" i="24" s="1"/>
  <c r="N221" i="24"/>
  <c r="O221" i="24" s="1"/>
  <c r="N301" i="24"/>
  <c r="O301" i="24" s="1"/>
  <c r="N158" i="24"/>
  <c r="N222" i="24"/>
  <c r="N137" i="24"/>
  <c r="N198" i="24"/>
  <c r="N262" i="24"/>
  <c r="O262" i="24" s="1"/>
  <c r="N286" i="24"/>
  <c r="O286" i="24" s="1"/>
  <c r="N91" i="24"/>
  <c r="O91" i="24" s="1"/>
  <c r="N107" i="24"/>
  <c r="O107" i="24" s="1"/>
  <c r="N123" i="24"/>
  <c r="N131" i="24"/>
  <c r="N147" i="24"/>
  <c r="N150" i="24"/>
  <c r="O150" i="24" s="1"/>
  <c r="N174" i="24"/>
  <c r="O174" i="24" s="1"/>
  <c r="N205" i="24"/>
  <c r="O205" i="24" s="1"/>
  <c r="N238" i="24"/>
  <c r="O238" i="24" s="1"/>
  <c r="N269" i="24"/>
  <c r="O269" i="24" s="1"/>
  <c r="N302" i="24"/>
  <c r="N129" i="24"/>
  <c r="N146" i="24"/>
  <c r="N167" i="24"/>
  <c r="O167" i="24" s="1"/>
  <c r="N184" i="24"/>
  <c r="O184" i="24" s="1"/>
  <c r="N201" i="24"/>
  <c r="O201" i="24" s="1"/>
  <c r="N214" i="24"/>
  <c r="O214" i="24" s="1"/>
  <c r="N231" i="24"/>
  <c r="O231" i="24" s="1"/>
  <c r="N248" i="24"/>
  <c r="N265" i="24"/>
  <c r="N278" i="24"/>
  <c r="N295" i="24"/>
  <c r="N312" i="24"/>
  <c r="O312" i="24" s="1"/>
  <c r="N160" i="24"/>
  <c r="O160" i="24" s="1"/>
  <c r="N176" i="24"/>
  <c r="O176" i="24" s="1"/>
  <c r="N192" i="24"/>
  <c r="O192" i="24" s="1"/>
  <c r="N208" i="24"/>
  <c r="N224" i="24"/>
  <c r="N159" i="24"/>
  <c r="O159" i="24" s="1"/>
  <c r="N175" i="24"/>
  <c r="N191" i="24"/>
  <c r="O191" i="24" s="1"/>
  <c r="N207" i="24"/>
  <c r="O207" i="24" s="1"/>
  <c r="N223" i="24"/>
  <c r="O223" i="24" s="1"/>
  <c r="N239" i="24"/>
  <c r="O239" i="24" s="1"/>
  <c r="N255" i="24"/>
  <c r="N271" i="24"/>
  <c r="O271" i="24" s="1"/>
  <c r="N287" i="24"/>
  <c r="N303" i="24"/>
  <c r="O303" i="24" s="1"/>
  <c r="H119" i="23"/>
  <c r="H91" i="23"/>
  <c r="H222" i="23"/>
  <c r="H149" i="23"/>
  <c r="H160" i="23"/>
  <c r="H168" i="23"/>
  <c r="H65" i="23"/>
  <c r="H80" i="23"/>
  <c r="H88" i="23"/>
  <c r="H134" i="23"/>
  <c r="H211" i="23"/>
  <c r="H219" i="23"/>
  <c r="H285" i="23"/>
  <c r="H35" i="23"/>
  <c r="H43" i="23"/>
  <c r="H270" i="23"/>
  <c r="H304" i="23"/>
  <c r="H312" i="23"/>
  <c r="H83" i="23"/>
  <c r="H61" i="23"/>
  <c r="H311" i="23"/>
  <c r="H123" i="23"/>
  <c r="H131" i="23"/>
  <c r="H189" i="23"/>
  <c r="H200" i="23"/>
  <c r="H208" i="23"/>
  <c r="H216" i="23"/>
  <c r="H307" i="23"/>
  <c r="H229" i="23"/>
  <c r="H142" i="23"/>
  <c r="H153" i="23"/>
  <c r="H171" i="23"/>
  <c r="H193" i="23"/>
  <c r="H233" i="23"/>
  <c r="H274" i="23"/>
  <c r="H278" i="23"/>
  <c r="H289" i="23"/>
  <c r="H293" i="23"/>
  <c r="H300" i="23"/>
  <c r="H315" i="23"/>
  <c r="H7" i="23"/>
  <c r="H22" i="23"/>
  <c r="H51" i="23"/>
  <c r="H58" i="23"/>
  <c r="H62" i="23"/>
  <c r="H69" i="23"/>
  <c r="H102" i="23"/>
  <c r="H117" i="23"/>
  <c r="H157" i="23"/>
  <c r="H179" i="23"/>
  <c r="H190" i="23"/>
  <c r="H230" i="23"/>
  <c r="H282" i="23"/>
  <c r="H286" i="23"/>
  <c r="H297" i="23"/>
  <c r="H3" i="23"/>
  <c r="H77" i="23"/>
  <c r="H95" i="23"/>
  <c r="H201" i="23"/>
  <c r="H238" i="23"/>
  <c r="H279" i="23"/>
  <c r="H290" i="23"/>
  <c r="H294" i="23"/>
  <c r="H301" i="23"/>
  <c r="H5" i="23"/>
  <c r="H19" i="23"/>
  <c r="H33" i="23"/>
  <c r="H37" i="23"/>
  <c r="H59" i="23"/>
  <c r="H70" i="23"/>
  <c r="H81" i="23"/>
  <c r="H85" i="23"/>
  <c r="H92" i="23"/>
  <c r="H99" i="23"/>
  <c r="H121" i="23"/>
  <c r="H125" i="23"/>
  <c r="H132" i="23"/>
  <c r="H147" i="23"/>
  <c r="H161" i="23"/>
  <c r="H165" i="23"/>
  <c r="H181" i="23"/>
  <c r="H187" i="23"/>
  <c r="H198" i="23"/>
  <c r="H209" i="23"/>
  <c r="H221" i="23"/>
  <c r="H227" i="23"/>
  <c r="H246" i="23"/>
  <c r="H257" i="23"/>
  <c r="H261" i="23"/>
  <c r="H268" i="23"/>
  <c r="H283" i="23"/>
  <c r="H298" i="23"/>
  <c r="H305" i="23"/>
  <c r="H309" i="23"/>
  <c r="H98" i="23"/>
  <c r="H113" i="23"/>
  <c r="H135" i="23"/>
  <c r="H150" i="23"/>
  <c r="H186" i="23"/>
  <c r="H197" i="23"/>
  <c r="H226" i="23"/>
  <c r="H241" i="23"/>
  <c r="H11" i="23"/>
  <c r="H55" i="23"/>
  <c r="H73" i="23"/>
  <c r="H110" i="23"/>
  <c r="H139" i="23"/>
  <c r="H172" i="23"/>
  <c r="H183" i="23"/>
  <c r="H223" i="23"/>
  <c r="H249" i="23"/>
  <c r="H275" i="23"/>
  <c r="H8" i="23"/>
  <c r="H41" i="23"/>
  <c r="H68" i="23"/>
  <c r="H78" i="23"/>
  <c r="H89" i="23"/>
  <c r="H107" i="23"/>
  <c r="H129" i="23"/>
  <c r="H136" i="23"/>
  <c r="H158" i="23"/>
  <c r="H169" i="23"/>
  <c r="H173" i="23"/>
  <c r="H206" i="23"/>
  <c r="H217" i="23"/>
  <c r="H235" i="23"/>
  <c r="H250" i="23"/>
  <c r="H254" i="23"/>
  <c r="H265" i="23"/>
  <c r="H291" i="23"/>
  <c r="H302" i="23"/>
  <c r="H313" i="23"/>
  <c r="H317" i="23"/>
  <c r="H146" i="23"/>
  <c r="H210" i="23"/>
  <c r="H15" i="23"/>
  <c r="H52" i="23"/>
  <c r="H79" i="23"/>
  <c r="H116" i="23"/>
  <c r="H207" i="23"/>
  <c r="H234" i="23"/>
  <c r="H255" i="23"/>
  <c r="H276" i="23"/>
  <c r="H308" i="23"/>
  <c r="H12" i="23"/>
  <c r="H39" i="23"/>
  <c r="H76" i="23"/>
  <c r="H103" i="23"/>
  <c r="H140" i="23"/>
  <c r="H194" i="23"/>
  <c r="H26" i="23"/>
  <c r="H36" i="23"/>
  <c r="H63" i="23"/>
  <c r="H90" i="23"/>
  <c r="H100" i="23"/>
  <c r="H127" i="23"/>
  <c r="H154" i="23"/>
  <c r="H164" i="23"/>
  <c r="H191" i="23"/>
  <c r="H218" i="23"/>
  <c r="H263" i="23"/>
  <c r="H284" i="23"/>
  <c r="H295" i="23"/>
  <c r="H316" i="23"/>
  <c r="H18" i="23"/>
  <c r="H17" i="23"/>
  <c r="H82" i="23"/>
  <c r="H42" i="23"/>
  <c r="H106" i="23"/>
  <c r="H143" i="23"/>
  <c r="H170" i="23"/>
  <c r="H287" i="23"/>
  <c r="H66" i="23"/>
  <c r="H130" i="23"/>
  <c r="H167" i="23"/>
  <c r="H231" i="23"/>
  <c r="H23" i="23"/>
  <c r="H50" i="23"/>
  <c r="H60" i="23"/>
  <c r="H87" i="23"/>
  <c r="H114" i="23"/>
  <c r="H124" i="23"/>
  <c r="H151" i="23"/>
  <c r="H178" i="23"/>
  <c r="H188" i="23"/>
  <c r="H215" i="23"/>
  <c r="H242" i="23"/>
  <c r="H10" i="23"/>
  <c r="H20" i="23"/>
  <c r="H47" i="23"/>
  <c r="H74" i="23"/>
  <c r="H84" i="23"/>
  <c r="H111" i="23"/>
  <c r="H138" i="23"/>
  <c r="H148" i="23"/>
  <c r="H175" i="23"/>
  <c r="H202" i="23"/>
  <c r="H239" i="23"/>
  <c r="H260" i="23"/>
  <c r="H271" i="23"/>
  <c r="H292" i="23"/>
  <c r="H303" i="23"/>
  <c r="H44" i="23"/>
  <c r="H180" i="23"/>
  <c r="H212" i="23"/>
  <c r="H228" i="23"/>
  <c r="H236" i="23"/>
  <c r="H244" i="23"/>
  <c r="H28" i="23"/>
  <c r="H204" i="23"/>
  <c r="H220" i="23"/>
  <c r="H252" i="23"/>
  <c r="H46" i="22"/>
  <c r="H83" i="22"/>
  <c r="H307" i="22"/>
  <c r="H13" i="22"/>
  <c r="H69" i="22"/>
  <c r="H195" i="22"/>
  <c r="H221" i="22"/>
  <c r="H17" i="22"/>
  <c r="H99" i="22"/>
  <c r="H125" i="22"/>
  <c r="H166" i="22"/>
  <c r="H173" i="22"/>
  <c r="H214" i="22"/>
  <c r="H229" i="22"/>
  <c r="H259" i="22"/>
  <c r="H274" i="22"/>
  <c r="H278" i="22"/>
  <c r="H289" i="22"/>
  <c r="H4" i="22"/>
  <c r="H14" i="22"/>
  <c r="H25" i="22"/>
  <c r="H29" i="22"/>
  <c r="H51" i="22"/>
  <c r="H55" i="22"/>
  <c r="H70" i="22"/>
  <c r="H77" i="22"/>
  <c r="H118" i="22"/>
  <c r="H130" i="22"/>
  <c r="H133" i="22"/>
  <c r="H140" i="22"/>
  <c r="H155" i="22"/>
  <c r="H178" i="22"/>
  <c r="H181" i="22"/>
  <c r="H222" i="22"/>
  <c r="H233" i="22"/>
  <c r="H237" i="22"/>
  <c r="H267" i="22"/>
  <c r="H271" i="22"/>
  <c r="H282" i="22"/>
  <c r="H286" i="22"/>
  <c r="H297" i="22"/>
  <c r="H35" i="22"/>
  <c r="H87" i="22"/>
  <c r="H102" i="22"/>
  <c r="H165" i="22"/>
  <c r="H213" i="22"/>
  <c r="H247" i="22"/>
  <c r="H262" i="22"/>
  <c r="H311" i="22"/>
  <c r="H54" i="22"/>
  <c r="H76" i="22"/>
  <c r="H117" i="22"/>
  <c r="H217" i="22"/>
  <c r="H251" i="22"/>
  <c r="H266" i="22"/>
  <c r="H281" i="22"/>
  <c r="H21" i="22"/>
  <c r="H62" i="22"/>
  <c r="H110" i="22"/>
  <c r="H147" i="22"/>
  <c r="H22" i="22"/>
  <c r="H34" i="22"/>
  <c r="H37" i="22"/>
  <c r="H44" i="22"/>
  <c r="H59" i="22"/>
  <c r="H81" i="22"/>
  <c r="H85" i="22"/>
  <c r="H126" i="22"/>
  <c r="H138" i="22"/>
  <c r="H163" i="22"/>
  <c r="H174" i="22"/>
  <c r="H186" i="22"/>
  <c r="H189" i="22"/>
  <c r="H211" i="22"/>
  <c r="H215" i="22"/>
  <c r="H230" i="22"/>
  <c r="H241" i="22"/>
  <c r="H245" i="22"/>
  <c r="H275" i="22"/>
  <c r="H279" i="22"/>
  <c r="H290" i="22"/>
  <c r="H294" i="22"/>
  <c r="H305" i="22"/>
  <c r="H61" i="22"/>
  <c r="H109" i="22"/>
  <c r="H150" i="22"/>
  <c r="H187" i="22"/>
  <c r="H243" i="22"/>
  <c r="H91" i="22"/>
  <c r="H158" i="22"/>
  <c r="H206" i="22"/>
  <c r="H236" i="22"/>
  <c r="H270" i="22"/>
  <c r="H315" i="22"/>
  <c r="H58" i="22"/>
  <c r="H151" i="22"/>
  <c r="H41" i="22"/>
  <c r="H90" i="22"/>
  <c r="H194" i="22"/>
  <c r="H204" i="22"/>
  <c r="H250" i="22"/>
  <c r="H313" i="22"/>
  <c r="H52" i="22"/>
  <c r="H191" i="22"/>
  <c r="H7" i="22"/>
  <c r="H28" i="22"/>
  <c r="H39" i="22"/>
  <c r="H60" i="22"/>
  <c r="H71" i="22"/>
  <c r="H92" i="22"/>
  <c r="H103" i="22"/>
  <c r="H124" i="22"/>
  <c r="H135" i="22"/>
  <c r="H156" i="22"/>
  <c r="H167" i="22"/>
  <c r="H188" i="22"/>
  <c r="H199" i="22"/>
  <c r="H220" i="22"/>
  <c r="H231" i="22"/>
  <c r="H252" i="22"/>
  <c r="H316" i="22"/>
  <c r="H31" i="22"/>
  <c r="H63" i="22"/>
  <c r="H84" i="22"/>
  <c r="H95" i="22"/>
  <c r="H159" i="22"/>
  <c r="H244" i="22"/>
  <c r="H255" i="22"/>
  <c r="H263" i="22"/>
  <c r="H5" i="22"/>
  <c r="H260" i="22"/>
  <c r="H20" i="22"/>
  <c r="H116" i="22"/>
  <c r="H127" i="22"/>
  <c r="H148" i="22"/>
  <c r="H180" i="22"/>
  <c r="H212" i="22"/>
  <c r="H223" i="22"/>
  <c r="H15" i="22"/>
  <c r="H36" i="22"/>
  <c r="H47" i="22"/>
  <c r="H68" i="22"/>
  <c r="H79" i="22"/>
  <c r="H100" i="22"/>
  <c r="H111" i="22"/>
  <c r="H132" i="22"/>
  <c r="H143" i="22"/>
  <c r="H164" i="22"/>
  <c r="H175" i="22"/>
  <c r="H196" i="22"/>
  <c r="H207" i="22"/>
  <c r="H228" i="22"/>
  <c r="H239" i="22"/>
  <c r="H268" i="22"/>
  <c r="H65" i="22"/>
  <c r="H161" i="22"/>
  <c r="H193" i="22"/>
  <c r="H201" i="22"/>
  <c r="H249" i="22"/>
  <c r="H284" i="22"/>
  <c r="H300" i="22"/>
  <c r="H308" i="22"/>
  <c r="H9" i="22"/>
  <c r="H33" i="22"/>
  <c r="H73" i="22"/>
  <c r="H89" i="22"/>
  <c r="H113" i="22"/>
  <c r="H121" i="22"/>
  <c r="H129" i="22"/>
  <c r="H137" i="22"/>
  <c r="H145" i="22"/>
  <c r="H169" i="22"/>
  <c r="H177" i="22"/>
  <c r="H185" i="22"/>
  <c r="H225" i="22"/>
  <c r="H18" i="22"/>
  <c r="H26" i="22"/>
  <c r="H42" i="22"/>
  <c r="H50" i="22"/>
  <c r="H82" i="22"/>
  <c r="H98" i="22"/>
  <c r="H106" i="22"/>
  <c r="H154" i="22"/>
  <c r="H210" i="22"/>
  <c r="H218" i="22"/>
  <c r="H234" i="22"/>
  <c r="H242" i="22"/>
  <c r="H258" i="22"/>
  <c r="H276" i="22"/>
  <c r="H292" i="22"/>
  <c r="H264" i="21"/>
  <c r="H208" i="21"/>
  <c r="H55" i="21"/>
  <c r="H119" i="21"/>
  <c r="H130" i="21"/>
  <c r="H179" i="21"/>
  <c r="H247" i="21"/>
  <c r="H262" i="21"/>
  <c r="H10" i="21"/>
  <c r="H44" i="21"/>
  <c r="H74" i="21"/>
  <c r="H138" i="21"/>
  <c r="H153" i="21"/>
  <c r="H206" i="21"/>
  <c r="H266" i="21"/>
  <c r="H281" i="21"/>
  <c r="H315" i="21"/>
  <c r="H22" i="21"/>
  <c r="H86" i="21"/>
  <c r="H131" i="21"/>
  <c r="H150" i="21"/>
  <c r="H274" i="21"/>
  <c r="H11" i="21"/>
  <c r="H26" i="21"/>
  <c r="H30" i="21"/>
  <c r="H41" i="21"/>
  <c r="H45" i="21"/>
  <c r="H75" i="21"/>
  <c r="H90" i="21"/>
  <c r="H94" i="21"/>
  <c r="H105" i="21"/>
  <c r="H125" i="21"/>
  <c r="H139" i="21"/>
  <c r="H154" i="21"/>
  <c r="H158" i="21"/>
  <c r="H169" i="21"/>
  <c r="H203" i="21"/>
  <c r="H218" i="21"/>
  <c r="H222" i="21"/>
  <c r="H233" i="21"/>
  <c r="H237" i="21"/>
  <c r="H267" i="21"/>
  <c r="H282" i="21"/>
  <c r="H286" i="21"/>
  <c r="H297" i="21"/>
  <c r="H66" i="21"/>
  <c r="H115" i="21"/>
  <c r="H134" i="21"/>
  <c r="H194" i="21"/>
  <c r="H243" i="21"/>
  <c r="H311" i="21"/>
  <c r="H14" i="21"/>
  <c r="H59" i="21"/>
  <c r="H89" i="21"/>
  <c r="H142" i="21"/>
  <c r="H187" i="21"/>
  <c r="H202" i="21"/>
  <c r="H236" i="21"/>
  <c r="H251" i="21"/>
  <c r="H270" i="21"/>
  <c r="H4" i="21"/>
  <c r="H33" i="21"/>
  <c r="H67" i="21"/>
  <c r="H82" i="21"/>
  <c r="H161" i="21"/>
  <c r="H195" i="21"/>
  <c r="H214" i="21"/>
  <c r="H259" i="21"/>
  <c r="H278" i="21"/>
  <c r="H3" i="21"/>
  <c r="H19" i="21"/>
  <c r="H23" i="21"/>
  <c r="H34" i="21"/>
  <c r="H38" i="21"/>
  <c r="H49" i="21"/>
  <c r="H69" i="21"/>
  <c r="H83" i="21"/>
  <c r="H87" i="21"/>
  <c r="H98" i="21"/>
  <c r="H102" i="21"/>
  <c r="H113" i="21"/>
  <c r="H133" i="21"/>
  <c r="H147" i="21"/>
  <c r="H151" i="21"/>
  <c r="H162" i="21"/>
  <c r="H166" i="21"/>
  <c r="H177" i="21"/>
  <c r="H197" i="21"/>
  <c r="H211" i="21"/>
  <c r="H215" i="21"/>
  <c r="H226" i="21"/>
  <c r="H230" i="21"/>
  <c r="H241" i="21"/>
  <c r="H261" i="21"/>
  <c r="H275" i="21"/>
  <c r="H279" i="21"/>
  <c r="H290" i="21"/>
  <c r="H294" i="21"/>
  <c r="H305" i="21"/>
  <c r="H51" i="21"/>
  <c r="H70" i="21"/>
  <c r="H183" i="21"/>
  <c r="H198" i="21"/>
  <c r="H258" i="21"/>
  <c r="H307" i="21"/>
  <c r="H25" i="21"/>
  <c r="H78" i="21"/>
  <c r="H123" i="21"/>
  <c r="H217" i="21"/>
  <c r="H18" i="21"/>
  <c r="H97" i="21"/>
  <c r="H146" i="21"/>
  <c r="H210" i="21"/>
  <c r="H225" i="21"/>
  <c r="H289" i="21"/>
  <c r="H13" i="21"/>
  <c r="H27" i="21"/>
  <c r="H57" i="21"/>
  <c r="H77" i="21"/>
  <c r="H91" i="21"/>
  <c r="H121" i="21"/>
  <c r="H141" i="21"/>
  <c r="H185" i="21"/>
  <c r="H205" i="21"/>
  <c r="H249" i="21"/>
  <c r="H269" i="21"/>
  <c r="H283" i="21"/>
  <c r="H298" i="21"/>
  <c r="H302" i="21"/>
  <c r="H313" i="21"/>
  <c r="H317" i="21"/>
  <c r="H63" i="21"/>
  <c r="H287" i="21"/>
  <c r="H71" i="21"/>
  <c r="H103" i="21"/>
  <c r="H135" i="21"/>
  <c r="H167" i="21"/>
  <c r="H199" i="21"/>
  <c r="H231" i="21"/>
  <c r="H263" i="21"/>
  <c r="H295" i="21"/>
  <c r="H316" i="21"/>
  <c r="H95" i="21"/>
  <c r="H255" i="21"/>
  <c r="H5" i="21"/>
  <c r="H31" i="21"/>
  <c r="H127" i="21"/>
  <c r="H159" i="21"/>
  <c r="H191" i="21"/>
  <c r="H223" i="21"/>
  <c r="H7" i="21"/>
  <c r="H39" i="21"/>
  <c r="H15" i="21"/>
  <c r="H47" i="21"/>
  <c r="H79" i="21"/>
  <c r="H111" i="21"/>
  <c r="H143" i="21"/>
  <c r="H175" i="21"/>
  <c r="H207" i="21"/>
  <c r="H239" i="21"/>
  <c r="H271" i="21"/>
  <c r="H303" i="21"/>
  <c r="H28" i="21"/>
  <c r="H52" i="21"/>
  <c r="H68" i="21"/>
  <c r="H76" i="21"/>
  <c r="H84" i="21"/>
  <c r="H108" i="21"/>
  <c r="H116" i="21"/>
  <c r="H132" i="21"/>
  <c r="H156" i="21"/>
  <c r="H172" i="21"/>
  <c r="H188" i="21"/>
  <c r="H204" i="21"/>
  <c r="H212" i="21"/>
  <c r="H220" i="21"/>
  <c r="H276" i="21"/>
  <c r="H284" i="21"/>
  <c r="H292" i="21"/>
  <c r="H300" i="21"/>
  <c r="H308" i="21"/>
  <c r="H12" i="21"/>
  <c r="H36" i="21"/>
  <c r="H92" i="21"/>
  <c r="H100" i="21"/>
  <c r="H140" i="21"/>
  <c r="H164" i="21"/>
  <c r="H180" i="21"/>
  <c r="H196" i="21"/>
  <c r="H228" i="21"/>
  <c r="H244" i="21"/>
  <c r="H252" i="21"/>
  <c r="H260" i="21"/>
  <c r="H268" i="21"/>
  <c r="H20" i="21"/>
  <c r="H60" i="21"/>
  <c r="H124" i="21"/>
  <c r="H148" i="21"/>
  <c r="H70" i="20"/>
  <c r="H92" i="20"/>
  <c r="H133" i="20"/>
  <c r="H159" i="20"/>
  <c r="H181" i="20"/>
  <c r="H237" i="20"/>
  <c r="H259" i="20"/>
  <c r="H22" i="20"/>
  <c r="H37" i="20"/>
  <c r="H122" i="20"/>
  <c r="H189" i="20"/>
  <c r="H230" i="20"/>
  <c r="H267" i="20"/>
  <c r="H278" i="20"/>
  <c r="H315" i="20"/>
  <c r="H15" i="20"/>
  <c r="H41" i="20"/>
  <c r="H52" i="20"/>
  <c r="H119" i="20"/>
  <c r="H171" i="20"/>
  <c r="H182" i="20"/>
  <c r="H223" i="20"/>
  <c r="H238" i="20"/>
  <c r="H260" i="20"/>
  <c r="H286" i="20"/>
  <c r="H301" i="20"/>
  <c r="H19" i="20"/>
  <c r="H38" i="20"/>
  <c r="H49" i="20"/>
  <c r="H75" i="20"/>
  <c r="H86" i="20"/>
  <c r="H101" i="20"/>
  <c r="H123" i="20"/>
  <c r="H145" i="20"/>
  <c r="H149" i="20"/>
  <c r="H186" i="20"/>
  <c r="H190" i="20"/>
  <c r="H201" i="20"/>
  <c r="H205" i="20"/>
  <c r="H227" i="20"/>
  <c r="H249" i="20"/>
  <c r="H253" i="20"/>
  <c r="H275" i="20"/>
  <c r="H294" i="20"/>
  <c r="H305" i="20"/>
  <c r="H55" i="20"/>
  <c r="H107" i="20"/>
  <c r="H174" i="20"/>
  <c r="H196" i="20"/>
  <c r="H222" i="20"/>
  <c r="H311" i="20"/>
  <c r="H11" i="20"/>
  <c r="H33" i="20"/>
  <c r="H85" i="20"/>
  <c r="H126" i="20"/>
  <c r="H141" i="20"/>
  <c r="H185" i="20"/>
  <c r="H274" i="20"/>
  <c r="H293" i="20"/>
  <c r="H30" i="20"/>
  <c r="H67" i="20"/>
  <c r="H93" i="20"/>
  <c r="H156" i="20"/>
  <c r="H193" i="20"/>
  <c r="H219" i="20"/>
  <c r="H245" i="20"/>
  <c r="H271" i="20"/>
  <c r="H297" i="20"/>
  <c r="H27" i="20"/>
  <c r="H31" i="20"/>
  <c r="H46" i="20"/>
  <c r="H53" i="20"/>
  <c r="H68" i="20"/>
  <c r="H79" i="20"/>
  <c r="H94" i="20"/>
  <c r="H105" i="20"/>
  <c r="H109" i="20"/>
  <c r="H116" i="20"/>
  <c r="H131" i="20"/>
  <c r="H153" i="20"/>
  <c r="H157" i="20"/>
  <c r="H183" i="20"/>
  <c r="H198" i="20"/>
  <c r="H220" i="20"/>
  <c r="H235" i="20"/>
  <c r="H246" i="20"/>
  <c r="H257" i="20"/>
  <c r="H261" i="20"/>
  <c r="H283" i="20"/>
  <c r="H287" i="20"/>
  <c r="H302" i="20"/>
  <c r="H309" i="20"/>
  <c r="H29" i="20"/>
  <c r="H118" i="20"/>
  <c r="H155" i="20"/>
  <c r="H285" i="20"/>
  <c r="H18" i="20"/>
  <c r="H59" i="20"/>
  <c r="H137" i="20"/>
  <c r="H163" i="20"/>
  <c r="H211" i="20"/>
  <c r="H241" i="20"/>
  <c r="H289" i="20"/>
  <c r="H45" i="20"/>
  <c r="H134" i="20"/>
  <c r="H197" i="20"/>
  <c r="H308" i="20"/>
  <c r="H6" i="20"/>
  <c r="H9" i="20"/>
  <c r="H35" i="20"/>
  <c r="H57" i="20"/>
  <c r="H113" i="20"/>
  <c r="H120" i="20"/>
  <c r="H161" i="20"/>
  <c r="H187" i="20"/>
  <c r="H209" i="20"/>
  <c r="H213" i="20"/>
  <c r="H224" i="20"/>
  <c r="H250" i="20"/>
  <c r="H254" i="20"/>
  <c r="H265" i="20"/>
  <c r="H269" i="20"/>
  <c r="H272" i="20"/>
  <c r="H291" i="20"/>
  <c r="H313" i="20"/>
  <c r="H317" i="20"/>
  <c r="H42" i="20"/>
  <c r="H89" i="20"/>
  <c r="H90" i="20"/>
  <c r="H194" i="20"/>
  <c r="H204" i="20"/>
  <c r="H258" i="20"/>
  <c r="H26" i="20"/>
  <c r="H127" i="20"/>
  <c r="H191" i="20"/>
  <c r="H282" i="20"/>
  <c r="H13" i="20"/>
  <c r="H242" i="20"/>
  <c r="H252" i="20"/>
  <c r="H279" i="20"/>
  <c r="H306" i="20"/>
  <c r="H316" i="20"/>
  <c r="H298" i="20"/>
  <c r="H39" i="20"/>
  <c r="H103" i="20"/>
  <c r="H167" i="20"/>
  <c r="H178" i="20"/>
  <c r="H177" i="20"/>
  <c r="H63" i="20"/>
  <c r="H74" i="20"/>
  <c r="H73" i="20"/>
  <c r="H218" i="20"/>
  <c r="H228" i="20"/>
  <c r="H255" i="20"/>
  <c r="H23" i="20"/>
  <c r="H50" i="20"/>
  <c r="H60" i="20"/>
  <c r="H87" i="20"/>
  <c r="H97" i="20"/>
  <c r="H98" i="20"/>
  <c r="H151" i="20"/>
  <c r="H10" i="20"/>
  <c r="H20" i="20"/>
  <c r="H47" i="20"/>
  <c r="H84" i="20"/>
  <c r="H111" i="20"/>
  <c r="H138" i="20"/>
  <c r="H148" i="20"/>
  <c r="H175" i="20"/>
  <c r="H202" i="20"/>
  <c r="H212" i="20"/>
  <c r="H239" i="20"/>
  <c r="H266" i="20"/>
  <c r="H276" i="20"/>
  <c r="H303" i="20"/>
  <c r="H66" i="20"/>
  <c r="H65" i="20"/>
  <c r="H106" i="20"/>
  <c r="H170" i="20"/>
  <c r="H234" i="20"/>
  <c r="H12" i="20"/>
  <c r="H76" i="20"/>
  <c r="H130" i="20"/>
  <c r="H140" i="20"/>
  <c r="H231" i="20"/>
  <c r="H268" i="20"/>
  <c r="H295" i="20"/>
  <c r="H36" i="20"/>
  <c r="H100" i="20"/>
  <c r="H154" i="20"/>
  <c r="H164" i="20"/>
  <c r="H292" i="20"/>
  <c r="H114" i="20"/>
  <c r="H124" i="20"/>
  <c r="H188" i="20"/>
  <c r="H215" i="20"/>
  <c r="H7" i="20"/>
  <c r="H5" i="20"/>
  <c r="H34" i="20"/>
  <c r="H44" i="20"/>
  <c r="H71" i="20"/>
  <c r="H82" i="20"/>
  <c r="H81" i="20"/>
  <c r="H108" i="20"/>
  <c r="H135" i="20"/>
  <c r="H162" i="20"/>
  <c r="H172" i="20"/>
  <c r="H199" i="20"/>
  <c r="H226" i="20"/>
  <c r="H236" i="20"/>
  <c r="H263" i="20"/>
  <c r="H290" i="20"/>
  <c r="H300" i="20"/>
  <c r="O44" i="24" l="1"/>
  <c r="O277" i="24"/>
  <c r="O89" i="24"/>
  <c r="O169" i="24"/>
  <c r="O250" i="24"/>
  <c r="O106" i="24"/>
  <c r="O285" i="24"/>
  <c r="O292" i="24"/>
  <c r="O259" i="24"/>
  <c r="O206" i="24"/>
  <c r="O203" i="24"/>
  <c r="O306" i="24"/>
  <c r="O274" i="24"/>
  <c r="O175" i="24"/>
  <c r="O295" i="24"/>
  <c r="O198" i="24"/>
  <c r="O37" i="24"/>
  <c r="O39" i="24"/>
  <c r="O185" i="24"/>
  <c r="O23" i="24"/>
  <c r="O266" i="24"/>
  <c r="O138" i="24"/>
  <c r="O86" i="24"/>
  <c r="O117" i="24"/>
  <c r="O121" i="24"/>
  <c r="O257" i="24"/>
  <c r="O300" i="24"/>
  <c r="O247" i="24"/>
  <c r="O242" i="24"/>
  <c r="O268" i="24"/>
  <c r="O12" i="24"/>
  <c r="O211" i="24"/>
  <c r="O142" i="24"/>
  <c r="O154" i="24"/>
  <c r="O36" i="24"/>
  <c r="O310" i="24"/>
  <c r="O136" i="24"/>
  <c r="O177" i="24"/>
  <c r="O42" i="24"/>
  <c r="O290" i="24"/>
  <c r="O57" i="24"/>
  <c r="O3" i="24"/>
  <c r="O69" i="24"/>
  <c r="O49" i="24"/>
  <c r="O104" i="24"/>
  <c r="O133" i="24"/>
  <c r="O311" i="24"/>
  <c r="O287" i="24"/>
  <c r="O278" i="24"/>
  <c r="O146" i="24"/>
  <c r="O147" i="24"/>
  <c r="O137" i="24"/>
  <c r="O254" i="24"/>
  <c r="O45" i="24"/>
  <c r="O31" i="24"/>
  <c r="O190" i="24"/>
  <c r="O263" i="24"/>
  <c r="O92" i="24"/>
  <c r="O34" i="24"/>
  <c r="O149" i="24"/>
  <c r="O246" i="24"/>
  <c r="O127" i="24"/>
  <c r="O75" i="24"/>
  <c r="O112" i="24"/>
  <c r="O25" i="24"/>
  <c r="O108" i="24"/>
  <c r="O232" i="24"/>
  <c r="O5" i="24"/>
  <c r="O235" i="24"/>
  <c r="O29" i="24"/>
  <c r="O139" i="24"/>
  <c r="O297" i="24"/>
  <c r="O193" i="24"/>
  <c r="O161" i="24"/>
  <c r="O215" i="24"/>
  <c r="O218" i="24"/>
  <c r="O236" i="24"/>
  <c r="O282" i="24"/>
  <c r="O251" i="24"/>
  <c r="O110" i="24"/>
  <c r="O7" i="24"/>
  <c r="O170" i="24"/>
  <c r="O126" i="24"/>
  <c r="O224" i="24"/>
  <c r="O265" i="24"/>
  <c r="O129" i="24"/>
  <c r="O131" i="24"/>
  <c r="O222" i="24"/>
  <c r="O27" i="24"/>
  <c r="O28" i="24"/>
  <c r="O173" i="24"/>
  <c r="O32" i="24"/>
  <c r="O141" i="24"/>
  <c r="O14" i="24"/>
  <c r="O244" i="24"/>
  <c r="O210" i="24"/>
  <c r="O50" i="24"/>
  <c r="O155" i="24"/>
  <c r="O119" i="24"/>
  <c r="O314" i="24"/>
  <c r="O220" i="24"/>
  <c r="O21" i="24"/>
  <c r="O115" i="24"/>
  <c r="O293" i="24"/>
  <c r="O171" i="24"/>
  <c r="O63" i="24"/>
  <c r="O316" i="24"/>
  <c r="O165" i="24"/>
  <c r="O186" i="24"/>
  <c r="O212" i="24"/>
  <c r="O183" i="24"/>
  <c r="O288" i="24"/>
  <c r="O78" i="24"/>
  <c r="O255" i="24"/>
  <c r="O208" i="24"/>
  <c r="O248" i="24"/>
  <c r="O302" i="24"/>
  <c r="O123" i="24"/>
  <c r="O158" i="24"/>
  <c r="O19" i="24"/>
  <c r="O8" i="24"/>
  <c r="O199" i="24"/>
  <c r="O81" i="24"/>
  <c r="O134" i="24"/>
  <c r="O181" i="24"/>
  <c r="O65" i="24"/>
  <c r="O240" i="24"/>
  <c r="O90" i="24"/>
  <c r="O54" i="24"/>
  <c r="O46" i="24"/>
  <c r="O260" i="24"/>
  <c r="O96" i="24"/>
  <c r="O59" i="24"/>
  <c r="O187" i="24"/>
  <c r="O226" i="24"/>
  <c r="O188" i="24"/>
  <c r="O16" i="24"/>
  <c r="O99" i="24"/>
  <c r="O270" i="24"/>
  <c r="O156" i="24"/>
  <c r="O162" i="24"/>
  <c r="O72" i="24"/>
  <c r="O144" i="24"/>
  <c r="O178" i="24"/>
  <c r="O204" i="24"/>
  <c r="O151" i="24"/>
  <c r="O280" i="24"/>
  <c r="O70" i="24"/>
  <c r="K6" i="15" l="1"/>
  <c r="K5" i="15"/>
  <c r="D317" i="15"/>
  <c r="D316" i="15"/>
  <c r="D315" i="15"/>
  <c r="D314" i="15"/>
  <c r="D313" i="15"/>
  <c r="D312" i="15"/>
  <c r="D311" i="15"/>
  <c r="D310" i="15"/>
  <c r="D309" i="15"/>
  <c r="D308" i="15"/>
  <c r="D307" i="15"/>
  <c r="D306" i="15"/>
  <c r="D305" i="15"/>
  <c r="D304" i="15"/>
  <c r="D303" i="15"/>
  <c r="D302" i="15"/>
  <c r="D301" i="15"/>
  <c r="D300" i="15"/>
  <c r="D299" i="15"/>
  <c r="D298" i="15"/>
  <c r="D297" i="15"/>
  <c r="D296" i="15"/>
  <c r="D295" i="15"/>
  <c r="D294" i="15"/>
  <c r="D293" i="15"/>
  <c r="D292" i="15"/>
  <c r="D291" i="15"/>
  <c r="D290" i="15"/>
  <c r="D289" i="15"/>
  <c r="D288" i="15"/>
  <c r="D287" i="15"/>
  <c r="D286" i="15"/>
  <c r="D285" i="15"/>
  <c r="D284" i="15"/>
  <c r="D283" i="15"/>
  <c r="D282" i="15"/>
  <c r="D281" i="15"/>
  <c r="D280" i="15"/>
  <c r="D279" i="15"/>
  <c r="D278" i="15"/>
  <c r="D277" i="15"/>
  <c r="D276" i="15"/>
  <c r="D275" i="15"/>
  <c r="D274" i="15"/>
  <c r="D273" i="15"/>
  <c r="D272" i="15"/>
  <c r="D271" i="15"/>
  <c r="D270" i="15"/>
  <c r="D269" i="15"/>
  <c r="D268" i="15"/>
  <c r="D267" i="15"/>
  <c r="D266" i="15"/>
  <c r="D265" i="15"/>
  <c r="D264" i="15"/>
  <c r="D263" i="15"/>
  <c r="D262" i="15"/>
  <c r="D261" i="15"/>
  <c r="D260" i="15"/>
  <c r="D259" i="15"/>
  <c r="D258" i="15"/>
  <c r="D257" i="15"/>
  <c r="D256" i="15"/>
  <c r="D255" i="15"/>
  <c r="D254" i="15"/>
  <c r="D253" i="15"/>
  <c r="D252" i="15"/>
  <c r="D251" i="15"/>
  <c r="D250" i="15"/>
  <c r="D249" i="15"/>
  <c r="D248" i="15"/>
  <c r="D247" i="15"/>
  <c r="D246" i="15"/>
  <c r="D245" i="15"/>
  <c r="D244" i="15"/>
  <c r="D243" i="15"/>
  <c r="D242" i="15"/>
  <c r="D241" i="15"/>
  <c r="D240" i="15"/>
  <c r="D239" i="15"/>
  <c r="D238" i="15"/>
  <c r="D237" i="15"/>
  <c r="D236" i="15"/>
  <c r="D235" i="15"/>
  <c r="D234" i="15"/>
  <c r="D233" i="15"/>
  <c r="D232" i="15"/>
  <c r="D231" i="15"/>
  <c r="D230" i="15"/>
  <c r="D229" i="15"/>
  <c r="D228" i="15"/>
  <c r="D227" i="15"/>
  <c r="D226" i="15"/>
  <c r="D225" i="15"/>
  <c r="D224" i="15"/>
  <c r="D223" i="15"/>
  <c r="D222" i="15"/>
  <c r="D221" i="15"/>
  <c r="D220" i="15"/>
  <c r="D219" i="15"/>
  <c r="D218" i="15"/>
  <c r="D217" i="15"/>
  <c r="D216" i="15"/>
  <c r="D215" i="15"/>
  <c r="D214" i="15"/>
  <c r="D213" i="15"/>
  <c r="D212" i="15"/>
  <c r="D211" i="15"/>
  <c r="D210" i="15"/>
  <c r="D209" i="15"/>
  <c r="D208" i="15"/>
  <c r="D207" i="15"/>
  <c r="D206" i="15"/>
  <c r="D205" i="15"/>
  <c r="D204" i="15"/>
  <c r="D203" i="15"/>
  <c r="D202" i="15"/>
  <c r="D201" i="15"/>
  <c r="D200" i="15"/>
  <c r="D199" i="15"/>
  <c r="D198" i="15"/>
  <c r="D197" i="15"/>
  <c r="D196" i="15"/>
  <c r="D195" i="15"/>
  <c r="D194" i="15"/>
  <c r="D193" i="15"/>
  <c r="D192" i="15"/>
  <c r="D191" i="15"/>
  <c r="D190" i="15"/>
  <c r="D189" i="15"/>
  <c r="D188" i="15"/>
  <c r="D187" i="15"/>
  <c r="D186" i="15"/>
  <c r="D185" i="15"/>
  <c r="D184" i="15"/>
  <c r="D183" i="15"/>
  <c r="D182" i="15"/>
  <c r="D181" i="15"/>
  <c r="D180" i="15"/>
  <c r="D179" i="15"/>
  <c r="D178" i="15"/>
  <c r="D177" i="15"/>
  <c r="D176" i="15"/>
  <c r="D175" i="15"/>
  <c r="D174" i="15"/>
  <c r="D173" i="15"/>
  <c r="D172" i="15"/>
  <c r="D171" i="15"/>
  <c r="D170" i="15"/>
  <c r="D169" i="15"/>
  <c r="D168" i="15"/>
  <c r="D167" i="15"/>
  <c r="D166" i="15"/>
  <c r="D165" i="15"/>
  <c r="D164" i="15"/>
  <c r="D163" i="15"/>
  <c r="D162" i="15"/>
  <c r="D161" i="15"/>
  <c r="D160" i="15"/>
  <c r="D159" i="15"/>
  <c r="D158" i="15"/>
  <c r="D157" i="15"/>
  <c r="D156" i="15"/>
  <c r="D155" i="15"/>
  <c r="D154" i="15"/>
  <c r="D153" i="15"/>
  <c r="D152" i="15"/>
  <c r="D151" i="15"/>
  <c r="D150" i="15"/>
  <c r="D149" i="15"/>
  <c r="D148" i="15"/>
  <c r="D147" i="15"/>
  <c r="D146" i="15"/>
  <c r="D145" i="15"/>
  <c r="D144" i="15"/>
  <c r="D143" i="15"/>
  <c r="D142" i="15"/>
  <c r="D141" i="15"/>
  <c r="D140" i="15"/>
  <c r="D139" i="15"/>
  <c r="D138" i="15"/>
  <c r="D137" i="15"/>
  <c r="D136" i="15"/>
  <c r="D135" i="15"/>
  <c r="D134" i="15"/>
  <c r="D133" i="15"/>
  <c r="D132" i="15"/>
  <c r="D131" i="15"/>
  <c r="D130" i="15"/>
  <c r="D129" i="15"/>
  <c r="D128" i="15"/>
  <c r="D127" i="15"/>
  <c r="D126" i="15"/>
  <c r="D125" i="15"/>
  <c r="D124" i="15"/>
  <c r="D123" i="15"/>
  <c r="D122" i="15"/>
  <c r="D121" i="15"/>
  <c r="D120" i="15"/>
  <c r="D119" i="15"/>
  <c r="D118" i="15"/>
  <c r="D117" i="15"/>
  <c r="D116" i="15"/>
  <c r="D115" i="15"/>
  <c r="D114" i="15"/>
  <c r="D113" i="15"/>
  <c r="D112" i="15"/>
  <c r="D111" i="15"/>
  <c r="D110" i="15"/>
  <c r="D109" i="15"/>
  <c r="D108" i="15"/>
  <c r="D107" i="15"/>
  <c r="D106" i="15"/>
  <c r="D105" i="15"/>
  <c r="D104" i="15"/>
  <c r="D103" i="15"/>
  <c r="D102" i="15"/>
  <c r="D101" i="15"/>
  <c r="D100" i="15"/>
  <c r="D99" i="15"/>
  <c r="D98" i="15"/>
  <c r="D97" i="15"/>
  <c r="D96" i="15"/>
  <c r="D95" i="15"/>
  <c r="D94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D79" i="15"/>
  <c r="D78" i="15"/>
  <c r="D77" i="15"/>
  <c r="D76" i="15"/>
  <c r="D75" i="15"/>
  <c r="D74" i="15"/>
  <c r="D73" i="15"/>
  <c r="D72" i="15"/>
  <c r="D71" i="15"/>
  <c r="D70" i="15"/>
  <c r="D69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H317" i="15"/>
  <c r="H316" i="15"/>
  <c r="H315" i="15"/>
  <c r="H314" i="15"/>
  <c r="H313" i="15"/>
  <c r="H312" i="15"/>
  <c r="H311" i="15"/>
  <c r="H310" i="15"/>
  <c r="H309" i="15"/>
  <c r="H308" i="15"/>
  <c r="H307" i="15"/>
  <c r="H306" i="15"/>
  <c r="H305" i="15"/>
  <c r="H304" i="15"/>
  <c r="H303" i="15"/>
  <c r="H302" i="15"/>
  <c r="H301" i="15"/>
  <c r="H300" i="15"/>
  <c r="H299" i="15"/>
  <c r="H298" i="15"/>
  <c r="H297" i="15"/>
  <c r="H296" i="15"/>
  <c r="H295" i="15"/>
  <c r="H294" i="15"/>
  <c r="H293" i="15"/>
  <c r="H292" i="15"/>
  <c r="H291" i="15"/>
  <c r="H290" i="15"/>
  <c r="H289" i="15"/>
  <c r="H288" i="15"/>
  <c r="H287" i="15"/>
  <c r="H286" i="15"/>
  <c r="H285" i="15"/>
  <c r="H284" i="15"/>
  <c r="H283" i="15"/>
  <c r="H282" i="15"/>
  <c r="H281" i="15"/>
  <c r="H280" i="15"/>
  <c r="H279" i="15"/>
  <c r="H278" i="15"/>
  <c r="H277" i="15"/>
  <c r="H276" i="15"/>
  <c r="H275" i="15"/>
  <c r="H274" i="15"/>
  <c r="H273" i="15"/>
  <c r="H272" i="15"/>
  <c r="H271" i="15"/>
  <c r="H270" i="15"/>
  <c r="H269" i="15"/>
  <c r="H268" i="15"/>
  <c r="H267" i="15"/>
  <c r="H266" i="15"/>
  <c r="H265" i="15"/>
  <c r="H264" i="15"/>
  <c r="H263" i="15"/>
  <c r="H262" i="15"/>
  <c r="H261" i="15"/>
  <c r="H260" i="15"/>
  <c r="H259" i="15"/>
  <c r="H258" i="15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G317" i="15" l="1"/>
  <c r="G316" i="15"/>
  <c r="G315" i="15"/>
  <c r="G314" i="15"/>
  <c r="G313" i="15"/>
  <c r="G312" i="15"/>
  <c r="G311" i="15"/>
  <c r="G310" i="15"/>
  <c r="G309" i="15"/>
  <c r="G308" i="15"/>
  <c r="G307" i="15"/>
  <c r="G306" i="15"/>
  <c r="G305" i="15"/>
  <c r="G304" i="15"/>
  <c r="G303" i="15"/>
  <c r="G302" i="15"/>
  <c r="G301" i="15"/>
  <c r="G300" i="15"/>
  <c r="G299" i="15"/>
  <c r="G298" i="15"/>
  <c r="G297" i="15"/>
  <c r="G296" i="15"/>
  <c r="G295" i="15"/>
  <c r="G294" i="15"/>
  <c r="G293" i="15"/>
  <c r="G292" i="15"/>
  <c r="G291" i="15"/>
  <c r="G290" i="15"/>
  <c r="G289" i="15"/>
  <c r="G288" i="15"/>
  <c r="G287" i="15"/>
  <c r="G286" i="15"/>
  <c r="G285" i="15"/>
  <c r="G284" i="15"/>
  <c r="G283" i="15"/>
  <c r="G282" i="15"/>
  <c r="G281" i="15"/>
  <c r="G280" i="15"/>
  <c r="G279" i="15"/>
  <c r="G278" i="15"/>
  <c r="G277" i="15"/>
  <c r="G276" i="15"/>
  <c r="G275" i="15"/>
  <c r="G274" i="15"/>
  <c r="G273" i="15"/>
  <c r="G272" i="15"/>
  <c r="G271" i="15"/>
  <c r="G270" i="15"/>
  <c r="G269" i="15"/>
  <c r="G268" i="15"/>
  <c r="G267" i="15"/>
  <c r="G266" i="15"/>
  <c r="G265" i="15"/>
  <c r="G264" i="15"/>
  <c r="G263" i="15"/>
  <c r="G262" i="15"/>
  <c r="G261" i="15"/>
  <c r="G260" i="15"/>
  <c r="G259" i="15"/>
  <c r="G258" i="15"/>
  <c r="G257" i="15"/>
  <c r="G256" i="15"/>
  <c r="G255" i="15"/>
  <c r="G254" i="15"/>
  <c r="G253" i="15"/>
  <c r="G252" i="15"/>
  <c r="G251" i="15"/>
  <c r="G250" i="15"/>
  <c r="G249" i="15"/>
  <c r="G248" i="15"/>
  <c r="G247" i="15"/>
  <c r="G246" i="15"/>
  <c r="G245" i="15"/>
  <c r="G244" i="15"/>
  <c r="G243" i="15"/>
  <c r="G242" i="15"/>
  <c r="G241" i="15"/>
  <c r="G240" i="15"/>
  <c r="G239" i="15"/>
  <c r="G238" i="15"/>
  <c r="G237" i="15"/>
  <c r="G236" i="15"/>
  <c r="G235" i="15"/>
  <c r="G234" i="15"/>
  <c r="G233" i="15"/>
  <c r="G232" i="15"/>
  <c r="G231" i="15"/>
  <c r="G230" i="15"/>
  <c r="G229" i="15"/>
  <c r="G228" i="15"/>
  <c r="G227" i="15"/>
  <c r="G226" i="15"/>
  <c r="G225" i="15"/>
  <c r="G224" i="15"/>
  <c r="G223" i="15"/>
  <c r="G222" i="15"/>
  <c r="G221" i="15"/>
  <c r="G220" i="15"/>
  <c r="G219" i="15"/>
  <c r="G218" i="15"/>
  <c r="G217" i="15"/>
  <c r="G216" i="15"/>
  <c r="G215" i="15"/>
  <c r="G214" i="15"/>
  <c r="G213" i="15"/>
  <c r="G212" i="15"/>
  <c r="G211" i="15"/>
  <c r="G210" i="15"/>
  <c r="G209" i="15"/>
  <c r="G208" i="15"/>
  <c r="G207" i="15"/>
  <c r="G206" i="15"/>
  <c r="G205" i="15"/>
  <c r="G204" i="15"/>
  <c r="G203" i="15"/>
  <c r="G202" i="15"/>
  <c r="G201" i="15"/>
  <c r="G200" i="15"/>
  <c r="G199" i="15"/>
  <c r="G198" i="15"/>
  <c r="G197" i="15"/>
  <c r="G196" i="15"/>
  <c r="G195" i="15"/>
  <c r="G194" i="15"/>
  <c r="G193" i="15"/>
  <c r="G192" i="15"/>
  <c r="G191" i="15"/>
  <c r="G190" i="15"/>
  <c r="G189" i="15"/>
  <c r="G188" i="15"/>
  <c r="G187" i="15"/>
  <c r="G186" i="15"/>
  <c r="G185" i="15"/>
  <c r="G184" i="15"/>
  <c r="G183" i="15"/>
  <c r="G182" i="15"/>
  <c r="G181" i="15"/>
  <c r="G180" i="15"/>
  <c r="G179" i="15"/>
  <c r="G178" i="15"/>
  <c r="G177" i="15"/>
  <c r="G176" i="15"/>
  <c r="G175" i="15"/>
  <c r="G174" i="15"/>
  <c r="G173" i="15"/>
  <c r="G172" i="15"/>
  <c r="G171" i="15"/>
  <c r="G170" i="15"/>
  <c r="G169" i="15"/>
  <c r="G168" i="15"/>
  <c r="G167" i="15"/>
  <c r="G166" i="15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51" i="15"/>
  <c r="G150" i="15"/>
  <c r="G149" i="15"/>
  <c r="G148" i="15"/>
  <c r="G147" i="15"/>
  <c r="G146" i="15"/>
  <c r="G145" i="15"/>
  <c r="G144" i="15"/>
  <c r="G143" i="15"/>
  <c r="G142" i="15"/>
  <c r="G141" i="15"/>
  <c r="G140" i="15"/>
  <c r="G139" i="15"/>
  <c r="G138" i="15"/>
  <c r="G137" i="15"/>
  <c r="G136" i="15"/>
  <c r="G135" i="15"/>
  <c r="G134" i="15"/>
  <c r="G133" i="15"/>
  <c r="G132" i="15"/>
  <c r="G131" i="15"/>
  <c r="G130" i="15"/>
  <c r="G129" i="15"/>
  <c r="G128" i="15"/>
  <c r="G127" i="15"/>
  <c r="G126" i="15"/>
  <c r="G125" i="15"/>
  <c r="G124" i="15"/>
  <c r="G123" i="15"/>
  <c r="G122" i="15"/>
  <c r="G121" i="15"/>
  <c r="G120" i="15"/>
  <c r="G119" i="15"/>
  <c r="G118" i="15"/>
  <c r="G117" i="15"/>
  <c r="G116" i="15"/>
  <c r="G115" i="15"/>
  <c r="G114" i="15"/>
  <c r="G113" i="15"/>
  <c r="G112" i="15"/>
  <c r="G111" i="15"/>
  <c r="G110" i="15"/>
  <c r="G109" i="15"/>
  <c r="G108" i="15"/>
  <c r="G107" i="15"/>
  <c r="G106" i="15"/>
  <c r="G105" i="15"/>
  <c r="G104" i="15"/>
  <c r="G103" i="15"/>
  <c r="G102" i="15"/>
  <c r="G10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M319" i="14"/>
  <c r="M318" i="14"/>
  <c r="M317" i="14"/>
  <c r="M316" i="14"/>
  <c r="M315" i="14"/>
  <c r="M314" i="14"/>
  <c r="M313" i="14"/>
  <c r="M312" i="14"/>
  <c r="M311" i="14"/>
  <c r="M310" i="14"/>
  <c r="M309" i="14"/>
  <c r="M308" i="14"/>
  <c r="M307" i="14"/>
  <c r="M306" i="14"/>
  <c r="M305" i="14"/>
  <c r="M304" i="14"/>
  <c r="M303" i="14"/>
  <c r="M302" i="14"/>
  <c r="M301" i="14"/>
  <c r="M300" i="14"/>
  <c r="M299" i="14"/>
  <c r="M298" i="14"/>
  <c r="M297" i="14"/>
  <c r="M296" i="14"/>
  <c r="M295" i="14"/>
  <c r="M294" i="14"/>
  <c r="M293" i="14"/>
  <c r="M292" i="14"/>
  <c r="M291" i="14"/>
  <c r="M290" i="14"/>
  <c r="M289" i="14"/>
  <c r="M288" i="14"/>
  <c r="M287" i="14"/>
  <c r="M286" i="14"/>
  <c r="M285" i="14"/>
  <c r="M284" i="14"/>
  <c r="M283" i="14"/>
  <c r="M282" i="14"/>
  <c r="M281" i="14"/>
  <c r="M280" i="14"/>
  <c r="M279" i="14"/>
  <c r="M278" i="14"/>
  <c r="M277" i="14"/>
  <c r="M276" i="14"/>
  <c r="M275" i="14"/>
  <c r="M274" i="14"/>
  <c r="M273" i="14"/>
  <c r="M272" i="14"/>
  <c r="M271" i="14"/>
  <c r="M270" i="14"/>
  <c r="M269" i="14"/>
  <c r="M268" i="14"/>
  <c r="M267" i="14"/>
  <c r="M266" i="14"/>
  <c r="M265" i="14"/>
  <c r="M264" i="14"/>
  <c r="M263" i="14"/>
  <c r="M262" i="14"/>
  <c r="M261" i="14"/>
  <c r="M260" i="14"/>
  <c r="M259" i="14"/>
  <c r="M258" i="14"/>
  <c r="M257" i="14"/>
  <c r="M256" i="14"/>
  <c r="M255" i="14"/>
  <c r="M254" i="14"/>
  <c r="M253" i="14"/>
  <c r="M252" i="14"/>
  <c r="M251" i="14"/>
  <c r="M250" i="14"/>
  <c r="M249" i="14"/>
  <c r="M248" i="14"/>
  <c r="M247" i="14"/>
  <c r="M246" i="14"/>
  <c r="M245" i="14"/>
  <c r="M244" i="14"/>
  <c r="M243" i="14"/>
  <c r="M242" i="14"/>
  <c r="M241" i="14"/>
  <c r="M240" i="14"/>
  <c r="M239" i="14"/>
  <c r="M238" i="14"/>
  <c r="M237" i="14"/>
  <c r="M236" i="14"/>
  <c r="M235" i="14"/>
  <c r="M234" i="14"/>
  <c r="M233" i="14"/>
  <c r="M232" i="14"/>
  <c r="M231" i="14"/>
  <c r="M230" i="14"/>
  <c r="M229" i="14"/>
  <c r="M228" i="14"/>
  <c r="M227" i="14"/>
  <c r="M226" i="14"/>
  <c r="M225" i="14"/>
  <c r="M224" i="14"/>
  <c r="M223" i="14"/>
  <c r="M222" i="14"/>
  <c r="M221" i="14"/>
  <c r="M220" i="14"/>
  <c r="M219" i="14"/>
  <c r="M218" i="14"/>
  <c r="M217" i="14"/>
  <c r="M216" i="14"/>
  <c r="M215" i="14"/>
  <c r="M214" i="14"/>
  <c r="M213" i="14"/>
  <c r="M212" i="14"/>
  <c r="M211" i="14"/>
  <c r="M210" i="14"/>
  <c r="M209" i="14"/>
  <c r="M208" i="14"/>
  <c r="M207" i="14"/>
  <c r="M206" i="14"/>
  <c r="M205" i="14"/>
  <c r="M204" i="14"/>
  <c r="M203" i="14"/>
  <c r="M202" i="14"/>
  <c r="M201" i="14"/>
  <c r="M200" i="14"/>
  <c r="M199" i="14"/>
  <c r="M198" i="14"/>
  <c r="M197" i="14"/>
  <c r="M196" i="14"/>
  <c r="M195" i="14"/>
  <c r="M194" i="14"/>
  <c r="M193" i="14"/>
  <c r="M192" i="14"/>
  <c r="M191" i="14"/>
  <c r="M190" i="14"/>
  <c r="M189" i="14"/>
  <c r="M188" i="14"/>
  <c r="M187" i="14"/>
  <c r="M186" i="14"/>
  <c r="M185" i="14"/>
  <c r="M184" i="14"/>
  <c r="M183" i="14"/>
  <c r="M182" i="14"/>
  <c r="M181" i="14"/>
  <c r="M180" i="14"/>
  <c r="M179" i="14"/>
  <c r="M178" i="14"/>
  <c r="M177" i="14"/>
  <c r="M176" i="14"/>
  <c r="M175" i="14"/>
  <c r="M174" i="14"/>
  <c r="M173" i="14"/>
  <c r="M172" i="14"/>
  <c r="M171" i="14"/>
  <c r="M170" i="14"/>
  <c r="M169" i="14"/>
  <c r="M168" i="14"/>
  <c r="M167" i="14"/>
  <c r="M166" i="14"/>
  <c r="M165" i="14"/>
  <c r="M164" i="14"/>
  <c r="M163" i="14"/>
  <c r="M162" i="14"/>
  <c r="M161" i="14"/>
  <c r="M160" i="14"/>
  <c r="M159" i="14"/>
  <c r="M158" i="14"/>
  <c r="M157" i="14"/>
  <c r="M156" i="14"/>
  <c r="M155" i="14"/>
  <c r="M154" i="14"/>
  <c r="M153" i="14"/>
  <c r="M152" i="14"/>
  <c r="M151" i="14"/>
  <c r="M150" i="14"/>
  <c r="M149" i="14"/>
  <c r="M148" i="14"/>
  <c r="M147" i="14"/>
  <c r="M146" i="14"/>
  <c r="M145" i="14"/>
  <c r="M144" i="14"/>
  <c r="M143" i="14"/>
  <c r="M142" i="14"/>
  <c r="M141" i="14"/>
  <c r="M140" i="14"/>
  <c r="M139" i="14"/>
  <c r="M138" i="14"/>
  <c r="M137" i="14"/>
  <c r="M136" i="14"/>
  <c r="M135" i="14"/>
  <c r="M134" i="14"/>
  <c r="M133" i="14"/>
  <c r="M132" i="14"/>
  <c r="M131" i="14"/>
  <c r="M130" i="14"/>
  <c r="M129" i="14"/>
  <c r="M128" i="14"/>
  <c r="M127" i="14"/>
  <c r="M126" i="14"/>
  <c r="M125" i="14"/>
  <c r="M124" i="14"/>
  <c r="M123" i="14"/>
  <c r="M122" i="14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I319" i="14"/>
  <c r="I318" i="14"/>
  <c r="I317" i="14"/>
  <c r="I316" i="14"/>
  <c r="I315" i="14"/>
  <c r="I314" i="14"/>
  <c r="I313" i="14"/>
  <c r="I312" i="14"/>
  <c r="I311" i="14"/>
  <c r="I310" i="14"/>
  <c r="I309" i="14"/>
  <c r="I308" i="14"/>
  <c r="I307" i="14"/>
  <c r="I306" i="14"/>
  <c r="I305" i="14"/>
  <c r="I304" i="14"/>
  <c r="I303" i="14"/>
  <c r="I302" i="14"/>
  <c r="I301" i="14"/>
  <c r="I300" i="14"/>
  <c r="I299" i="14"/>
  <c r="I298" i="14"/>
  <c r="I297" i="14"/>
  <c r="I296" i="14"/>
  <c r="I295" i="14"/>
  <c r="I294" i="14"/>
  <c r="I293" i="14"/>
  <c r="I292" i="14"/>
  <c r="I291" i="14"/>
  <c r="I290" i="14"/>
  <c r="I289" i="14"/>
  <c r="I288" i="14"/>
  <c r="I287" i="14"/>
  <c r="I286" i="14"/>
  <c r="I285" i="14"/>
  <c r="I284" i="14"/>
  <c r="I283" i="14"/>
  <c r="I282" i="14"/>
  <c r="I281" i="14"/>
  <c r="I280" i="14"/>
  <c r="I279" i="14"/>
  <c r="I278" i="14"/>
  <c r="I277" i="14"/>
  <c r="I276" i="14"/>
  <c r="I275" i="14"/>
  <c r="I274" i="14"/>
  <c r="I273" i="14"/>
  <c r="I272" i="14"/>
  <c r="I271" i="14"/>
  <c r="I270" i="14"/>
  <c r="I269" i="14"/>
  <c r="I268" i="14"/>
  <c r="I267" i="14"/>
  <c r="I266" i="14"/>
  <c r="I265" i="14"/>
  <c r="I264" i="14"/>
  <c r="I263" i="14"/>
  <c r="I262" i="14"/>
  <c r="I261" i="14"/>
  <c r="I260" i="14"/>
  <c r="I259" i="14"/>
  <c r="I258" i="14"/>
  <c r="I257" i="14"/>
  <c r="I256" i="14"/>
  <c r="I255" i="14"/>
  <c r="I254" i="14"/>
  <c r="I253" i="14"/>
  <c r="I252" i="14"/>
  <c r="I251" i="14"/>
  <c r="I250" i="14"/>
  <c r="I249" i="14"/>
  <c r="I248" i="14"/>
  <c r="I247" i="14"/>
  <c r="I246" i="14"/>
  <c r="I245" i="14"/>
  <c r="I244" i="14"/>
  <c r="I243" i="14"/>
  <c r="I242" i="14"/>
  <c r="I241" i="14"/>
  <c r="I240" i="14"/>
  <c r="I239" i="14"/>
  <c r="I238" i="14"/>
  <c r="I237" i="14"/>
  <c r="I236" i="14"/>
  <c r="I235" i="14"/>
  <c r="I234" i="14"/>
  <c r="I233" i="14"/>
  <c r="I232" i="14"/>
  <c r="I231" i="14"/>
  <c r="I230" i="14"/>
  <c r="I229" i="14"/>
  <c r="I228" i="14"/>
  <c r="I227" i="14"/>
  <c r="I226" i="14"/>
  <c r="I225" i="14"/>
  <c r="I224" i="14"/>
  <c r="I223" i="14"/>
  <c r="I222" i="14"/>
  <c r="I221" i="14"/>
  <c r="I220" i="14"/>
  <c r="I219" i="14"/>
  <c r="I218" i="14"/>
  <c r="I217" i="14"/>
  <c r="I216" i="14"/>
  <c r="I215" i="14"/>
  <c r="I214" i="14"/>
  <c r="I213" i="14"/>
  <c r="I212" i="14"/>
  <c r="I211" i="14"/>
  <c r="I210" i="14"/>
  <c r="I209" i="14"/>
  <c r="I208" i="14"/>
  <c r="I207" i="14"/>
  <c r="I206" i="14"/>
  <c r="I205" i="14"/>
  <c r="I204" i="14"/>
  <c r="I203" i="14"/>
  <c r="I202" i="14"/>
  <c r="I201" i="14"/>
  <c r="I200" i="14"/>
  <c r="I199" i="14"/>
  <c r="I198" i="14"/>
  <c r="I197" i="14"/>
  <c r="I196" i="14"/>
  <c r="I195" i="14"/>
  <c r="I194" i="14"/>
  <c r="I193" i="14"/>
  <c r="I192" i="14"/>
  <c r="I191" i="14"/>
  <c r="I190" i="14"/>
  <c r="I189" i="14"/>
  <c r="I188" i="14"/>
  <c r="I187" i="14"/>
  <c r="I186" i="14"/>
  <c r="I185" i="14"/>
  <c r="I184" i="14"/>
  <c r="I183" i="14"/>
  <c r="I182" i="14"/>
  <c r="I181" i="14"/>
  <c r="I180" i="14"/>
  <c r="I179" i="14"/>
  <c r="I178" i="14"/>
  <c r="I177" i="14"/>
  <c r="I176" i="14"/>
  <c r="I175" i="14"/>
  <c r="I174" i="14"/>
  <c r="I173" i="14"/>
  <c r="I172" i="14"/>
  <c r="I171" i="14"/>
  <c r="I170" i="14"/>
  <c r="I169" i="14"/>
  <c r="I168" i="14"/>
  <c r="I167" i="14"/>
  <c r="I166" i="14"/>
  <c r="I165" i="14"/>
  <c r="I164" i="14"/>
  <c r="I163" i="14"/>
  <c r="I162" i="14"/>
  <c r="I161" i="14"/>
  <c r="I160" i="14"/>
  <c r="I159" i="14"/>
  <c r="I158" i="14"/>
  <c r="I157" i="14"/>
  <c r="I156" i="14"/>
  <c r="I155" i="14"/>
  <c r="I154" i="14"/>
  <c r="I153" i="14"/>
  <c r="I152" i="14"/>
  <c r="I151" i="14"/>
  <c r="I150" i="14"/>
  <c r="I149" i="14"/>
  <c r="I148" i="14"/>
  <c r="I147" i="14"/>
  <c r="I146" i="14"/>
  <c r="I145" i="14"/>
  <c r="I144" i="14"/>
  <c r="I143" i="14"/>
  <c r="I142" i="14"/>
  <c r="I141" i="14"/>
  <c r="I140" i="14"/>
  <c r="I139" i="14"/>
  <c r="I138" i="14"/>
  <c r="I137" i="14"/>
  <c r="I136" i="14"/>
  <c r="I135" i="14"/>
  <c r="I134" i="14"/>
  <c r="I133" i="14"/>
  <c r="I132" i="14"/>
  <c r="I131" i="14"/>
  <c r="I130" i="14"/>
  <c r="I129" i="14"/>
  <c r="I128" i="14"/>
  <c r="I127" i="14"/>
  <c r="I126" i="14"/>
  <c r="I125" i="14"/>
  <c r="I124" i="14"/>
  <c r="I123" i="14"/>
  <c r="I122" i="14"/>
  <c r="I121" i="14"/>
  <c r="I120" i="14"/>
  <c r="I119" i="14"/>
  <c r="I118" i="14"/>
  <c r="I117" i="14"/>
  <c r="I116" i="14"/>
  <c r="I115" i="14"/>
  <c r="I114" i="14"/>
  <c r="I113" i="14"/>
  <c r="I112" i="14"/>
  <c r="I111" i="14"/>
  <c r="I110" i="14"/>
  <c r="I109" i="14"/>
  <c r="I108" i="14"/>
  <c r="I107" i="14"/>
  <c r="I106" i="14"/>
  <c r="I105" i="14"/>
  <c r="I104" i="14"/>
  <c r="I103" i="14"/>
  <c r="I102" i="14"/>
  <c r="I101" i="14"/>
  <c r="I100" i="14"/>
  <c r="I99" i="14"/>
  <c r="I98" i="14"/>
  <c r="I97" i="14"/>
  <c r="I96" i="14"/>
  <c r="I95" i="14"/>
  <c r="I94" i="14"/>
  <c r="I93" i="14"/>
  <c r="I92" i="14"/>
  <c r="I91" i="14"/>
  <c r="I90" i="14"/>
  <c r="I89" i="14"/>
  <c r="I88" i="14"/>
  <c r="I87" i="14"/>
  <c r="I86" i="14"/>
  <c r="I85" i="14"/>
  <c r="I84" i="14"/>
  <c r="I83" i="14"/>
  <c r="I82" i="14"/>
  <c r="I81" i="14"/>
  <c r="I80" i="14"/>
  <c r="I79" i="14"/>
  <c r="I78" i="14"/>
  <c r="I77" i="14"/>
  <c r="I76" i="14"/>
  <c r="I75" i="14"/>
  <c r="I74" i="14"/>
  <c r="I73" i="14"/>
  <c r="I72" i="14"/>
  <c r="I71" i="14"/>
  <c r="I70" i="14"/>
  <c r="I69" i="14"/>
  <c r="I68" i="14"/>
  <c r="I67" i="14"/>
  <c r="I66" i="14"/>
  <c r="I65" i="14"/>
  <c r="I64" i="14"/>
  <c r="I63" i="14"/>
  <c r="I62" i="14"/>
  <c r="I61" i="14"/>
  <c r="I60" i="14"/>
  <c r="I59" i="14"/>
  <c r="I58" i="14"/>
  <c r="I57" i="14"/>
  <c r="I56" i="14"/>
  <c r="I55" i="14"/>
  <c r="I54" i="14"/>
  <c r="I53" i="14"/>
  <c r="I52" i="14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13" i="14"/>
  <c r="I12" i="14"/>
  <c r="I11" i="14"/>
  <c r="I10" i="14"/>
  <c r="I9" i="14"/>
  <c r="I8" i="14"/>
  <c r="I7" i="14"/>
  <c r="I6" i="14"/>
  <c r="B10" i="14"/>
  <c r="C9" i="14"/>
  <c r="C8" i="14"/>
  <c r="C7" i="14"/>
  <c r="C6" i="14"/>
  <c r="C5" i="14"/>
  <c r="M210" i="10"/>
  <c r="M164" i="10"/>
  <c r="M168" i="10"/>
  <c r="M181" i="10"/>
  <c r="M89" i="10"/>
  <c r="M269" i="10"/>
  <c r="M219" i="10"/>
  <c r="M262" i="10"/>
  <c r="M21" i="10"/>
  <c r="M161" i="10"/>
  <c r="M276" i="10"/>
  <c r="M256" i="10"/>
  <c r="M274" i="10"/>
  <c r="M264" i="10"/>
  <c r="M294" i="10"/>
  <c r="M5" i="10"/>
  <c r="M63" i="10"/>
  <c r="M175" i="10"/>
  <c r="M188" i="10"/>
  <c r="M53" i="10"/>
  <c r="M83" i="10"/>
  <c r="M193" i="10"/>
  <c r="M201" i="10"/>
  <c r="M16" i="10"/>
  <c r="M234" i="10"/>
  <c r="M22" i="10"/>
  <c r="M18" i="10"/>
  <c r="M125" i="10"/>
  <c r="M303" i="10"/>
  <c r="M213" i="10"/>
  <c r="M290" i="10"/>
  <c r="M96" i="10"/>
  <c r="M82" i="10"/>
  <c r="M196" i="10"/>
  <c r="M31" i="10"/>
  <c r="M135" i="10"/>
  <c r="M310" i="10"/>
  <c r="M302" i="10"/>
  <c r="M130" i="10"/>
  <c r="M165" i="10"/>
  <c r="M9" i="10"/>
  <c r="M98" i="10"/>
  <c r="M308" i="10"/>
  <c r="M46" i="10"/>
  <c r="M99" i="10"/>
  <c r="M315" i="10"/>
  <c r="M38" i="10"/>
  <c r="M150" i="10"/>
  <c r="M268" i="10"/>
  <c r="M314" i="10"/>
  <c r="M103" i="10"/>
  <c r="M297" i="10"/>
  <c r="M44" i="10"/>
  <c r="M271" i="10"/>
  <c r="M238" i="10"/>
  <c r="M265" i="10"/>
  <c r="M79" i="10"/>
  <c r="M307" i="10"/>
  <c r="M139" i="10"/>
  <c r="M182" i="10"/>
  <c r="M236" i="10"/>
  <c r="M260" i="10"/>
  <c r="M80" i="10"/>
  <c r="M91" i="10"/>
  <c r="M280" i="10"/>
  <c r="M214" i="10"/>
  <c r="M232" i="10"/>
  <c r="M216" i="10"/>
  <c r="M254" i="10"/>
  <c r="M88" i="10"/>
  <c r="M74" i="10"/>
  <c r="M127" i="10"/>
  <c r="M77" i="10"/>
  <c r="M86" i="10"/>
  <c r="M154" i="10"/>
  <c r="M144" i="10"/>
  <c r="M28" i="10"/>
  <c r="M152" i="10"/>
  <c r="M132" i="10"/>
  <c r="M195" i="10"/>
  <c r="M239" i="10"/>
  <c r="M207" i="10"/>
  <c r="M137" i="10"/>
  <c r="M131" i="10"/>
  <c r="M230" i="10"/>
  <c r="M105" i="10"/>
  <c r="M68" i="10"/>
  <c r="M49" i="10"/>
  <c r="M225" i="10"/>
  <c r="M95" i="10"/>
  <c r="M160" i="10"/>
  <c r="M306" i="10"/>
  <c r="M243" i="10"/>
  <c r="M93" i="10"/>
  <c r="M177" i="10"/>
  <c r="M229" i="10"/>
  <c r="M200" i="10"/>
  <c r="M133" i="10"/>
  <c r="M275" i="10"/>
  <c r="M140" i="10"/>
  <c r="M92" i="10"/>
  <c r="M32" i="10"/>
  <c r="M107" i="10"/>
  <c r="M185" i="10"/>
  <c r="M220" i="10"/>
  <c r="M211" i="10"/>
  <c r="M120" i="10"/>
  <c r="M30" i="10"/>
  <c r="M100" i="10"/>
  <c r="M11" i="10"/>
  <c r="M57" i="10"/>
  <c r="M124" i="10"/>
  <c r="M249" i="10"/>
  <c r="M56" i="10"/>
  <c r="M285" i="10"/>
  <c r="M202" i="10"/>
  <c r="M205" i="10"/>
  <c r="M110" i="10"/>
  <c r="M60" i="10"/>
  <c r="M173" i="10"/>
  <c r="M184" i="10"/>
  <c r="M157" i="10"/>
  <c r="M81" i="10"/>
  <c r="M233" i="10"/>
  <c r="M148" i="10"/>
  <c r="M116" i="10"/>
  <c r="M305" i="10"/>
  <c r="M62" i="10"/>
  <c r="M76" i="10"/>
  <c r="M10" i="10"/>
  <c r="M190" i="10"/>
  <c r="M287" i="10"/>
  <c r="M8" i="10"/>
  <c r="M6" i="10"/>
  <c r="M300" i="10"/>
  <c r="M291" i="10"/>
  <c r="M156" i="10"/>
  <c r="M319" i="10"/>
  <c r="M311" i="10"/>
  <c r="M316" i="10"/>
  <c r="M317" i="10"/>
  <c r="M258" i="10"/>
  <c r="M312" i="10"/>
  <c r="M189" i="10"/>
  <c r="M255" i="10"/>
  <c r="M288" i="10"/>
  <c r="M240" i="10"/>
  <c r="M187" i="10"/>
  <c r="M218" i="10"/>
  <c r="M178" i="10"/>
  <c r="M109" i="10"/>
  <c r="M121" i="10"/>
  <c r="M48" i="10"/>
  <c r="M153" i="10"/>
  <c r="M75" i="10"/>
  <c r="M36" i="10"/>
  <c r="M261" i="10"/>
  <c r="M197" i="10"/>
  <c r="M54" i="10"/>
  <c r="M206" i="10"/>
  <c r="M227" i="10"/>
  <c r="M118" i="10"/>
  <c r="M244" i="10"/>
  <c r="M71" i="10"/>
  <c r="M114" i="10"/>
  <c r="M241" i="10"/>
  <c r="M273" i="10"/>
  <c r="M162" i="10"/>
  <c r="M102" i="10"/>
  <c r="M186" i="10"/>
  <c r="M170" i="10"/>
  <c r="M251" i="10"/>
  <c r="M158" i="10"/>
  <c r="M253" i="10"/>
  <c r="M126" i="10"/>
  <c r="M52" i="10"/>
  <c r="M40" i="10"/>
  <c r="M113" i="10"/>
  <c r="M284" i="10"/>
  <c r="M47" i="10"/>
  <c r="M226" i="10"/>
  <c r="M166" i="10"/>
  <c r="M29" i="10"/>
  <c r="M90" i="10"/>
  <c r="M65" i="10"/>
  <c r="M259" i="10"/>
  <c r="M23" i="10"/>
  <c r="M172" i="10"/>
  <c r="M143" i="10"/>
  <c r="M45" i="10"/>
  <c r="M39" i="10"/>
  <c r="M289" i="10"/>
  <c r="M281" i="10"/>
  <c r="M111" i="10"/>
  <c r="M163" i="10"/>
  <c r="M59" i="10"/>
  <c r="M70" i="10"/>
  <c r="M245" i="10"/>
  <c r="M203" i="10"/>
  <c r="M171" i="10"/>
  <c r="M19" i="10"/>
  <c r="M174" i="10"/>
  <c r="M180" i="10"/>
  <c r="M145" i="10"/>
  <c r="M41" i="10"/>
  <c r="M295" i="10"/>
  <c r="M149" i="10"/>
  <c r="M138" i="10"/>
  <c r="M104" i="10"/>
  <c r="M235" i="10"/>
  <c r="M55" i="10"/>
  <c r="M69" i="10"/>
  <c r="M108" i="10"/>
  <c r="M194" i="10"/>
  <c r="M134" i="10"/>
  <c r="M208" i="10"/>
  <c r="M282" i="10"/>
  <c r="M64" i="10"/>
  <c r="M61" i="10"/>
  <c r="M33" i="10"/>
  <c r="M248" i="10"/>
  <c r="M43" i="10"/>
  <c r="M35" i="10"/>
  <c r="M146" i="10"/>
  <c r="M20" i="10"/>
  <c r="M204" i="10"/>
  <c r="M237" i="10"/>
  <c r="M263" i="10"/>
  <c r="M147" i="10"/>
  <c r="M228" i="10"/>
  <c r="M292" i="10"/>
  <c r="M266" i="10"/>
  <c r="M67" i="10"/>
  <c r="M94" i="10"/>
  <c r="M198" i="10"/>
  <c r="M270" i="10"/>
  <c r="M299" i="10"/>
  <c r="M155" i="10"/>
  <c r="M183" i="10"/>
  <c r="M298" i="10"/>
  <c r="M199" i="10"/>
  <c r="M296" i="10"/>
  <c r="M283" i="10"/>
  <c r="M250" i="10"/>
  <c r="M72" i="10"/>
  <c r="M221" i="10"/>
  <c r="M176" i="10"/>
  <c r="M25" i="10"/>
  <c r="M119" i="10"/>
  <c r="M27" i="10"/>
  <c r="M142" i="10"/>
  <c r="M272" i="10"/>
  <c r="M212" i="10"/>
  <c r="M167" i="10"/>
  <c r="M123" i="10"/>
  <c r="M51" i="10"/>
  <c r="M293" i="10"/>
  <c r="M247" i="10"/>
  <c r="M37" i="10"/>
  <c r="M217" i="10"/>
  <c r="M151" i="10"/>
  <c r="M17" i="10"/>
  <c r="M267" i="10"/>
  <c r="M179" i="10"/>
  <c r="M50" i="10"/>
  <c r="M209" i="10"/>
  <c r="M58" i="10"/>
  <c r="M112" i="10"/>
  <c r="M159" i="10"/>
  <c r="M309" i="10"/>
  <c r="M257" i="10"/>
  <c r="M224" i="10"/>
  <c r="M73" i="10"/>
  <c r="M277" i="10"/>
  <c r="M13" i="10"/>
  <c r="M136" i="10"/>
  <c r="M222" i="10"/>
  <c r="M128" i="10"/>
  <c r="M34" i="10"/>
  <c r="M246" i="10"/>
  <c r="M106" i="10"/>
  <c r="M169" i="10"/>
  <c r="M278" i="10"/>
  <c r="M279" i="10"/>
  <c r="M117" i="10"/>
  <c r="M304" i="10"/>
  <c r="M191" i="10"/>
  <c r="M242" i="10"/>
  <c r="M66" i="10"/>
  <c r="M78" i="10"/>
  <c r="M87" i="10"/>
  <c r="M318" i="10"/>
  <c r="M141" i="10"/>
  <c r="M129" i="10"/>
  <c r="M215" i="10"/>
  <c r="M42" i="10"/>
  <c r="M15" i="10"/>
  <c r="M231" i="10"/>
  <c r="M26" i="10"/>
  <c r="M286" i="10"/>
  <c r="M313" i="10"/>
  <c r="M301" i="10"/>
  <c r="M12" i="10"/>
  <c r="M85" i="10"/>
  <c r="M223" i="10"/>
  <c r="M7" i="10"/>
  <c r="M14" i="10"/>
  <c r="M122" i="10"/>
  <c r="M252" i="10"/>
  <c r="M115" i="10"/>
  <c r="M101" i="10"/>
  <c r="M24" i="10"/>
  <c r="M84" i="10"/>
  <c r="M192" i="10"/>
  <c r="I319" i="10"/>
  <c r="I318" i="10"/>
  <c r="I317" i="10"/>
  <c r="I316" i="10"/>
  <c r="I315" i="10"/>
  <c r="I314" i="10"/>
  <c r="I313" i="10"/>
  <c r="I312" i="10"/>
  <c r="I311" i="10"/>
  <c r="I310" i="10"/>
  <c r="I309" i="10"/>
  <c r="I308" i="10"/>
  <c r="I307" i="10"/>
  <c r="I306" i="10"/>
  <c r="I305" i="10"/>
  <c r="I304" i="10"/>
  <c r="I303" i="10"/>
  <c r="I302" i="10"/>
  <c r="I301" i="10"/>
  <c r="I300" i="10"/>
  <c r="I299" i="10"/>
  <c r="I298" i="10"/>
  <c r="I297" i="10"/>
  <c r="I296" i="10"/>
  <c r="I295" i="10"/>
  <c r="I294" i="10"/>
  <c r="I293" i="10"/>
  <c r="I292" i="10"/>
  <c r="I291" i="10"/>
  <c r="I290" i="10"/>
  <c r="I289" i="10"/>
  <c r="I288" i="10"/>
  <c r="I287" i="10"/>
  <c r="I286" i="10"/>
  <c r="I285" i="10"/>
  <c r="I284" i="10"/>
  <c r="I283" i="10"/>
  <c r="I282" i="10"/>
  <c r="I281" i="10"/>
  <c r="I280" i="10"/>
  <c r="I279" i="10"/>
  <c r="I278" i="10"/>
  <c r="I277" i="10"/>
  <c r="I276" i="10"/>
  <c r="I275" i="10"/>
  <c r="I274" i="10"/>
  <c r="I273" i="10"/>
  <c r="I272" i="10"/>
  <c r="I271" i="10"/>
  <c r="I270" i="10"/>
  <c r="I269" i="10"/>
  <c r="I268" i="10"/>
  <c r="I267" i="10"/>
  <c r="I266" i="10"/>
  <c r="I265" i="10"/>
  <c r="I264" i="10"/>
  <c r="I263" i="10"/>
  <c r="I262" i="10"/>
  <c r="I261" i="10"/>
  <c r="I260" i="10"/>
  <c r="I259" i="10"/>
  <c r="I258" i="10"/>
  <c r="I257" i="10"/>
  <c r="I256" i="10"/>
  <c r="I255" i="10"/>
  <c r="I254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232" i="10"/>
  <c r="I231" i="10"/>
  <c r="I230" i="10"/>
  <c r="I229" i="10"/>
  <c r="I228" i="10"/>
  <c r="I227" i="10"/>
  <c r="I226" i="10"/>
  <c r="I225" i="10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1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B10" i="10"/>
  <c r="C9" i="10"/>
  <c r="C8" i="10"/>
  <c r="C7" i="10"/>
  <c r="C6" i="10"/>
  <c r="C5" i="10"/>
  <c r="Y14" i="13" l="1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34" i="13"/>
  <c r="Y13" i="13"/>
  <c r="N319" i="13" l="1"/>
  <c r="N318" i="13"/>
  <c r="N317" i="13"/>
  <c r="N316" i="13"/>
  <c r="N315" i="13"/>
  <c r="N314" i="13"/>
  <c r="N313" i="13"/>
  <c r="N312" i="13"/>
  <c r="N311" i="13"/>
  <c r="N310" i="13"/>
  <c r="N309" i="13"/>
  <c r="N308" i="13"/>
  <c r="N307" i="13"/>
  <c r="N306" i="13"/>
  <c r="N305" i="13"/>
  <c r="N304" i="13"/>
  <c r="N303" i="13"/>
  <c r="N302" i="13"/>
  <c r="N301" i="13"/>
  <c r="N300" i="13"/>
  <c r="N299" i="13"/>
  <c r="N298" i="13"/>
  <c r="N297" i="13"/>
  <c r="N296" i="13"/>
  <c r="N295" i="13"/>
  <c r="N294" i="13"/>
  <c r="N293" i="13"/>
  <c r="N292" i="13"/>
  <c r="N291" i="13"/>
  <c r="N290" i="13"/>
  <c r="N289" i="13"/>
  <c r="N288" i="13"/>
  <c r="N287" i="13"/>
  <c r="N286" i="13"/>
  <c r="N285" i="13"/>
  <c r="N284" i="13"/>
  <c r="N283" i="13"/>
  <c r="N282" i="13"/>
  <c r="N281" i="13"/>
  <c r="N280" i="13"/>
  <c r="N279" i="13"/>
  <c r="N278" i="13"/>
  <c r="N277" i="13"/>
  <c r="N276" i="13"/>
  <c r="N275" i="13"/>
  <c r="N274" i="13"/>
  <c r="N273" i="13"/>
  <c r="N272" i="13"/>
  <c r="N271" i="13"/>
  <c r="N270" i="13"/>
  <c r="N269" i="13"/>
  <c r="N268" i="13"/>
  <c r="N267" i="13"/>
  <c r="N266" i="13"/>
  <c r="N265" i="13"/>
  <c r="N264" i="13"/>
  <c r="N263" i="13"/>
  <c r="N262" i="13"/>
  <c r="N261" i="13"/>
  <c r="N260" i="13"/>
  <c r="N259" i="13"/>
  <c r="N258" i="13"/>
  <c r="N257" i="13"/>
  <c r="N256" i="13"/>
  <c r="N255" i="13"/>
  <c r="N254" i="13"/>
  <c r="N253" i="13"/>
  <c r="N252" i="13"/>
  <c r="N251" i="13"/>
  <c r="N250" i="13"/>
  <c r="N249" i="13"/>
  <c r="N248" i="13"/>
  <c r="N247" i="13"/>
  <c r="N246" i="13"/>
  <c r="N245" i="13"/>
  <c r="N244" i="13"/>
  <c r="N243" i="13"/>
  <c r="N242" i="13"/>
  <c r="N241" i="13"/>
  <c r="N240" i="13"/>
  <c r="N239" i="13"/>
  <c r="N238" i="13"/>
  <c r="N237" i="13"/>
  <c r="N236" i="13"/>
  <c r="N235" i="13"/>
  <c r="N234" i="13"/>
  <c r="N233" i="13"/>
  <c r="N232" i="13"/>
  <c r="N231" i="13"/>
  <c r="N230" i="13"/>
  <c r="N229" i="13"/>
  <c r="N228" i="13"/>
  <c r="N227" i="13"/>
  <c r="N226" i="13"/>
  <c r="N225" i="13"/>
  <c r="N224" i="13"/>
  <c r="N223" i="13"/>
  <c r="N222" i="13"/>
  <c r="N221" i="13"/>
  <c r="N220" i="13"/>
  <c r="N219" i="13"/>
  <c r="N218" i="13"/>
  <c r="N217" i="13"/>
  <c r="N216" i="13"/>
  <c r="N215" i="13"/>
  <c r="N214" i="13"/>
  <c r="N213" i="13"/>
  <c r="N212" i="13"/>
  <c r="N211" i="13"/>
  <c r="N210" i="13"/>
  <c r="N209" i="13"/>
  <c r="N208" i="13"/>
  <c r="N207" i="13"/>
  <c r="N206" i="13"/>
  <c r="N205" i="13"/>
  <c r="N204" i="13"/>
  <c r="N203" i="13"/>
  <c r="N202" i="13"/>
  <c r="N201" i="13"/>
  <c r="N200" i="13"/>
  <c r="N199" i="13"/>
  <c r="N198" i="13"/>
  <c r="N197" i="13"/>
  <c r="N196" i="13"/>
  <c r="N195" i="13"/>
  <c r="N194" i="13"/>
  <c r="N193" i="13"/>
  <c r="N192" i="13"/>
  <c r="N191" i="13"/>
  <c r="N190" i="13"/>
  <c r="N189" i="13"/>
  <c r="N188" i="13"/>
  <c r="N187" i="13"/>
  <c r="N186" i="13"/>
  <c r="N185" i="13"/>
  <c r="N184" i="13"/>
  <c r="N183" i="13"/>
  <c r="N182" i="13"/>
  <c r="N181" i="13"/>
  <c r="N180" i="13"/>
  <c r="N179" i="13"/>
  <c r="N178" i="13"/>
  <c r="N177" i="13"/>
  <c r="N176" i="13"/>
  <c r="N175" i="13"/>
  <c r="N174" i="13"/>
  <c r="N173" i="13"/>
  <c r="N172" i="13"/>
  <c r="N171" i="13"/>
  <c r="N170" i="13"/>
  <c r="N169" i="13"/>
  <c r="N168" i="13"/>
  <c r="N167" i="13"/>
  <c r="N166" i="13"/>
  <c r="N165" i="13"/>
  <c r="N164" i="13"/>
  <c r="N163" i="13"/>
  <c r="N162" i="13"/>
  <c r="N161" i="13"/>
  <c r="N160" i="13"/>
  <c r="N159" i="13"/>
  <c r="N158" i="13"/>
  <c r="N157" i="13"/>
  <c r="N156" i="13"/>
  <c r="N155" i="13"/>
  <c r="N154" i="13"/>
  <c r="N153" i="13"/>
  <c r="N152" i="13"/>
  <c r="N151" i="13"/>
  <c r="N150" i="13"/>
  <c r="N149" i="13"/>
  <c r="N148" i="13"/>
  <c r="N147" i="13"/>
  <c r="N146" i="13"/>
  <c r="N145" i="13"/>
  <c r="N144" i="13"/>
  <c r="N143" i="13"/>
  <c r="N142" i="13"/>
  <c r="N141" i="13"/>
  <c r="N140" i="13"/>
  <c r="N139" i="13"/>
  <c r="N138" i="13"/>
  <c r="N137" i="13"/>
  <c r="N136" i="13"/>
  <c r="N135" i="13"/>
  <c r="N134" i="13"/>
  <c r="N133" i="13"/>
  <c r="N132" i="13"/>
  <c r="N131" i="13"/>
  <c r="N130" i="13"/>
  <c r="N129" i="13"/>
  <c r="N128" i="13"/>
  <c r="N127" i="13"/>
  <c r="N126" i="13"/>
  <c r="N125" i="13"/>
  <c r="N124" i="13"/>
  <c r="N123" i="13"/>
  <c r="N122" i="13"/>
  <c r="N121" i="13"/>
  <c r="N120" i="13"/>
  <c r="N119" i="13"/>
  <c r="N118" i="13"/>
  <c r="N117" i="13"/>
  <c r="N116" i="13"/>
  <c r="N115" i="13"/>
  <c r="N114" i="13"/>
  <c r="N113" i="13"/>
  <c r="N112" i="13"/>
  <c r="N111" i="13"/>
  <c r="N110" i="13"/>
  <c r="N109" i="13"/>
  <c r="N108" i="13"/>
  <c r="N107" i="13"/>
  <c r="N106" i="13"/>
  <c r="N105" i="13"/>
  <c r="N104" i="13"/>
  <c r="N103" i="13"/>
  <c r="N102" i="13"/>
  <c r="N101" i="13"/>
  <c r="N100" i="13"/>
  <c r="N99" i="13"/>
  <c r="N98" i="13"/>
  <c r="N97" i="13"/>
  <c r="N96" i="13"/>
  <c r="N95" i="13"/>
  <c r="N94" i="13"/>
  <c r="N93" i="13"/>
  <c r="N92" i="13"/>
  <c r="N91" i="13"/>
  <c r="N90" i="13"/>
  <c r="N89" i="13"/>
  <c r="N88" i="13"/>
  <c r="N87" i="13"/>
  <c r="N86" i="13"/>
  <c r="N85" i="13"/>
  <c r="N84" i="13"/>
  <c r="N83" i="13"/>
  <c r="N82" i="13"/>
  <c r="N81" i="13"/>
  <c r="N80" i="13"/>
  <c r="N79" i="13"/>
  <c r="N78" i="13"/>
  <c r="N77" i="13"/>
  <c r="N76" i="13"/>
  <c r="N75" i="13"/>
  <c r="N74" i="13"/>
  <c r="N73" i="13"/>
  <c r="N72" i="13"/>
  <c r="N71" i="13"/>
  <c r="N70" i="13"/>
  <c r="N69" i="13"/>
  <c r="N68" i="13"/>
  <c r="N67" i="13"/>
  <c r="N66" i="13"/>
  <c r="N65" i="13"/>
  <c r="N64" i="13"/>
  <c r="N63" i="13"/>
  <c r="N62" i="13"/>
  <c r="N61" i="13"/>
  <c r="N60" i="13"/>
  <c r="N59" i="13"/>
  <c r="N58" i="13"/>
  <c r="N57" i="13"/>
  <c r="N56" i="13"/>
  <c r="N55" i="13"/>
  <c r="N54" i="13"/>
  <c r="N53" i="13"/>
  <c r="N52" i="13"/>
  <c r="N51" i="13"/>
  <c r="N50" i="13"/>
  <c r="N49" i="13"/>
  <c r="N48" i="13"/>
  <c r="N47" i="13"/>
  <c r="N46" i="13"/>
  <c r="N45" i="13"/>
  <c r="N44" i="13"/>
  <c r="N43" i="13"/>
  <c r="N42" i="13"/>
  <c r="N41" i="13"/>
  <c r="N40" i="13"/>
  <c r="N39" i="13"/>
  <c r="N38" i="13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N9" i="13"/>
  <c r="N8" i="13"/>
  <c r="N7" i="13"/>
  <c r="N6" i="13"/>
  <c r="N5" i="13"/>
  <c r="M5" i="13"/>
  <c r="M319" i="13"/>
  <c r="M318" i="13"/>
  <c r="M317" i="13"/>
  <c r="M316" i="13"/>
  <c r="M315" i="13"/>
  <c r="M314" i="13"/>
  <c r="M313" i="13"/>
  <c r="M312" i="13"/>
  <c r="M311" i="13"/>
  <c r="M310" i="13"/>
  <c r="M309" i="13"/>
  <c r="M308" i="13"/>
  <c r="M307" i="13"/>
  <c r="M306" i="13"/>
  <c r="M305" i="13"/>
  <c r="M304" i="13"/>
  <c r="M303" i="13"/>
  <c r="M302" i="13"/>
  <c r="M301" i="13"/>
  <c r="M300" i="13"/>
  <c r="M299" i="13"/>
  <c r="M298" i="13"/>
  <c r="M297" i="13"/>
  <c r="M296" i="13"/>
  <c r="M295" i="13"/>
  <c r="M294" i="13"/>
  <c r="M293" i="13"/>
  <c r="M292" i="13"/>
  <c r="M291" i="13"/>
  <c r="M290" i="13"/>
  <c r="M289" i="13"/>
  <c r="M288" i="13"/>
  <c r="M287" i="13"/>
  <c r="M286" i="13"/>
  <c r="M285" i="13"/>
  <c r="M284" i="13"/>
  <c r="M283" i="13"/>
  <c r="M282" i="13"/>
  <c r="M281" i="13"/>
  <c r="M280" i="13"/>
  <c r="M279" i="13"/>
  <c r="M278" i="13"/>
  <c r="M277" i="13"/>
  <c r="M276" i="13"/>
  <c r="M275" i="13"/>
  <c r="M274" i="13"/>
  <c r="M273" i="13"/>
  <c r="M272" i="13"/>
  <c r="M271" i="13"/>
  <c r="M270" i="13"/>
  <c r="M269" i="13"/>
  <c r="M268" i="13"/>
  <c r="M267" i="13"/>
  <c r="M266" i="13"/>
  <c r="M265" i="13"/>
  <c r="M264" i="13"/>
  <c r="M263" i="13"/>
  <c r="M262" i="13"/>
  <c r="M261" i="13"/>
  <c r="M260" i="13"/>
  <c r="M259" i="13"/>
  <c r="M258" i="13"/>
  <c r="M257" i="13"/>
  <c r="M256" i="13"/>
  <c r="M255" i="13"/>
  <c r="M254" i="13"/>
  <c r="M253" i="13"/>
  <c r="M252" i="13"/>
  <c r="M251" i="13"/>
  <c r="M250" i="13"/>
  <c r="M249" i="13"/>
  <c r="M248" i="13"/>
  <c r="M247" i="13"/>
  <c r="M246" i="13"/>
  <c r="M245" i="13"/>
  <c r="M244" i="13"/>
  <c r="M243" i="13"/>
  <c r="M242" i="13"/>
  <c r="M241" i="13"/>
  <c r="M240" i="13"/>
  <c r="M239" i="13"/>
  <c r="M238" i="13"/>
  <c r="M237" i="13"/>
  <c r="M236" i="13"/>
  <c r="M235" i="13"/>
  <c r="M234" i="13"/>
  <c r="M233" i="13"/>
  <c r="M232" i="13"/>
  <c r="M231" i="13"/>
  <c r="M230" i="13"/>
  <c r="M229" i="13"/>
  <c r="M228" i="13"/>
  <c r="M227" i="13"/>
  <c r="M226" i="13"/>
  <c r="M225" i="13"/>
  <c r="M224" i="13"/>
  <c r="M223" i="13"/>
  <c r="M222" i="13"/>
  <c r="M221" i="13"/>
  <c r="M220" i="13"/>
  <c r="M219" i="13"/>
  <c r="M218" i="13"/>
  <c r="M217" i="13"/>
  <c r="M216" i="13"/>
  <c r="M215" i="13"/>
  <c r="M214" i="13"/>
  <c r="M213" i="13"/>
  <c r="M212" i="13"/>
  <c r="M211" i="13"/>
  <c r="M210" i="13"/>
  <c r="M209" i="13"/>
  <c r="M208" i="13"/>
  <c r="M207" i="13"/>
  <c r="M206" i="13"/>
  <c r="M205" i="13"/>
  <c r="M204" i="13"/>
  <c r="M203" i="13"/>
  <c r="M202" i="13"/>
  <c r="M201" i="13"/>
  <c r="M200" i="13"/>
  <c r="M199" i="13"/>
  <c r="M198" i="13"/>
  <c r="M197" i="13"/>
  <c r="M196" i="13"/>
  <c r="M195" i="13"/>
  <c r="M194" i="13"/>
  <c r="M193" i="13"/>
  <c r="M192" i="13"/>
  <c r="M191" i="13"/>
  <c r="M190" i="13"/>
  <c r="M189" i="13"/>
  <c r="M188" i="13"/>
  <c r="M187" i="13"/>
  <c r="M186" i="13"/>
  <c r="M185" i="13"/>
  <c r="M184" i="13"/>
  <c r="M183" i="13"/>
  <c r="M182" i="13"/>
  <c r="M181" i="13"/>
  <c r="M180" i="13"/>
  <c r="M179" i="13"/>
  <c r="M178" i="13"/>
  <c r="M177" i="13"/>
  <c r="M176" i="13"/>
  <c r="M175" i="13"/>
  <c r="M174" i="13"/>
  <c r="M173" i="13"/>
  <c r="M172" i="13"/>
  <c r="M171" i="13"/>
  <c r="M170" i="13"/>
  <c r="M169" i="13"/>
  <c r="M168" i="13"/>
  <c r="M167" i="13"/>
  <c r="M166" i="13"/>
  <c r="M165" i="13"/>
  <c r="M164" i="13"/>
  <c r="M163" i="13"/>
  <c r="M162" i="13"/>
  <c r="M161" i="13"/>
  <c r="M160" i="13"/>
  <c r="M159" i="13"/>
  <c r="M158" i="13"/>
  <c r="M157" i="13"/>
  <c r="M156" i="13"/>
  <c r="M155" i="13"/>
  <c r="M154" i="13"/>
  <c r="M153" i="13"/>
  <c r="M152" i="13"/>
  <c r="M151" i="13"/>
  <c r="M150" i="13"/>
  <c r="M149" i="13"/>
  <c r="M148" i="13"/>
  <c r="M147" i="13"/>
  <c r="M146" i="13"/>
  <c r="M145" i="13"/>
  <c r="M144" i="13"/>
  <c r="M143" i="13"/>
  <c r="M142" i="13"/>
  <c r="M141" i="13"/>
  <c r="M140" i="13"/>
  <c r="M139" i="13"/>
  <c r="M138" i="13"/>
  <c r="M137" i="13"/>
  <c r="M136" i="13"/>
  <c r="M135" i="13"/>
  <c r="M134" i="13"/>
  <c r="M133" i="13"/>
  <c r="M132" i="13"/>
  <c r="M131" i="13"/>
  <c r="M130" i="13"/>
  <c r="M129" i="13"/>
  <c r="M128" i="13"/>
  <c r="M127" i="13"/>
  <c r="M126" i="13"/>
  <c r="M125" i="13"/>
  <c r="M124" i="13"/>
  <c r="M123" i="13"/>
  <c r="M122" i="13"/>
  <c r="M121" i="13"/>
  <c r="M120" i="13"/>
  <c r="M119" i="13"/>
  <c r="M118" i="13"/>
  <c r="M117" i="13"/>
  <c r="M116" i="13"/>
  <c r="M115" i="13"/>
  <c r="M114" i="13"/>
  <c r="M113" i="13"/>
  <c r="M112" i="13"/>
  <c r="M111" i="13"/>
  <c r="M110" i="13"/>
  <c r="M109" i="13"/>
  <c r="M108" i="13"/>
  <c r="M107" i="13"/>
  <c r="M106" i="13"/>
  <c r="M105" i="13"/>
  <c r="M104" i="13"/>
  <c r="M103" i="13"/>
  <c r="M102" i="13"/>
  <c r="M101" i="13"/>
  <c r="M100" i="13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L133" i="13"/>
  <c r="L132" i="13"/>
  <c r="L131" i="13"/>
  <c r="L130" i="13"/>
  <c r="L129" i="13"/>
  <c r="L128" i="13"/>
  <c r="L127" i="13"/>
  <c r="L126" i="13"/>
  <c r="L125" i="13"/>
  <c r="L124" i="13"/>
  <c r="L123" i="13"/>
  <c r="L122" i="13"/>
  <c r="L121" i="13"/>
  <c r="L120" i="13"/>
  <c r="L119" i="13"/>
  <c r="L118" i="13"/>
  <c r="L117" i="13"/>
  <c r="L116" i="13"/>
  <c r="L115" i="13"/>
  <c r="L114" i="13"/>
  <c r="L113" i="13"/>
  <c r="L112" i="13"/>
  <c r="L111" i="13"/>
  <c r="L110" i="13"/>
  <c r="L109" i="13"/>
  <c r="L108" i="13"/>
  <c r="L107" i="13"/>
  <c r="L106" i="13"/>
  <c r="L105" i="13"/>
  <c r="L104" i="13"/>
  <c r="L103" i="13"/>
  <c r="L102" i="13"/>
  <c r="L101" i="13"/>
  <c r="L100" i="13"/>
  <c r="L99" i="13"/>
  <c r="L98" i="13"/>
  <c r="L97" i="13"/>
  <c r="L96" i="13"/>
  <c r="L95" i="13"/>
  <c r="L94" i="13"/>
  <c r="L93" i="13"/>
  <c r="L92" i="13"/>
  <c r="L91" i="13"/>
  <c r="L90" i="13"/>
  <c r="L89" i="13"/>
  <c r="L88" i="13"/>
  <c r="L87" i="13"/>
  <c r="L86" i="13"/>
  <c r="L85" i="13"/>
  <c r="L84" i="13"/>
  <c r="L83" i="13"/>
  <c r="L82" i="13"/>
  <c r="L81" i="13"/>
  <c r="L80" i="13"/>
  <c r="L79" i="13"/>
  <c r="L78" i="13"/>
  <c r="L77" i="13"/>
  <c r="L76" i="13"/>
  <c r="L75" i="13"/>
  <c r="L74" i="13"/>
  <c r="L73" i="13"/>
  <c r="L72" i="13"/>
  <c r="L71" i="13"/>
  <c r="L70" i="13"/>
  <c r="L69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6" i="13"/>
  <c r="L55" i="13"/>
  <c r="L54" i="13"/>
  <c r="L53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K5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J319" i="13"/>
  <c r="J7" i="13"/>
  <c r="J8" i="13"/>
  <c r="O8" i="13" s="1"/>
  <c r="P8" i="13" s="1"/>
  <c r="Q8" i="13" s="1"/>
  <c r="R8" i="13" s="1"/>
  <c r="J9" i="13"/>
  <c r="J10" i="13"/>
  <c r="J11" i="13"/>
  <c r="J12" i="13"/>
  <c r="J13" i="13"/>
  <c r="J14" i="13"/>
  <c r="J15" i="13"/>
  <c r="J16" i="13"/>
  <c r="O16" i="13" s="1"/>
  <c r="P16" i="13" s="1"/>
  <c r="Q16" i="13" s="1"/>
  <c r="R16" i="13" s="1"/>
  <c r="J17" i="13"/>
  <c r="J18" i="13"/>
  <c r="J19" i="13"/>
  <c r="J20" i="13"/>
  <c r="J21" i="13"/>
  <c r="J22" i="13"/>
  <c r="J23" i="13"/>
  <c r="J24" i="13"/>
  <c r="O24" i="13" s="1"/>
  <c r="P24" i="13" s="1"/>
  <c r="Q24" i="13" s="1"/>
  <c r="R24" i="13" s="1"/>
  <c r="J25" i="13"/>
  <c r="J26" i="13"/>
  <c r="J27" i="13"/>
  <c r="J28" i="13"/>
  <c r="J29" i="13"/>
  <c r="J30" i="13"/>
  <c r="J31" i="13"/>
  <c r="J32" i="13"/>
  <c r="O32" i="13" s="1"/>
  <c r="P32" i="13" s="1"/>
  <c r="Q32" i="13" s="1"/>
  <c r="R32" i="13" s="1"/>
  <c r="J33" i="13"/>
  <c r="J34" i="13"/>
  <c r="J35" i="13"/>
  <c r="J36" i="13"/>
  <c r="J37" i="13"/>
  <c r="J38" i="13"/>
  <c r="J39" i="13"/>
  <c r="J40" i="13"/>
  <c r="O40" i="13" s="1"/>
  <c r="P40" i="13" s="1"/>
  <c r="Q40" i="13" s="1"/>
  <c r="R40" i="13" s="1"/>
  <c r="J41" i="13"/>
  <c r="J42" i="13"/>
  <c r="J43" i="13"/>
  <c r="J44" i="13"/>
  <c r="J45" i="13"/>
  <c r="J46" i="13"/>
  <c r="J47" i="13"/>
  <c r="J48" i="13"/>
  <c r="O48" i="13" s="1"/>
  <c r="P48" i="13" s="1"/>
  <c r="Q48" i="13" s="1"/>
  <c r="R48" i="13" s="1"/>
  <c r="J49" i="13"/>
  <c r="J50" i="13"/>
  <c r="J51" i="13"/>
  <c r="J52" i="13"/>
  <c r="J53" i="13"/>
  <c r="J54" i="13"/>
  <c r="J55" i="13"/>
  <c r="J56" i="13"/>
  <c r="O56" i="13" s="1"/>
  <c r="P56" i="13" s="1"/>
  <c r="Q56" i="13" s="1"/>
  <c r="R56" i="13" s="1"/>
  <c r="J57" i="13"/>
  <c r="J58" i="13"/>
  <c r="J59" i="13"/>
  <c r="J60" i="13"/>
  <c r="J61" i="13"/>
  <c r="J62" i="13"/>
  <c r="J63" i="13"/>
  <c r="J64" i="13"/>
  <c r="O64" i="13" s="1"/>
  <c r="P64" i="13" s="1"/>
  <c r="Q64" i="13" s="1"/>
  <c r="R64" i="13" s="1"/>
  <c r="J65" i="13"/>
  <c r="J66" i="13"/>
  <c r="J67" i="13"/>
  <c r="J68" i="13"/>
  <c r="J69" i="13"/>
  <c r="J70" i="13"/>
  <c r="J71" i="13"/>
  <c r="J72" i="13"/>
  <c r="O72" i="13" s="1"/>
  <c r="P72" i="13" s="1"/>
  <c r="Q72" i="13" s="1"/>
  <c r="R72" i="13" s="1"/>
  <c r="J73" i="13"/>
  <c r="J74" i="13"/>
  <c r="J75" i="13"/>
  <c r="J76" i="13"/>
  <c r="J77" i="13"/>
  <c r="J78" i="13"/>
  <c r="J79" i="13"/>
  <c r="J80" i="13"/>
  <c r="O80" i="13" s="1"/>
  <c r="P80" i="13" s="1"/>
  <c r="Q80" i="13" s="1"/>
  <c r="R80" i="13" s="1"/>
  <c r="J81" i="13"/>
  <c r="J82" i="13"/>
  <c r="J83" i="13"/>
  <c r="J84" i="13"/>
  <c r="J85" i="13"/>
  <c r="J86" i="13"/>
  <c r="J87" i="13"/>
  <c r="J88" i="13"/>
  <c r="O88" i="13" s="1"/>
  <c r="P88" i="13" s="1"/>
  <c r="Q88" i="13" s="1"/>
  <c r="R88" i="13" s="1"/>
  <c r="J89" i="13"/>
  <c r="J90" i="13"/>
  <c r="J91" i="13"/>
  <c r="J92" i="13"/>
  <c r="J93" i="13"/>
  <c r="J94" i="13"/>
  <c r="J95" i="13"/>
  <c r="J96" i="13"/>
  <c r="O96" i="13" s="1"/>
  <c r="P96" i="13" s="1"/>
  <c r="Q96" i="13" s="1"/>
  <c r="R96" i="13" s="1"/>
  <c r="J97" i="13"/>
  <c r="J98" i="13"/>
  <c r="J99" i="13"/>
  <c r="J100" i="13"/>
  <c r="J101" i="13"/>
  <c r="J102" i="13"/>
  <c r="J103" i="13"/>
  <c r="J104" i="13"/>
  <c r="O104" i="13" s="1"/>
  <c r="P104" i="13" s="1"/>
  <c r="Q104" i="13" s="1"/>
  <c r="R104" i="13" s="1"/>
  <c r="J105" i="13"/>
  <c r="J106" i="13"/>
  <c r="J107" i="13"/>
  <c r="J108" i="13"/>
  <c r="J109" i="13"/>
  <c r="J110" i="13"/>
  <c r="J111" i="13"/>
  <c r="J112" i="13"/>
  <c r="O112" i="13" s="1"/>
  <c r="P112" i="13" s="1"/>
  <c r="Q112" i="13" s="1"/>
  <c r="R112" i="13" s="1"/>
  <c r="J113" i="13"/>
  <c r="J114" i="13"/>
  <c r="J115" i="13"/>
  <c r="J116" i="13"/>
  <c r="J117" i="13"/>
  <c r="J118" i="13"/>
  <c r="J119" i="13"/>
  <c r="J120" i="13"/>
  <c r="O120" i="13" s="1"/>
  <c r="P120" i="13" s="1"/>
  <c r="Q120" i="13" s="1"/>
  <c r="R120" i="13" s="1"/>
  <c r="J121" i="13"/>
  <c r="J122" i="13"/>
  <c r="J123" i="13"/>
  <c r="J124" i="13"/>
  <c r="J125" i="13"/>
  <c r="J126" i="13"/>
  <c r="J127" i="13"/>
  <c r="J128" i="13"/>
  <c r="O128" i="13" s="1"/>
  <c r="P128" i="13" s="1"/>
  <c r="Q128" i="13" s="1"/>
  <c r="R128" i="13" s="1"/>
  <c r="J129" i="13"/>
  <c r="J130" i="13"/>
  <c r="J131" i="13"/>
  <c r="J132" i="13"/>
  <c r="J133" i="13"/>
  <c r="J134" i="13"/>
  <c r="J135" i="13"/>
  <c r="J136" i="13"/>
  <c r="O136" i="13" s="1"/>
  <c r="P136" i="13" s="1"/>
  <c r="Q136" i="13" s="1"/>
  <c r="R136" i="13" s="1"/>
  <c r="J137" i="13"/>
  <c r="J138" i="13"/>
  <c r="J139" i="13"/>
  <c r="J140" i="13"/>
  <c r="J141" i="13"/>
  <c r="J142" i="13"/>
  <c r="J143" i="13"/>
  <c r="J144" i="13"/>
  <c r="O144" i="13" s="1"/>
  <c r="P144" i="13" s="1"/>
  <c r="Q144" i="13" s="1"/>
  <c r="R144" i="13" s="1"/>
  <c r="J145" i="13"/>
  <c r="J146" i="13"/>
  <c r="J147" i="13"/>
  <c r="J148" i="13"/>
  <c r="J149" i="13"/>
  <c r="J150" i="13"/>
  <c r="J151" i="13"/>
  <c r="J152" i="13"/>
  <c r="O152" i="13" s="1"/>
  <c r="P152" i="13" s="1"/>
  <c r="Q152" i="13" s="1"/>
  <c r="R152" i="13" s="1"/>
  <c r="J153" i="13"/>
  <c r="J154" i="13"/>
  <c r="J155" i="13"/>
  <c r="J156" i="13"/>
  <c r="J157" i="13"/>
  <c r="J158" i="13"/>
  <c r="J159" i="13"/>
  <c r="J160" i="13"/>
  <c r="O160" i="13" s="1"/>
  <c r="P160" i="13" s="1"/>
  <c r="Q160" i="13" s="1"/>
  <c r="R160" i="13" s="1"/>
  <c r="J161" i="13"/>
  <c r="J162" i="13"/>
  <c r="J163" i="13"/>
  <c r="J164" i="13"/>
  <c r="J165" i="13"/>
  <c r="J166" i="13"/>
  <c r="J167" i="13"/>
  <c r="J168" i="13"/>
  <c r="O168" i="13" s="1"/>
  <c r="P168" i="13" s="1"/>
  <c r="Q168" i="13" s="1"/>
  <c r="R168" i="13" s="1"/>
  <c r="J169" i="13"/>
  <c r="J170" i="13"/>
  <c r="J171" i="13"/>
  <c r="J172" i="13"/>
  <c r="J173" i="13"/>
  <c r="J174" i="13"/>
  <c r="J175" i="13"/>
  <c r="J176" i="13"/>
  <c r="O176" i="13" s="1"/>
  <c r="P176" i="13" s="1"/>
  <c r="Q176" i="13" s="1"/>
  <c r="R176" i="13" s="1"/>
  <c r="J177" i="13"/>
  <c r="J178" i="13"/>
  <c r="J179" i="13"/>
  <c r="J180" i="13"/>
  <c r="J181" i="13"/>
  <c r="J182" i="13"/>
  <c r="J183" i="13"/>
  <c r="J184" i="13"/>
  <c r="O184" i="13" s="1"/>
  <c r="P184" i="13" s="1"/>
  <c r="Q184" i="13" s="1"/>
  <c r="R184" i="13" s="1"/>
  <c r="J185" i="13"/>
  <c r="J186" i="13"/>
  <c r="J187" i="13"/>
  <c r="J188" i="13"/>
  <c r="J189" i="13"/>
  <c r="J190" i="13"/>
  <c r="J191" i="13"/>
  <c r="J192" i="13"/>
  <c r="O192" i="13" s="1"/>
  <c r="P192" i="13" s="1"/>
  <c r="Q192" i="13" s="1"/>
  <c r="R192" i="13" s="1"/>
  <c r="J193" i="13"/>
  <c r="J194" i="13"/>
  <c r="J195" i="13"/>
  <c r="J196" i="13"/>
  <c r="J197" i="13"/>
  <c r="J198" i="13"/>
  <c r="J199" i="13"/>
  <c r="J200" i="13"/>
  <c r="O200" i="13" s="1"/>
  <c r="P200" i="13" s="1"/>
  <c r="Q200" i="13" s="1"/>
  <c r="R200" i="13" s="1"/>
  <c r="J201" i="13"/>
  <c r="J202" i="13"/>
  <c r="J203" i="13"/>
  <c r="J204" i="13"/>
  <c r="J205" i="13"/>
  <c r="J206" i="13"/>
  <c r="J207" i="13"/>
  <c r="J208" i="13"/>
  <c r="O208" i="13" s="1"/>
  <c r="P208" i="13" s="1"/>
  <c r="Q208" i="13" s="1"/>
  <c r="R208" i="13" s="1"/>
  <c r="J209" i="13"/>
  <c r="J210" i="13"/>
  <c r="J211" i="13"/>
  <c r="J212" i="13"/>
  <c r="J213" i="13"/>
  <c r="J214" i="13"/>
  <c r="J215" i="13"/>
  <c r="J216" i="13"/>
  <c r="O216" i="13" s="1"/>
  <c r="P216" i="13" s="1"/>
  <c r="Q216" i="13" s="1"/>
  <c r="R216" i="13" s="1"/>
  <c r="J217" i="13"/>
  <c r="J218" i="13"/>
  <c r="J219" i="13"/>
  <c r="J220" i="13"/>
  <c r="J221" i="13"/>
  <c r="J222" i="13"/>
  <c r="J223" i="13"/>
  <c r="J224" i="13"/>
  <c r="O224" i="13" s="1"/>
  <c r="J225" i="13"/>
  <c r="J226" i="13"/>
  <c r="J227" i="13"/>
  <c r="J228" i="13"/>
  <c r="J229" i="13"/>
  <c r="J230" i="13"/>
  <c r="J231" i="13"/>
  <c r="J232" i="13"/>
  <c r="O232" i="13" s="1"/>
  <c r="J233" i="13"/>
  <c r="J234" i="13"/>
  <c r="J235" i="13"/>
  <c r="J236" i="13"/>
  <c r="J237" i="13"/>
  <c r="J238" i="13"/>
  <c r="J239" i="13"/>
  <c r="J240" i="13"/>
  <c r="O240" i="13" s="1"/>
  <c r="P240" i="13" s="1"/>
  <c r="Q240" i="13" s="1"/>
  <c r="R240" i="13" s="1"/>
  <c r="J241" i="13"/>
  <c r="J242" i="13"/>
  <c r="J243" i="13"/>
  <c r="J244" i="13"/>
  <c r="J245" i="13"/>
  <c r="J246" i="13"/>
  <c r="J247" i="13"/>
  <c r="J248" i="13"/>
  <c r="O248" i="13" s="1"/>
  <c r="P248" i="13" s="1"/>
  <c r="Q248" i="13" s="1"/>
  <c r="R248" i="13" s="1"/>
  <c r="J249" i="13"/>
  <c r="J250" i="13"/>
  <c r="J251" i="13"/>
  <c r="J252" i="13"/>
  <c r="J253" i="13"/>
  <c r="J254" i="13"/>
  <c r="J255" i="13"/>
  <c r="J256" i="13"/>
  <c r="O256" i="13" s="1"/>
  <c r="P256" i="13" s="1"/>
  <c r="Q256" i="13" s="1"/>
  <c r="R256" i="13" s="1"/>
  <c r="J257" i="13"/>
  <c r="J258" i="13"/>
  <c r="J259" i="13"/>
  <c r="J260" i="13"/>
  <c r="J261" i="13"/>
  <c r="J262" i="13"/>
  <c r="J263" i="13"/>
  <c r="J264" i="13"/>
  <c r="O264" i="13" s="1"/>
  <c r="P264" i="13" s="1"/>
  <c r="Q264" i="13" s="1"/>
  <c r="R264" i="13" s="1"/>
  <c r="J265" i="13"/>
  <c r="J266" i="13"/>
  <c r="J267" i="13"/>
  <c r="J268" i="13"/>
  <c r="J269" i="13"/>
  <c r="J270" i="13"/>
  <c r="J271" i="13"/>
  <c r="J272" i="13"/>
  <c r="O272" i="13" s="1"/>
  <c r="P272" i="13" s="1"/>
  <c r="Q272" i="13" s="1"/>
  <c r="R272" i="13" s="1"/>
  <c r="J273" i="13"/>
  <c r="J274" i="13"/>
  <c r="J275" i="13"/>
  <c r="J276" i="13"/>
  <c r="J277" i="13"/>
  <c r="J278" i="13"/>
  <c r="J279" i="13"/>
  <c r="J280" i="13"/>
  <c r="O280" i="13" s="1"/>
  <c r="P280" i="13" s="1"/>
  <c r="Q280" i="13" s="1"/>
  <c r="R280" i="13" s="1"/>
  <c r="J281" i="13"/>
  <c r="J282" i="13"/>
  <c r="J283" i="13"/>
  <c r="J284" i="13"/>
  <c r="J285" i="13"/>
  <c r="J286" i="13"/>
  <c r="J287" i="13"/>
  <c r="J288" i="13"/>
  <c r="O288" i="13" s="1"/>
  <c r="P288" i="13" s="1"/>
  <c r="Q288" i="13" s="1"/>
  <c r="R288" i="13" s="1"/>
  <c r="J289" i="13"/>
  <c r="J290" i="13"/>
  <c r="J291" i="13"/>
  <c r="J292" i="13"/>
  <c r="J293" i="13"/>
  <c r="J294" i="13"/>
  <c r="J295" i="13"/>
  <c r="J296" i="13"/>
  <c r="O296" i="13" s="1"/>
  <c r="P296" i="13" s="1"/>
  <c r="Q296" i="13" s="1"/>
  <c r="R296" i="13" s="1"/>
  <c r="J297" i="13"/>
  <c r="J298" i="13"/>
  <c r="J299" i="13"/>
  <c r="J300" i="13"/>
  <c r="J301" i="13"/>
  <c r="J302" i="13"/>
  <c r="J303" i="13"/>
  <c r="J304" i="13"/>
  <c r="O304" i="13" s="1"/>
  <c r="P304" i="13" s="1"/>
  <c r="Q304" i="13" s="1"/>
  <c r="R304" i="13" s="1"/>
  <c r="J305" i="13"/>
  <c r="J306" i="13"/>
  <c r="J307" i="13"/>
  <c r="J308" i="13"/>
  <c r="J309" i="13"/>
  <c r="J310" i="13"/>
  <c r="J311" i="13"/>
  <c r="J312" i="13"/>
  <c r="O312" i="13" s="1"/>
  <c r="P312" i="13" s="1"/>
  <c r="Q312" i="13" s="1"/>
  <c r="R312" i="13" s="1"/>
  <c r="J313" i="13"/>
  <c r="J314" i="13"/>
  <c r="J315" i="13"/>
  <c r="J316" i="13"/>
  <c r="J317" i="13"/>
  <c r="J318" i="13"/>
  <c r="J6" i="13"/>
  <c r="F3" i="1"/>
  <c r="C9" i="13"/>
  <c r="D9" i="13" s="1"/>
  <c r="C8" i="13"/>
  <c r="D8" i="13" s="1"/>
  <c r="C7" i="13"/>
  <c r="D7" i="13" s="1"/>
  <c r="C6" i="13"/>
  <c r="D6" i="13" s="1"/>
  <c r="C5" i="13"/>
  <c r="D5" i="13" s="1"/>
  <c r="B10" i="13"/>
  <c r="N96" i="14" l="1"/>
  <c r="N96" i="10"/>
  <c r="J288" i="14"/>
  <c r="J288" i="10"/>
  <c r="N91" i="10"/>
  <c r="J256" i="14"/>
  <c r="N91" i="14"/>
  <c r="J256" i="10"/>
  <c r="N185" i="14"/>
  <c r="N185" i="10"/>
  <c r="J216" i="14"/>
  <c r="J216" i="10"/>
  <c r="J184" i="14"/>
  <c r="N291" i="10"/>
  <c r="J184" i="10"/>
  <c r="N291" i="14"/>
  <c r="N162" i="14"/>
  <c r="J152" i="14"/>
  <c r="J152" i="10"/>
  <c r="N162" i="10"/>
  <c r="N171" i="14"/>
  <c r="J120" i="14"/>
  <c r="J120" i="10"/>
  <c r="N171" i="10"/>
  <c r="N266" i="14"/>
  <c r="J88" i="14"/>
  <c r="J88" i="10"/>
  <c r="N266" i="10"/>
  <c r="N224" i="14"/>
  <c r="N224" i="10"/>
  <c r="J48" i="10"/>
  <c r="J48" i="14"/>
  <c r="N85" i="14"/>
  <c r="N85" i="10"/>
  <c r="J16" i="10"/>
  <c r="J16" i="14"/>
  <c r="O319" i="13"/>
  <c r="O309" i="13"/>
  <c r="P309" i="13" s="1"/>
  <c r="Q309" i="13" s="1"/>
  <c r="R309" i="13" s="1"/>
  <c r="O277" i="13"/>
  <c r="O245" i="13"/>
  <c r="O221" i="13"/>
  <c r="O189" i="13"/>
  <c r="O165" i="13"/>
  <c r="O141" i="13"/>
  <c r="O109" i="13"/>
  <c r="O69" i="13"/>
  <c r="P69" i="13" s="1"/>
  <c r="Q69" i="13" s="1"/>
  <c r="R69" i="13" s="1"/>
  <c r="O37" i="13"/>
  <c r="N262" i="10"/>
  <c r="N262" i="14"/>
  <c r="J312" i="14"/>
  <c r="J312" i="10"/>
  <c r="N165" i="14"/>
  <c r="N165" i="10"/>
  <c r="J280" i="14"/>
  <c r="J280" i="10"/>
  <c r="N195" i="10"/>
  <c r="J240" i="14"/>
  <c r="J240" i="10"/>
  <c r="N195" i="14"/>
  <c r="N124" i="14"/>
  <c r="N124" i="10"/>
  <c r="J208" i="14"/>
  <c r="J208" i="10"/>
  <c r="N189" i="14"/>
  <c r="N189" i="10"/>
  <c r="J176" i="14"/>
  <c r="J176" i="10"/>
  <c r="N52" i="14"/>
  <c r="J144" i="14"/>
  <c r="N52" i="10"/>
  <c r="J144" i="10"/>
  <c r="N138" i="10"/>
  <c r="J112" i="14"/>
  <c r="N138" i="14"/>
  <c r="J112" i="10"/>
  <c r="N25" i="10"/>
  <c r="J72" i="10"/>
  <c r="J72" i="14"/>
  <c r="N25" i="14"/>
  <c r="N246" i="14"/>
  <c r="J40" i="10"/>
  <c r="J40" i="14"/>
  <c r="N246" i="10"/>
  <c r="N242" i="14"/>
  <c r="N242" i="10"/>
  <c r="J32" i="14"/>
  <c r="J32" i="10"/>
  <c r="O303" i="13"/>
  <c r="P303" i="13" s="1"/>
  <c r="Q303" i="13" s="1"/>
  <c r="R303" i="13" s="1"/>
  <c r="O279" i="13"/>
  <c r="P279" i="13" s="1"/>
  <c r="Q279" i="13" s="1"/>
  <c r="R279" i="13" s="1"/>
  <c r="O255" i="13"/>
  <c r="O231" i="13"/>
  <c r="O207" i="13"/>
  <c r="O183" i="13"/>
  <c r="O167" i="13"/>
  <c r="O151" i="13"/>
  <c r="O127" i="13"/>
  <c r="P127" i="13" s="1"/>
  <c r="Q127" i="13" s="1"/>
  <c r="R127" i="13" s="1"/>
  <c r="O103" i="13"/>
  <c r="O79" i="13"/>
  <c r="O55" i="13"/>
  <c r="O31" i="13"/>
  <c r="O7" i="13"/>
  <c r="O317" i="13"/>
  <c r="P317" i="13" s="1"/>
  <c r="Q317" i="13" s="1"/>
  <c r="R317" i="13" s="1"/>
  <c r="O293" i="13"/>
  <c r="O261" i="13"/>
  <c r="O229" i="13"/>
  <c r="O205" i="13"/>
  <c r="O173" i="13"/>
  <c r="O133" i="13"/>
  <c r="O101" i="13"/>
  <c r="O77" i="13"/>
  <c r="P77" i="13" s="1"/>
  <c r="Q77" i="13" s="1"/>
  <c r="R77" i="13" s="1"/>
  <c r="O45" i="13"/>
  <c r="O21" i="13"/>
  <c r="P21" i="13" s="1"/>
  <c r="Q21" i="13" s="1"/>
  <c r="R21" i="13" s="1"/>
  <c r="O315" i="13"/>
  <c r="O299" i="13"/>
  <c r="O283" i="13"/>
  <c r="O259" i="13"/>
  <c r="O243" i="13"/>
  <c r="O227" i="13"/>
  <c r="O219" i="13"/>
  <c r="O211" i="13"/>
  <c r="P211" i="13" s="1"/>
  <c r="Q211" i="13" s="1"/>
  <c r="R211" i="13" s="1"/>
  <c r="O203" i="13"/>
  <c r="O195" i="13"/>
  <c r="O187" i="13"/>
  <c r="O179" i="13"/>
  <c r="O171" i="13"/>
  <c r="O163" i="13"/>
  <c r="O155" i="13"/>
  <c r="O147" i="13"/>
  <c r="P147" i="13" s="1"/>
  <c r="Q147" i="13" s="1"/>
  <c r="R147" i="13" s="1"/>
  <c r="O139" i="13"/>
  <c r="O131" i="13"/>
  <c r="O123" i="13"/>
  <c r="O115" i="13"/>
  <c r="O107" i="13"/>
  <c r="O99" i="13"/>
  <c r="O91" i="13"/>
  <c r="O83" i="13"/>
  <c r="P83" i="13" s="1"/>
  <c r="Q83" i="13" s="1"/>
  <c r="R83" i="13" s="1"/>
  <c r="O75" i="13"/>
  <c r="O67" i="13"/>
  <c r="O5" i="13"/>
  <c r="N16" i="14"/>
  <c r="N16" i="10"/>
  <c r="J296" i="14"/>
  <c r="J296" i="10"/>
  <c r="N265" i="14"/>
  <c r="N265" i="10"/>
  <c r="J264" i="14"/>
  <c r="J264" i="10"/>
  <c r="N173" i="14"/>
  <c r="N173" i="10"/>
  <c r="J200" i="14"/>
  <c r="J200" i="10"/>
  <c r="N121" i="14"/>
  <c r="J168" i="14"/>
  <c r="J168" i="10"/>
  <c r="N121" i="10"/>
  <c r="J136" i="14"/>
  <c r="N90" i="14"/>
  <c r="N90" i="10"/>
  <c r="J136" i="10"/>
  <c r="N146" i="14"/>
  <c r="N146" i="10"/>
  <c r="J96" i="14"/>
  <c r="J96" i="10"/>
  <c r="N51" i="14"/>
  <c r="N51" i="10"/>
  <c r="J64" i="14"/>
  <c r="J64" i="10"/>
  <c r="N24" i="14"/>
  <c r="N24" i="10"/>
  <c r="J8" i="10"/>
  <c r="J8" i="14"/>
  <c r="O295" i="13"/>
  <c r="P295" i="13" s="1"/>
  <c r="Q295" i="13" s="1"/>
  <c r="R295" i="13" s="1"/>
  <c r="O271" i="13"/>
  <c r="P271" i="13" s="1"/>
  <c r="Q271" i="13" s="1"/>
  <c r="R271" i="13" s="1"/>
  <c r="O247" i="13"/>
  <c r="O223" i="13"/>
  <c r="O199" i="13"/>
  <c r="P199" i="13" s="1"/>
  <c r="Q199" i="13" s="1"/>
  <c r="R199" i="13" s="1"/>
  <c r="O175" i="13"/>
  <c r="P175" i="13" s="1"/>
  <c r="Q175" i="13" s="1"/>
  <c r="R175" i="13" s="1"/>
  <c r="O143" i="13"/>
  <c r="O119" i="13"/>
  <c r="O87" i="13"/>
  <c r="O63" i="13"/>
  <c r="O39" i="13"/>
  <c r="O15" i="13"/>
  <c r="O301" i="13"/>
  <c r="P301" i="13" s="1"/>
  <c r="Q301" i="13" s="1"/>
  <c r="R301" i="13" s="1"/>
  <c r="O269" i="13"/>
  <c r="O237" i="13"/>
  <c r="O197" i="13"/>
  <c r="O157" i="13"/>
  <c r="O117" i="13"/>
  <c r="O85" i="13"/>
  <c r="P85" i="13" s="1"/>
  <c r="Q85" i="13" s="1"/>
  <c r="R85" i="13" s="1"/>
  <c r="O53" i="13"/>
  <c r="O13" i="13"/>
  <c r="P13" i="13" s="1"/>
  <c r="Q13" i="13" s="1"/>
  <c r="R13" i="13" s="1"/>
  <c r="O307" i="13"/>
  <c r="O291" i="13"/>
  <c r="O275" i="13"/>
  <c r="O267" i="13"/>
  <c r="O251" i="13"/>
  <c r="O235" i="13"/>
  <c r="P235" i="13" s="1"/>
  <c r="Q235" i="13" s="1"/>
  <c r="R235" i="13" s="1"/>
  <c r="O58" i="13"/>
  <c r="O50" i="13"/>
  <c r="O42" i="13"/>
  <c r="O34" i="13"/>
  <c r="O26" i="13"/>
  <c r="O18" i="13"/>
  <c r="O10" i="13"/>
  <c r="N5" i="10"/>
  <c r="N5" i="14"/>
  <c r="J304" i="14"/>
  <c r="J304" i="10"/>
  <c r="N150" i="10"/>
  <c r="N150" i="14"/>
  <c r="J272" i="14"/>
  <c r="J272" i="10"/>
  <c r="N127" i="10"/>
  <c r="J248" i="14"/>
  <c r="N127" i="14"/>
  <c r="J248" i="10"/>
  <c r="J192" i="14"/>
  <c r="N62" i="14"/>
  <c r="N62" i="10"/>
  <c r="J192" i="10"/>
  <c r="J160" i="14"/>
  <c r="N206" i="14"/>
  <c r="N206" i="10"/>
  <c r="J160" i="10"/>
  <c r="N289" i="14"/>
  <c r="J128" i="14"/>
  <c r="N289" i="10"/>
  <c r="J128" i="10"/>
  <c r="N208" i="14"/>
  <c r="J104" i="14"/>
  <c r="J104" i="10"/>
  <c r="N208" i="10"/>
  <c r="N298" i="10"/>
  <c r="J80" i="14"/>
  <c r="N298" i="14"/>
  <c r="J80" i="10"/>
  <c r="J56" i="10"/>
  <c r="N179" i="10"/>
  <c r="J56" i="14"/>
  <c r="N179" i="14"/>
  <c r="N42" i="14"/>
  <c r="N42" i="10"/>
  <c r="J24" i="10"/>
  <c r="J24" i="14"/>
  <c r="O311" i="13"/>
  <c r="P311" i="13" s="1"/>
  <c r="Q311" i="13" s="1"/>
  <c r="R311" i="13" s="1"/>
  <c r="O287" i="13"/>
  <c r="P287" i="13" s="1"/>
  <c r="Q287" i="13" s="1"/>
  <c r="R287" i="13" s="1"/>
  <c r="O263" i="13"/>
  <c r="P263" i="13" s="1"/>
  <c r="Q263" i="13" s="1"/>
  <c r="R263" i="13" s="1"/>
  <c r="O239" i="13"/>
  <c r="P239" i="13" s="1"/>
  <c r="Q239" i="13" s="1"/>
  <c r="R239" i="13" s="1"/>
  <c r="O215" i="13"/>
  <c r="O191" i="13"/>
  <c r="O159" i="13"/>
  <c r="O135" i="13"/>
  <c r="O111" i="13"/>
  <c r="P111" i="13" s="1"/>
  <c r="Q111" i="13" s="1"/>
  <c r="R111" i="13" s="1"/>
  <c r="O95" i="13"/>
  <c r="O71" i="13"/>
  <c r="P71" i="13" s="1"/>
  <c r="Q71" i="13" s="1"/>
  <c r="R71" i="13" s="1"/>
  <c r="O47" i="13"/>
  <c r="P47" i="13" s="1"/>
  <c r="Q47" i="13" s="1"/>
  <c r="R47" i="13" s="1"/>
  <c r="O23" i="13"/>
  <c r="O285" i="13"/>
  <c r="O253" i="13"/>
  <c r="O213" i="13"/>
  <c r="O181" i="13"/>
  <c r="O149" i="13"/>
  <c r="O125" i="13"/>
  <c r="P125" i="13" s="1"/>
  <c r="Q125" i="13" s="1"/>
  <c r="R125" i="13" s="1"/>
  <c r="O93" i="13"/>
  <c r="O61" i="13"/>
  <c r="O29" i="13"/>
  <c r="O313" i="13"/>
  <c r="P313" i="13" s="1"/>
  <c r="Q313" i="13" s="1"/>
  <c r="R313" i="13" s="1"/>
  <c r="O305" i="13"/>
  <c r="P305" i="13" s="1"/>
  <c r="Q305" i="13" s="1"/>
  <c r="R305" i="13" s="1"/>
  <c r="O297" i="13"/>
  <c r="O289" i="13"/>
  <c r="O281" i="13"/>
  <c r="O273" i="13"/>
  <c r="O265" i="13"/>
  <c r="O257" i="13"/>
  <c r="O249" i="13"/>
  <c r="O241" i="13"/>
  <c r="O233" i="13"/>
  <c r="P233" i="13" s="1"/>
  <c r="Q233" i="13" s="1"/>
  <c r="R233" i="13" s="1"/>
  <c r="O225" i="13"/>
  <c r="O217" i="13"/>
  <c r="P217" i="13" s="1"/>
  <c r="Q217" i="13" s="1"/>
  <c r="R217" i="13" s="1"/>
  <c r="O209" i="13"/>
  <c r="O201" i="13"/>
  <c r="O193" i="13"/>
  <c r="O185" i="13"/>
  <c r="O177" i="13"/>
  <c r="O169" i="13"/>
  <c r="P169" i="13" s="1"/>
  <c r="Q169" i="13" s="1"/>
  <c r="R169" i="13" s="1"/>
  <c r="O161" i="13"/>
  <c r="O153" i="13"/>
  <c r="P153" i="13" s="1"/>
  <c r="Q153" i="13" s="1"/>
  <c r="R153" i="13" s="1"/>
  <c r="O145" i="13"/>
  <c r="O137" i="13"/>
  <c r="O129" i="13"/>
  <c r="O121" i="13"/>
  <c r="O113" i="13"/>
  <c r="O105" i="13"/>
  <c r="P105" i="13" s="1"/>
  <c r="Q105" i="13" s="1"/>
  <c r="R105" i="13" s="1"/>
  <c r="O97" i="13"/>
  <c r="O89" i="13"/>
  <c r="P89" i="13" s="1"/>
  <c r="Q89" i="13" s="1"/>
  <c r="R89" i="13" s="1"/>
  <c r="O81" i="13"/>
  <c r="O73" i="13"/>
  <c r="O65" i="13"/>
  <c r="O57" i="13"/>
  <c r="O49" i="13"/>
  <c r="O41" i="13"/>
  <c r="P41" i="13" s="1"/>
  <c r="Q41" i="13" s="1"/>
  <c r="R41" i="13" s="1"/>
  <c r="O33" i="13"/>
  <c r="O25" i="13"/>
  <c r="P25" i="13" s="1"/>
  <c r="Q25" i="13" s="1"/>
  <c r="R25" i="13" s="1"/>
  <c r="O17" i="13"/>
  <c r="O9" i="13"/>
  <c r="O6" i="13"/>
  <c r="P6" i="13" s="1"/>
  <c r="Q6" i="13" s="1"/>
  <c r="R6" i="13" s="1"/>
  <c r="P255" i="13"/>
  <c r="Q255" i="13" s="1"/>
  <c r="R255" i="13" s="1"/>
  <c r="P247" i="13"/>
  <c r="Q247" i="13" s="1"/>
  <c r="R247" i="13" s="1"/>
  <c r="P215" i="13"/>
  <c r="Q215" i="13" s="1"/>
  <c r="R215" i="13" s="1"/>
  <c r="P207" i="13"/>
  <c r="Q207" i="13" s="1"/>
  <c r="R207" i="13" s="1"/>
  <c r="P191" i="13"/>
  <c r="Q191" i="13" s="1"/>
  <c r="R191" i="13" s="1"/>
  <c r="P183" i="13"/>
  <c r="Q183" i="13" s="1"/>
  <c r="R183" i="13" s="1"/>
  <c r="P167" i="13"/>
  <c r="Q167" i="13" s="1"/>
  <c r="R167" i="13" s="1"/>
  <c r="P159" i="13"/>
  <c r="Q159" i="13" s="1"/>
  <c r="R159" i="13" s="1"/>
  <c r="P151" i="13"/>
  <c r="Q151" i="13" s="1"/>
  <c r="R151" i="13" s="1"/>
  <c r="P143" i="13"/>
  <c r="Q143" i="13" s="1"/>
  <c r="R143" i="13" s="1"/>
  <c r="P135" i="13"/>
  <c r="Q135" i="13" s="1"/>
  <c r="R135" i="13" s="1"/>
  <c r="P119" i="13"/>
  <c r="Q119" i="13" s="1"/>
  <c r="R119" i="13" s="1"/>
  <c r="P103" i="13"/>
  <c r="Q103" i="13" s="1"/>
  <c r="R103" i="13" s="1"/>
  <c r="P95" i="13"/>
  <c r="Q95" i="13" s="1"/>
  <c r="R95" i="13" s="1"/>
  <c r="P87" i="13"/>
  <c r="Q87" i="13" s="1"/>
  <c r="R87" i="13" s="1"/>
  <c r="P79" i="13"/>
  <c r="Q79" i="13" s="1"/>
  <c r="R79" i="13" s="1"/>
  <c r="P63" i="13"/>
  <c r="Q63" i="13" s="1"/>
  <c r="R63" i="13" s="1"/>
  <c r="P55" i="13"/>
  <c r="Q55" i="13" s="1"/>
  <c r="R55" i="13" s="1"/>
  <c r="P39" i="13"/>
  <c r="Q39" i="13" s="1"/>
  <c r="R39" i="13" s="1"/>
  <c r="P31" i="13"/>
  <c r="Q31" i="13" s="1"/>
  <c r="R31" i="13" s="1"/>
  <c r="P23" i="13"/>
  <c r="Q23" i="13" s="1"/>
  <c r="R23" i="13" s="1"/>
  <c r="P15" i="13"/>
  <c r="Q15" i="13" s="1"/>
  <c r="R15" i="13" s="1"/>
  <c r="P7" i="13"/>
  <c r="Q7" i="13" s="1"/>
  <c r="R7" i="13" s="1"/>
  <c r="O318" i="13"/>
  <c r="P318" i="13" s="1"/>
  <c r="Q318" i="13" s="1"/>
  <c r="R318" i="13" s="1"/>
  <c r="O302" i="13"/>
  <c r="P302" i="13" s="1"/>
  <c r="Q302" i="13" s="1"/>
  <c r="R302" i="13" s="1"/>
  <c r="O294" i="13"/>
  <c r="P294" i="13" s="1"/>
  <c r="Q294" i="13" s="1"/>
  <c r="R294" i="13" s="1"/>
  <c r="O286" i="13"/>
  <c r="P286" i="13" s="1"/>
  <c r="Q286" i="13" s="1"/>
  <c r="R286" i="13" s="1"/>
  <c r="O278" i="13"/>
  <c r="P278" i="13" s="1"/>
  <c r="Q278" i="13" s="1"/>
  <c r="R278" i="13" s="1"/>
  <c r="O270" i="13"/>
  <c r="P270" i="13" s="1"/>
  <c r="Q270" i="13" s="1"/>
  <c r="R270" i="13" s="1"/>
  <c r="O262" i="13"/>
  <c r="P262" i="13" s="1"/>
  <c r="Q262" i="13" s="1"/>
  <c r="R262" i="13" s="1"/>
  <c r="O254" i="13"/>
  <c r="P254" i="13" s="1"/>
  <c r="Q254" i="13" s="1"/>
  <c r="R254" i="13" s="1"/>
  <c r="O246" i="13"/>
  <c r="P246" i="13" s="1"/>
  <c r="Q246" i="13" s="1"/>
  <c r="R246" i="13" s="1"/>
  <c r="O238" i="13"/>
  <c r="O230" i="13"/>
  <c r="O222" i="13"/>
  <c r="P222" i="13" s="1"/>
  <c r="Q222" i="13" s="1"/>
  <c r="R222" i="13" s="1"/>
  <c r="O214" i="13"/>
  <c r="P214" i="13" s="1"/>
  <c r="Q214" i="13" s="1"/>
  <c r="R214" i="13" s="1"/>
  <c r="O206" i="13"/>
  <c r="P206" i="13" s="1"/>
  <c r="Q206" i="13" s="1"/>
  <c r="R206" i="13" s="1"/>
  <c r="O198" i="13"/>
  <c r="P198" i="13" s="1"/>
  <c r="Q198" i="13" s="1"/>
  <c r="R198" i="13" s="1"/>
  <c r="O190" i="13"/>
  <c r="P190" i="13" s="1"/>
  <c r="Q190" i="13" s="1"/>
  <c r="R190" i="13" s="1"/>
  <c r="O182" i="13"/>
  <c r="P182" i="13" s="1"/>
  <c r="Q182" i="13" s="1"/>
  <c r="R182" i="13" s="1"/>
  <c r="O174" i="13"/>
  <c r="P174" i="13" s="1"/>
  <c r="Q174" i="13" s="1"/>
  <c r="R174" i="13" s="1"/>
  <c r="O166" i="13"/>
  <c r="P166" i="13" s="1"/>
  <c r="Q166" i="13" s="1"/>
  <c r="R166" i="13" s="1"/>
  <c r="O158" i="13"/>
  <c r="P158" i="13" s="1"/>
  <c r="Q158" i="13" s="1"/>
  <c r="R158" i="13" s="1"/>
  <c r="O150" i="13"/>
  <c r="P150" i="13" s="1"/>
  <c r="Q150" i="13" s="1"/>
  <c r="R150" i="13" s="1"/>
  <c r="O142" i="13"/>
  <c r="P142" i="13" s="1"/>
  <c r="Q142" i="13" s="1"/>
  <c r="R142" i="13" s="1"/>
  <c r="O134" i="13"/>
  <c r="P134" i="13" s="1"/>
  <c r="Q134" i="13" s="1"/>
  <c r="R134" i="13" s="1"/>
  <c r="O126" i="13"/>
  <c r="P126" i="13" s="1"/>
  <c r="Q126" i="13" s="1"/>
  <c r="R126" i="13" s="1"/>
  <c r="O118" i="13"/>
  <c r="P118" i="13" s="1"/>
  <c r="Q118" i="13" s="1"/>
  <c r="R118" i="13" s="1"/>
  <c r="O110" i="13"/>
  <c r="P110" i="13" s="1"/>
  <c r="Q110" i="13" s="1"/>
  <c r="R110" i="13" s="1"/>
  <c r="O102" i="13"/>
  <c r="P102" i="13" s="1"/>
  <c r="Q102" i="13" s="1"/>
  <c r="R102" i="13" s="1"/>
  <c r="O94" i="13"/>
  <c r="P94" i="13" s="1"/>
  <c r="Q94" i="13" s="1"/>
  <c r="R94" i="13" s="1"/>
  <c r="O86" i="13"/>
  <c r="P86" i="13" s="1"/>
  <c r="Q86" i="13" s="1"/>
  <c r="R86" i="13" s="1"/>
  <c r="O78" i="13"/>
  <c r="P78" i="13" s="1"/>
  <c r="Q78" i="13" s="1"/>
  <c r="R78" i="13" s="1"/>
  <c r="O70" i="13"/>
  <c r="P70" i="13" s="1"/>
  <c r="Q70" i="13" s="1"/>
  <c r="R70" i="13" s="1"/>
  <c r="O62" i="13"/>
  <c r="P62" i="13" s="1"/>
  <c r="Q62" i="13" s="1"/>
  <c r="R62" i="13" s="1"/>
  <c r="O54" i="13"/>
  <c r="P54" i="13" s="1"/>
  <c r="Q54" i="13" s="1"/>
  <c r="R54" i="13" s="1"/>
  <c r="O46" i="13"/>
  <c r="P46" i="13" s="1"/>
  <c r="Q46" i="13" s="1"/>
  <c r="R46" i="13" s="1"/>
  <c r="O38" i="13"/>
  <c r="P38" i="13" s="1"/>
  <c r="Q38" i="13" s="1"/>
  <c r="R38" i="13" s="1"/>
  <c r="O30" i="13"/>
  <c r="P30" i="13" s="1"/>
  <c r="Q30" i="13" s="1"/>
  <c r="R30" i="13" s="1"/>
  <c r="O22" i="13"/>
  <c r="P22" i="13" s="1"/>
  <c r="Q22" i="13" s="1"/>
  <c r="R22" i="13" s="1"/>
  <c r="O14" i="13"/>
  <c r="P14" i="13" s="1"/>
  <c r="Q14" i="13" s="1"/>
  <c r="R14" i="13" s="1"/>
  <c r="P319" i="13"/>
  <c r="Q319" i="13" s="1"/>
  <c r="R319" i="13" s="1"/>
  <c r="P285" i="13"/>
  <c r="Q285" i="13" s="1"/>
  <c r="R285" i="13" s="1"/>
  <c r="P277" i="13"/>
  <c r="Q277" i="13" s="1"/>
  <c r="R277" i="13" s="1"/>
  <c r="P269" i="13"/>
  <c r="Q269" i="13" s="1"/>
  <c r="R269" i="13" s="1"/>
  <c r="P261" i="13"/>
  <c r="Q261" i="13" s="1"/>
  <c r="R261" i="13" s="1"/>
  <c r="P253" i="13"/>
  <c r="Q253" i="13" s="1"/>
  <c r="R253" i="13" s="1"/>
  <c r="P245" i="13"/>
  <c r="Q245" i="13" s="1"/>
  <c r="R245" i="13" s="1"/>
  <c r="P221" i="13"/>
  <c r="Q221" i="13" s="1"/>
  <c r="R221" i="13" s="1"/>
  <c r="P213" i="13"/>
  <c r="Q213" i="13" s="1"/>
  <c r="R213" i="13" s="1"/>
  <c r="P205" i="13"/>
  <c r="Q205" i="13" s="1"/>
  <c r="R205" i="13" s="1"/>
  <c r="P197" i="13"/>
  <c r="Q197" i="13" s="1"/>
  <c r="R197" i="13" s="1"/>
  <c r="P189" i="13"/>
  <c r="Q189" i="13" s="1"/>
  <c r="R189" i="13" s="1"/>
  <c r="P181" i="13"/>
  <c r="Q181" i="13" s="1"/>
  <c r="R181" i="13" s="1"/>
  <c r="P173" i="13"/>
  <c r="Q173" i="13" s="1"/>
  <c r="R173" i="13" s="1"/>
  <c r="P165" i="13"/>
  <c r="Q165" i="13" s="1"/>
  <c r="R165" i="13" s="1"/>
  <c r="P157" i="13"/>
  <c r="Q157" i="13" s="1"/>
  <c r="R157" i="13" s="1"/>
  <c r="P149" i="13"/>
  <c r="Q149" i="13" s="1"/>
  <c r="R149" i="13" s="1"/>
  <c r="P141" i="13"/>
  <c r="Q141" i="13" s="1"/>
  <c r="R141" i="13" s="1"/>
  <c r="P133" i="13"/>
  <c r="Q133" i="13" s="1"/>
  <c r="R133" i="13" s="1"/>
  <c r="P117" i="13"/>
  <c r="Q117" i="13" s="1"/>
  <c r="R117" i="13" s="1"/>
  <c r="P109" i="13"/>
  <c r="Q109" i="13" s="1"/>
  <c r="R109" i="13" s="1"/>
  <c r="P101" i="13"/>
  <c r="Q101" i="13" s="1"/>
  <c r="R101" i="13" s="1"/>
  <c r="P93" i="13"/>
  <c r="Q93" i="13" s="1"/>
  <c r="R93" i="13" s="1"/>
  <c r="P61" i="13"/>
  <c r="Q61" i="13" s="1"/>
  <c r="R61" i="13" s="1"/>
  <c r="P53" i="13"/>
  <c r="Q53" i="13" s="1"/>
  <c r="R53" i="13" s="1"/>
  <c r="P45" i="13"/>
  <c r="Q45" i="13" s="1"/>
  <c r="R45" i="13" s="1"/>
  <c r="P37" i="13"/>
  <c r="Q37" i="13" s="1"/>
  <c r="R37" i="13" s="1"/>
  <c r="P29" i="13"/>
  <c r="Q29" i="13" s="1"/>
  <c r="R29" i="13" s="1"/>
  <c r="P5" i="13"/>
  <c r="Q5" i="13" s="1"/>
  <c r="R5" i="13" s="1"/>
  <c r="P293" i="13"/>
  <c r="Q293" i="13" s="1"/>
  <c r="R293" i="13" s="1"/>
  <c r="O316" i="13"/>
  <c r="P316" i="13" s="1"/>
  <c r="Q316" i="13" s="1"/>
  <c r="R316" i="13" s="1"/>
  <c r="O308" i="13"/>
  <c r="P308" i="13" s="1"/>
  <c r="Q308" i="13" s="1"/>
  <c r="R308" i="13" s="1"/>
  <c r="O300" i="13"/>
  <c r="P300" i="13" s="1"/>
  <c r="Q300" i="13" s="1"/>
  <c r="R300" i="13" s="1"/>
  <c r="O292" i="13"/>
  <c r="P292" i="13" s="1"/>
  <c r="Q292" i="13" s="1"/>
  <c r="R292" i="13" s="1"/>
  <c r="O284" i="13"/>
  <c r="P284" i="13" s="1"/>
  <c r="Q284" i="13" s="1"/>
  <c r="R284" i="13" s="1"/>
  <c r="O276" i="13"/>
  <c r="P276" i="13" s="1"/>
  <c r="Q276" i="13" s="1"/>
  <c r="R276" i="13" s="1"/>
  <c r="O268" i="13"/>
  <c r="P268" i="13" s="1"/>
  <c r="Q268" i="13" s="1"/>
  <c r="R268" i="13" s="1"/>
  <c r="O260" i="13"/>
  <c r="P260" i="13" s="1"/>
  <c r="Q260" i="13" s="1"/>
  <c r="R260" i="13" s="1"/>
  <c r="O252" i="13"/>
  <c r="P252" i="13" s="1"/>
  <c r="Q252" i="13" s="1"/>
  <c r="R252" i="13" s="1"/>
  <c r="O244" i="13"/>
  <c r="P244" i="13" s="1"/>
  <c r="Q244" i="13" s="1"/>
  <c r="R244" i="13" s="1"/>
  <c r="O236" i="13"/>
  <c r="O228" i="13"/>
  <c r="O220" i="13"/>
  <c r="P220" i="13" s="1"/>
  <c r="Q220" i="13" s="1"/>
  <c r="R220" i="13" s="1"/>
  <c r="O212" i="13"/>
  <c r="P212" i="13" s="1"/>
  <c r="Q212" i="13" s="1"/>
  <c r="R212" i="13" s="1"/>
  <c r="O204" i="13"/>
  <c r="P204" i="13" s="1"/>
  <c r="Q204" i="13" s="1"/>
  <c r="R204" i="13" s="1"/>
  <c r="O196" i="13"/>
  <c r="P196" i="13" s="1"/>
  <c r="Q196" i="13" s="1"/>
  <c r="R196" i="13" s="1"/>
  <c r="O188" i="13"/>
  <c r="P188" i="13" s="1"/>
  <c r="Q188" i="13" s="1"/>
  <c r="R188" i="13" s="1"/>
  <c r="O180" i="13"/>
  <c r="P180" i="13" s="1"/>
  <c r="Q180" i="13" s="1"/>
  <c r="R180" i="13" s="1"/>
  <c r="O172" i="13"/>
  <c r="P172" i="13" s="1"/>
  <c r="Q172" i="13" s="1"/>
  <c r="R172" i="13" s="1"/>
  <c r="O164" i="13"/>
  <c r="P164" i="13" s="1"/>
  <c r="Q164" i="13" s="1"/>
  <c r="R164" i="13" s="1"/>
  <c r="O156" i="13"/>
  <c r="P156" i="13" s="1"/>
  <c r="Q156" i="13" s="1"/>
  <c r="R156" i="13" s="1"/>
  <c r="O148" i="13"/>
  <c r="P148" i="13" s="1"/>
  <c r="Q148" i="13" s="1"/>
  <c r="R148" i="13" s="1"/>
  <c r="O140" i="13"/>
  <c r="P140" i="13" s="1"/>
  <c r="Q140" i="13" s="1"/>
  <c r="R140" i="13" s="1"/>
  <c r="O132" i="13"/>
  <c r="P132" i="13" s="1"/>
  <c r="Q132" i="13" s="1"/>
  <c r="R132" i="13" s="1"/>
  <c r="O124" i="13"/>
  <c r="P124" i="13" s="1"/>
  <c r="Q124" i="13" s="1"/>
  <c r="R124" i="13" s="1"/>
  <c r="O116" i="13"/>
  <c r="P116" i="13" s="1"/>
  <c r="Q116" i="13" s="1"/>
  <c r="R116" i="13" s="1"/>
  <c r="O108" i="13"/>
  <c r="P108" i="13" s="1"/>
  <c r="Q108" i="13" s="1"/>
  <c r="R108" i="13" s="1"/>
  <c r="O100" i="13"/>
  <c r="P100" i="13" s="1"/>
  <c r="Q100" i="13" s="1"/>
  <c r="R100" i="13" s="1"/>
  <c r="O92" i="13"/>
  <c r="P92" i="13" s="1"/>
  <c r="Q92" i="13" s="1"/>
  <c r="R92" i="13" s="1"/>
  <c r="O84" i="13"/>
  <c r="P84" i="13" s="1"/>
  <c r="Q84" i="13" s="1"/>
  <c r="R84" i="13" s="1"/>
  <c r="O76" i="13"/>
  <c r="P76" i="13" s="1"/>
  <c r="Q76" i="13" s="1"/>
  <c r="R76" i="13" s="1"/>
  <c r="O68" i="13"/>
  <c r="P68" i="13" s="1"/>
  <c r="Q68" i="13" s="1"/>
  <c r="R68" i="13" s="1"/>
  <c r="O60" i="13"/>
  <c r="P60" i="13" s="1"/>
  <c r="Q60" i="13" s="1"/>
  <c r="R60" i="13" s="1"/>
  <c r="O52" i="13"/>
  <c r="P52" i="13" s="1"/>
  <c r="Q52" i="13" s="1"/>
  <c r="R52" i="13" s="1"/>
  <c r="O44" i="13"/>
  <c r="P44" i="13" s="1"/>
  <c r="Q44" i="13" s="1"/>
  <c r="R44" i="13" s="1"/>
  <c r="O36" i="13"/>
  <c r="P36" i="13" s="1"/>
  <c r="Q36" i="13" s="1"/>
  <c r="R36" i="13" s="1"/>
  <c r="O28" i="13"/>
  <c r="P28" i="13" s="1"/>
  <c r="Q28" i="13" s="1"/>
  <c r="R28" i="13" s="1"/>
  <c r="O20" i="13"/>
  <c r="P20" i="13" s="1"/>
  <c r="Q20" i="13" s="1"/>
  <c r="R20" i="13" s="1"/>
  <c r="O12" i="13"/>
  <c r="P12" i="13" s="1"/>
  <c r="Q12" i="13" s="1"/>
  <c r="R12" i="13" s="1"/>
  <c r="P307" i="13"/>
  <c r="Q307" i="13" s="1"/>
  <c r="R307" i="13" s="1"/>
  <c r="P299" i="13"/>
  <c r="Q299" i="13" s="1"/>
  <c r="R299" i="13" s="1"/>
  <c r="P291" i="13"/>
  <c r="Q291" i="13" s="1"/>
  <c r="R291" i="13" s="1"/>
  <c r="P283" i="13"/>
  <c r="Q283" i="13" s="1"/>
  <c r="R283" i="13" s="1"/>
  <c r="P275" i="13"/>
  <c r="Q275" i="13" s="1"/>
  <c r="R275" i="13" s="1"/>
  <c r="P267" i="13"/>
  <c r="Q267" i="13" s="1"/>
  <c r="R267" i="13" s="1"/>
  <c r="P259" i="13"/>
  <c r="Q259" i="13" s="1"/>
  <c r="R259" i="13" s="1"/>
  <c r="P251" i="13"/>
  <c r="Q251" i="13" s="1"/>
  <c r="R251" i="13" s="1"/>
  <c r="P243" i="13"/>
  <c r="Q243" i="13" s="1"/>
  <c r="R243" i="13" s="1"/>
  <c r="P227" i="13"/>
  <c r="Q227" i="13" s="1"/>
  <c r="R227" i="13" s="1"/>
  <c r="P219" i="13"/>
  <c r="Q219" i="13" s="1"/>
  <c r="R219" i="13" s="1"/>
  <c r="P203" i="13"/>
  <c r="Q203" i="13" s="1"/>
  <c r="R203" i="13" s="1"/>
  <c r="P195" i="13"/>
  <c r="Q195" i="13" s="1"/>
  <c r="R195" i="13" s="1"/>
  <c r="P187" i="13"/>
  <c r="Q187" i="13" s="1"/>
  <c r="R187" i="13" s="1"/>
  <c r="P179" i="13"/>
  <c r="Q179" i="13" s="1"/>
  <c r="R179" i="13" s="1"/>
  <c r="P171" i="13"/>
  <c r="Q171" i="13" s="1"/>
  <c r="R171" i="13" s="1"/>
  <c r="P163" i="13"/>
  <c r="Q163" i="13" s="1"/>
  <c r="R163" i="13" s="1"/>
  <c r="P155" i="13"/>
  <c r="Q155" i="13" s="1"/>
  <c r="R155" i="13" s="1"/>
  <c r="P139" i="13"/>
  <c r="Q139" i="13" s="1"/>
  <c r="R139" i="13" s="1"/>
  <c r="P131" i="13"/>
  <c r="Q131" i="13" s="1"/>
  <c r="R131" i="13" s="1"/>
  <c r="P123" i="13"/>
  <c r="Q123" i="13" s="1"/>
  <c r="R123" i="13" s="1"/>
  <c r="P115" i="13"/>
  <c r="Q115" i="13" s="1"/>
  <c r="R115" i="13" s="1"/>
  <c r="P107" i="13"/>
  <c r="Q107" i="13" s="1"/>
  <c r="R107" i="13" s="1"/>
  <c r="P99" i="13"/>
  <c r="Q99" i="13" s="1"/>
  <c r="R99" i="13" s="1"/>
  <c r="P91" i="13"/>
  <c r="Q91" i="13" s="1"/>
  <c r="R91" i="13" s="1"/>
  <c r="P75" i="13"/>
  <c r="Q75" i="13" s="1"/>
  <c r="R75" i="13" s="1"/>
  <c r="P67" i="13"/>
  <c r="Q67" i="13" s="1"/>
  <c r="R67" i="13" s="1"/>
  <c r="O59" i="13"/>
  <c r="P59" i="13" s="1"/>
  <c r="Q59" i="13" s="1"/>
  <c r="R59" i="13" s="1"/>
  <c r="O51" i="13"/>
  <c r="P51" i="13" s="1"/>
  <c r="Q51" i="13" s="1"/>
  <c r="R51" i="13" s="1"/>
  <c r="O43" i="13"/>
  <c r="P43" i="13" s="1"/>
  <c r="Q43" i="13" s="1"/>
  <c r="R43" i="13" s="1"/>
  <c r="O35" i="13"/>
  <c r="P35" i="13" s="1"/>
  <c r="Q35" i="13" s="1"/>
  <c r="R35" i="13" s="1"/>
  <c r="O27" i="13"/>
  <c r="P27" i="13" s="1"/>
  <c r="Q27" i="13" s="1"/>
  <c r="R27" i="13" s="1"/>
  <c r="O19" i="13"/>
  <c r="P19" i="13" s="1"/>
  <c r="Q19" i="13" s="1"/>
  <c r="R19" i="13" s="1"/>
  <c r="O11" i="13"/>
  <c r="P11" i="13" s="1"/>
  <c r="Q11" i="13" s="1"/>
  <c r="R11" i="13" s="1"/>
  <c r="O310" i="13"/>
  <c r="P310" i="13" s="1"/>
  <c r="Q310" i="13" s="1"/>
  <c r="R310" i="13" s="1"/>
  <c r="P315" i="13"/>
  <c r="Q315" i="13" s="1"/>
  <c r="R315" i="13" s="1"/>
  <c r="O314" i="13"/>
  <c r="P314" i="13" s="1"/>
  <c r="Q314" i="13" s="1"/>
  <c r="R314" i="13" s="1"/>
  <c r="O306" i="13"/>
  <c r="P306" i="13" s="1"/>
  <c r="Q306" i="13" s="1"/>
  <c r="R306" i="13" s="1"/>
  <c r="O298" i="13"/>
  <c r="P298" i="13" s="1"/>
  <c r="Q298" i="13" s="1"/>
  <c r="R298" i="13" s="1"/>
  <c r="O290" i="13"/>
  <c r="P290" i="13" s="1"/>
  <c r="Q290" i="13" s="1"/>
  <c r="R290" i="13" s="1"/>
  <c r="O282" i="13"/>
  <c r="P282" i="13" s="1"/>
  <c r="Q282" i="13" s="1"/>
  <c r="R282" i="13" s="1"/>
  <c r="O274" i="13"/>
  <c r="P274" i="13" s="1"/>
  <c r="Q274" i="13" s="1"/>
  <c r="R274" i="13" s="1"/>
  <c r="O266" i="13"/>
  <c r="P266" i="13" s="1"/>
  <c r="Q266" i="13" s="1"/>
  <c r="R266" i="13" s="1"/>
  <c r="O258" i="13"/>
  <c r="P258" i="13" s="1"/>
  <c r="Q258" i="13" s="1"/>
  <c r="R258" i="13" s="1"/>
  <c r="O250" i="13"/>
  <c r="O242" i="13"/>
  <c r="P242" i="13" s="1"/>
  <c r="Q242" i="13" s="1"/>
  <c r="R242" i="13" s="1"/>
  <c r="O234" i="13"/>
  <c r="P234" i="13" s="1"/>
  <c r="Q234" i="13" s="1"/>
  <c r="R234" i="13" s="1"/>
  <c r="O226" i="13"/>
  <c r="P226" i="13" s="1"/>
  <c r="Q226" i="13" s="1"/>
  <c r="R226" i="13" s="1"/>
  <c r="O218" i="13"/>
  <c r="P218" i="13" s="1"/>
  <c r="Q218" i="13" s="1"/>
  <c r="R218" i="13" s="1"/>
  <c r="O210" i="13"/>
  <c r="P210" i="13" s="1"/>
  <c r="Q210" i="13" s="1"/>
  <c r="R210" i="13" s="1"/>
  <c r="O202" i="13"/>
  <c r="P202" i="13" s="1"/>
  <c r="Q202" i="13" s="1"/>
  <c r="R202" i="13" s="1"/>
  <c r="O194" i="13"/>
  <c r="P194" i="13" s="1"/>
  <c r="Q194" i="13" s="1"/>
  <c r="R194" i="13" s="1"/>
  <c r="O186" i="13"/>
  <c r="P186" i="13" s="1"/>
  <c r="Q186" i="13" s="1"/>
  <c r="R186" i="13" s="1"/>
  <c r="O178" i="13"/>
  <c r="P178" i="13" s="1"/>
  <c r="Q178" i="13" s="1"/>
  <c r="R178" i="13" s="1"/>
  <c r="O170" i="13"/>
  <c r="P170" i="13" s="1"/>
  <c r="Q170" i="13" s="1"/>
  <c r="R170" i="13" s="1"/>
  <c r="O162" i="13"/>
  <c r="P162" i="13" s="1"/>
  <c r="Q162" i="13" s="1"/>
  <c r="R162" i="13" s="1"/>
  <c r="O154" i="13"/>
  <c r="P154" i="13" s="1"/>
  <c r="Q154" i="13" s="1"/>
  <c r="R154" i="13" s="1"/>
  <c r="O146" i="13"/>
  <c r="P146" i="13" s="1"/>
  <c r="Q146" i="13" s="1"/>
  <c r="R146" i="13" s="1"/>
  <c r="O138" i="13"/>
  <c r="P138" i="13" s="1"/>
  <c r="Q138" i="13" s="1"/>
  <c r="R138" i="13" s="1"/>
  <c r="O130" i="13"/>
  <c r="P130" i="13" s="1"/>
  <c r="Q130" i="13" s="1"/>
  <c r="R130" i="13" s="1"/>
  <c r="O122" i="13"/>
  <c r="P122" i="13" s="1"/>
  <c r="Q122" i="13" s="1"/>
  <c r="R122" i="13" s="1"/>
  <c r="O114" i="13"/>
  <c r="P114" i="13" s="1"/>
  <c r="Q114" i="13" s="1"/>
  <c r="R114" i="13" s="1"/>
  <c r="O106" i="13"/>
  <c r="P106" i="13" s="1"/>
  <c r="Q106" i="13" s="1"/>
  <c r="R106" i="13" s="1"/>
  <c r="O98" i="13"/>
  <c r="P98" i="13" s="1"/>
  <c r="Q98" i="13" s="1"/>
  <c r="R98" i="13" s="1"/>
  <c r="O90" i="13"/>
  <c r="P90" i="13" s="1"/>
  <c r="Q90" i="13" s="1"/>
  <c r="R90" i="13" s="1"/>
  <c r="O82" i="13"/>
  <c r="P82" i="13" s="1"/>
  <c r="Q82" i="13" s="1"/>
  <c r="R82" i="13" s="1"/>
  <c r="O74" i="13"/>
  <c r="P74" i="13" s="1"/>
  <c r="Q74" i="13" s="1"/>
  <c r="R74" i="13" s="1"/>
  <c r="O66" i="13"/>
  <c r="P66" i="13" s="1"/>
  <c r="Q66" i="13" s="1"/>
  <c r="R66" i="13" s="1"/>
  <c r="P58" i="13"/>
  <c r="Q58" i="13" s="1"/>
  <c r="R58" i="13" s="1"/>
  <c r="P50" i="13"/>
  <c r="Q50" i="13" s="1"/>
  <c r="R50" i="13" s="1"/>
  <c r="P42" i="13"/>
  <c r="Q42" i="13" s="1"/>
  <c r="R42" i="13" s="1"/>
  <c r="P34" i="13"/>
  <c r="Q34" i="13" s="1"/>
  <c r="R34" i="13" s="1"/>
  <c r="P26" i="13"/>
  <c r="Q26" i="13" s="1"/>
  <c r="R26" i="13" s="1"/>
  <c r="P18" i="13"/>
  <c r="Q18" i="13" s="1"/>
  <c r="R18" i="13" s="1"/>
  <c r="P10" i="13"/>
  <c r="Q10" i="13" s="1"/>
  <c r="R10" i="13" s="1"/>
  <c r="P297" i="13"/>
  <c r="Q297" i="13" s="1"/>
  <c r="R297" i="13" s="1"/>
  <c r="P289" i="13"/>
  <c r="Q289" i="13" s="1"/>
  <c r="R289" i="13" s="1"/>
  <c r="P281" i="13"/>
  <c r="Q281" i="13" s="1"/>
  <c r="R281" i="13" s="1"/>
  <c r="P273" i="13"/>
  <c r="Q273" i="13" s="1"/>
  <c r="R273" i="13" s="1"/>
  <c r="P265" i="13"/>
  <c r="Q265" i="13" s="1"/>
  <c r="R265" i="13" s="1"/>
  <c r="P257" i="13"/>
  <c r="Q257" i="13" s="1"/>
  <c r="R257" i="13" s="1"/>
  <c r="P249" i="13"/>
  <c r="Q249" i="13" s="1"/>
  <c r="R249" i="13" s="1"/>
  <c r="P241" i="13"/>
  <c r="Q241" i="13" s="1"/>
  <c r="R241" i="13" s="1"/>
  <c r="P209" i="13"/>
  <c r="Q209" i="13" s="1"/>
  <c r="R209" i="13" s="1"/>
  <c r="P201" i="13"/>
  <c r="Q201" i="13" s="1"/>
  <c r="R201" i="13" s="1"/>
  <c r="P193" i="13"/>
  <c r="Q193" i="13" s="1"/>
  <c r="R193" i="13" s="1"/>
  <c r="P185" i="13"/>
  <c r="Q185" i="13" s="1"/>
  <c r="R185" i="13" s="1"/>
  <c r="P177" i="13"/>
  <c r="Q177" i="13" s="1"/>
  <c r="R177" i="13" s="1"/>
  <c r="P161" i="13"/>
  <c r="Q161" i="13" s="1"/>
  <c r="R161" i="13" s="1"/>
  <c r="P145" i="13"/>
  <c r="Q145" i="13" s="1"/>
  <c r="R145" i="13" s="1"/>
  <c r="P137" i="13"/>
  <c r="Q137" i="13" s="1"/>
  <c r="R137" i="13" s="1"/>
  <c r="P129" i="13"/>
  <c r="Q129" i="13" s="1"/>
  <c r="R129" i="13" s="1"/>
  <c r="P121" i="13"/>
  <c r="Q121" i="13" s="1"/>
  <c r="R121" i="13" s="1"/>
  <c r="P113" i="13"/>
  <c r="Q113" i="13" s="1"/>
  <c r="R113" i="13" s="1"/>
  <c r="P97" i="13"/>
  <c r="Q97" i="13" s="1"/>
  <c r="R97" i="13" s="1"/>
  <c r="P81" i="13"/>
  <c r="Q81" i="13" s="1"/>
  <c r="R81" i="13" s="1"/>
  <c r="P73" i="13"/>
  <c r="Q73" i="13" s="1"/>
  <c r="R73" i="13" s="1"/>
  <c r="P65" i="13"/>
  <c r="Q65" i="13" s="1"/>
  <c r="R65" i="13" s="1"/>
  <c r="P57" i="13"/>
  <c r="Q57" i="13" s="1"/>
  <c r="R57" i="13" s="1"/>
  <c r="P49" i="13"/>
  <c r="Q49" i="13" s="1"/>
  <c r="R49" i="13" s="1"/>
  <c r="P33" i="13"/>
  <c r="Q33" i="13" s="1"/>
  <c r="R33" i="13" s="1"/>
  <c r="P17" i="13"/>
  <c r="Q17" i="13" s="1"/>
  <c r="R17" i="13" s="1"/>
  <c r="P9" i="13"/>
  <c r="Q9" i="13" s="1"/>
  <c r="R9" i="13" s="1"/>
  <c r="P231" i="13"/>
  <c r="Q231" i="13" s="1"/>
  <c r="R231" i="13" s="1"/>
  <c r="P223" i="13"/>
  <c r="Q223" i="13" s="1"/>
  <c r="R223" i="13" s="1"/>
  <c r="P238" i="13"/>
  <c r="Q238" i="13" s="1"/>
  <c r="R238" i="13" s="1"/>
  <c r="P230" i="13"/>
  <c r="Q230" i="13" s="1"/>
  <c r="R230" i="13" s="1"/>
  <c r="P237" i="13"/>
  <c r="Q237" i="13" s="1"/>
  <c r="R237" i="13" s="1"/>
  <c r="P229" i="13"/>
  <c r="Q229" i="13" s="1"/>
  <c r="R229" i="13" s="1"/>
  <c r="P236" i="13"/>
  <c r="Q236" i="13" s="1"/>
  <c r="R236" i="13" s="1"/>
  <c r="P228" i="13"/>
  <c r="Q228" i="13" s="1"/>
  <c r="R228" i="13" s="1"/>
  <c r="P250" i="13"/>
  <c r="Q250" i="13" s="1"/>
  <c r="R250" i="13" s="1"/>
  <c r="P225" i="13"/>
  <c r="Q225" i="13" s="1"/>
  <c r="R225" i="13" s="1"/>
  <c r="P232" i="13"/>
  <c r="Q232" i="13" s="1"/>
  <c r="R232" i="13" s="1"/>
  <c r="P224" i="13"/>
  <c r="Q224" i="13" s="1"/>
  <c r="R224" i="13" s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2" i="1"/>
  <c r="N215" i="14" l="1"/>
  <c r="J25" i="14"/>
  <c r="J25" i="10"/>
  <c r="N215" i="10"/>
  <c r="N292" i="14"/>
  <c r="N292" i="10"/>
  <c r="J89" i="14"/>
  <c r="J89" i="10"/>
  <c r="N273" i="14"/>
  <c r="N273" i="10"/>
  <c r="J153" i="10"/>
  <c r="J153" i="14"/>
  <c r="N107" i="10"/>
  <c r="N107" i="14"/>
  <c r="J217" i="10"/>
  <c r="J217" i="14"/>
  <c r="N163" i="10"/>
  <c r="J125" i="14"/>
  <c r="J125" i="10"/>
  <c r="N163" i="14"/>
  <c r="N119" i="14"/>
  <c r="J71" i="14"/>
  <c r="N119" i="10"/>
  <c r="J71" i="10"/>
  <c r="J263" i="14"/>
  <c r="N79" i="14"/>
  <c r="J263" i="10"/>
  <c r="N79" i="10"/>
  <c r="N14" i="14"/>
  <c r="J13" i="14"/>
  <c r="N14" i="10"/>
  <c r="J13" i="10"/>
  <c r="N188" i="10"/>
  <c r="N188" i="14"/>
  <c r="J301" i="14"/>
  <c r="J301" i="10"/>
  <c r="J199" i="14"/>
  <c r="N184" i="14"/>
  <c r="N184" i="10"/>
  <c r="J199" i="10"/>
  <c r="J83" i="14"/>
  <c r="N299" i="10"/>
  <c r="N299" i="14"/>
  <c r="J83" i="10"/>
  <c r="J147" i="14"/>
  <c r="N158" i="10"/>
  <c r="J147" i="10"/>
  <c r="N158" i="14"/>
  <c r="J211" i="14"/>
  <c r="N100" i="14"/>
  <c r="J211" i="10"/>
  <c r="N100" i="10"/>
  <c r="N26" i="14"/>
  <c r="N26" i="10"/>
  <c r="J21" i="14"/>
  <c r="J21" i="10"/>
  <c r="N281" i="14"/>
  <c r="J127" i="14"/>
  <c r="N281" i="10"/>
  <c r="J127" i="10"/>
  <c r="N68" i="10"/>
  <c r="N68" i="14"/>
  <c r="J233" i="14"/>
  <c r="J233" i="10"/>
  <c r="N198" i="14"/>
  <c r="N198" i="10"/>
  <c r="J85" i="10"/>
  <c r="J85" i="14"/>
  <c r="N168" i="10"/>
  <c r="N168" i="14"/>
  <c r="J317" i="10"/>
  <c r="J317" i="14"/>
  <c r="J41" i="14"/>
  <c r="N34" i="10"/>
  <c r="J41" i="10"/>
  <c r="N34" i="14"/>
  <c r="J111" i="14"/>
  <c r="N104" i="14"/>
  <c r="N104" i="10"/>
  <c r="J111" i="10"/>
  <c r="N283" i="14"/>
  <c r="J77" i="14"/>
  <c r="N283" i="10"/>
  <c r="J77" i="10"/>
  <c r="N105" i="14"/>
  <c r="N105" i="10"/>
  <c r="J234" i="14"/>
  <c r="J234" i="10"/>
  <c r="J105" i="14"/>
  <c r="N134" i="14"/>
  <c r="N134" i="10"/>
  <c r="J105" i="10"/>
  <c r="J235" i="14"/>
  <c r="N230" i="14"/>
  <c r="N230" i="10"/>
  <c r="J235" i="10"/>
  <c r="N276" i="10"/>
  <c r="N276" i="14"/>
  <c r="J309" i="10"/>
  <c r="J309" i="14"/>
  <c r="N133" i="14"/>
  <c r="J222" i="10"/>
  <c r="J222" i="14"/>
  <c r="N133" i="10"/>
  <c r="N109" i="14"/>
  <c r="J169" i="14"/>
  <c r="N109" i="10"/>
  <c r="J169" i="10"/>
  <c r="N142" i="14"/>
  <c r="J69" i="14"/>
  <c r="J69" i="10"/>
  <c r="N142" i="10"/>
  <c r="N260" i="14"/>
  <c r="J258" i="14"/>
  <c r="J258" i="10"/>
  <c r="N260" i="10"/>
  <c r="J47" i="14"/>
  <c r="N73" i="10"/>
  <c r="N73" i="14"/>
  <c r="J47" i="10"/>
  <c r="J239" i="14"/>
  <c r="N239" i="14"/>
  <c r="N239" i="10"/>
  <c r="J239" i="10"/>
  <c r="J175" i="14"/>
  <c r="N255" i="10"/>
  <c r="N255" i="14"/>
  <c r="J175" i="10"/>
  <c r="N101" i="14"/>
  <c r="J9" i="14"/>
  <c r="J9" i="10"/>
  <c r="N101" i="10"/>
  <c r="N295" i="14"/>
  <c r="J114" i="14"/>
  <c r="N295" i="10"/>
  <c r="J114" i="10"/>
  <c r="J99" i="14"/>
  <c r="N248" i="14"/>
  <c r="N248" i="10"/>
  <c r="J99" i="10"/>
  <c r="N136" i="14"/>
  <c r="N136" i="10"/>
  <c r="J44" i="14"/>
  <c r="J44" i="10"/>
  <c r="N69" i="14"/>
  <c r="N69" i="10"/>
  <c r="J108" i="14"/>
  <c r="J108" i="10"/>
  <c r="N187" i="14"/>
  <c r="N187" i="10"/>
  <c r="J172" i="14"/>
  <c r="J172" i="10"/>
  <c r="N53" i="10"/>
  <c r="J300" i="14"/>
  <c r="J300" i="10"/>
  <c r="N53" i="14"/>
  <c r="N278" i="14"/>
  <c r="N278" i="10"/>
  <c r="J37" i="14"/>
  <c r="J37" i="10"/>
  <c r="J101" i="14"/>
  <c r="N61" i="14"/>
  <c r="N61" i="10"/>
  <c r="J101" i="10"/>
  <c r="N113" i="14"/>
  <c r="J142" i="14"/>
  <c r="J142" i="10"/>
  <c r="N113" i="10"/>
  <c r="N56" i="14"/>
  <c r="J206" i="14"/>
  <c r="J206" i="10"/>
  <c r="N56" i="10"/>
  <c r="J270" i="14"/>
  <c r="J270" i="10"/>
  <c r="N314" i="14"/>
  <c r="N314" i="10"/>
  <c r="J23" i="14"/>
  <c r="N15" i="14"/>
  <c r="N15" i="10"/>
  <c r="J23" i="10"/>
  <c r="J87" i="14"/>
  <c r="N67" i="10"/>
  <c r="N67" i="14"/>
  <c r="J87" i="10"/>
  <c r="J151" i="14"/>
  <c r="N102" i="10"/>
  <c r="N102" i="14"/>
  <c r="J151" i="10"/>
  <c r="J215" i="14"/>
  <c r="N220" i="14"/>
  <c r="N220" i="10"/>
  <c r="J215" i="10"/>
  <c r="J303" i="14"/>
  <c r="N63" i="14"/>
  <c r="N63" i="10"/>
  <c r="J303" i="10"/>
  <c r="N49" i="10"/>
  <c r="J232" i="14"/>
  <c r="N49" i="14"/>
  <c r="J232" i="10"/>
  <c r="N160" i="10"/>
  <c r="N160" i="14"/>
  <c r="J229" i="14"/>
  <c r="J229" i="10"/>
  <c r="N12" i="14"/>
  <c r="J17" i="14"/>
  <c r="J17" i="10"/>
  <c r="N12" i="10"/>
  <c r="N183" i="14"/>
  <c r="J81" i="14"/>
  <c r="J81" i="10"/>
  <c r="N183" i="10"/>
  <c r="J145" i="14"/>
  <c r="J145" i="10"/>
  <c r="N126" i="14"/>
  <c r="N126" i="10"/>
  <c r="N57" i="10"/>
  <c r="J209" i="14"/>
  <c r="N57" i="14"/>
  <c r="J209" i="10"/>
  <c r="N290" i="10"/>
  <c r="N290" i="14"/>
  <c r="J289" i="14"/>
  <c r="J289" i="10"/>
  <c r="J58" i="14"/>
  <c r="N17" i="14"/>
  <c r="J58" i="10"/>
  <c r="N17" i="10"/>
  <c r="N245" i="14"/>
  <c r="J122" i="14"/>
  <c r="J122" i="10"/>
  <c r="N245" i="10"/>
  <c r="N6" i="10"/>
  <c r="J186" i="14"/>
  <c r="N6" i="14"/>
  <c r="J186" i="10"/>
  <c r="N269" i="14"/>
  <c r="J314" i="14"/>
  <c r="N269" i="10"/>
  <c r="J314" i="10"/>
  <c r="J43" i="14"/>
  <c r="N222" i="10"/>
  <c r="N222" i="14"/>
  <c r="J43" i="10"/>
  <c r="J107" i="14"/>
  <c r="N108" i="14"/>
  <c r="N108" i="10"/>
  <c r="J107" i="10"/>
  <c r="J171" i="14"/>
  <c r="N218" i="10"/>
  <c r="J171" i="10"/>
  <c r="N218" i="14"/>
  <c r="J299" i="14"/>
  <c r="N83" i="14"/>
  <c r="N83" i="10"/>
  <c r="J299" i="10"/>
  <c r="N112" i="14"/>
  <c r="N112" i="10"/>
  <c r="J52" i="14"/>
  <c r="J52" i="10"/>
  <c r="N145" i="14"/>
  <c r="J116" i="14"/>
  <c r="N145" i="10"/>
  <c r="J116" i="10"/>
  <c r="N316" i="14"/>
  <c r="J180" i="14"/>
  <c r="J180" i="10"/>
  <c r="N316" i="10"/>
  <c r="N144" i="14"/>
  <c r="N144" i="10"/>
  <c r="J244" i="14"/>
  <c r="J244" i="10"/>
  <c r="N256" i="14"/>
  <c r="N256" i="10"/>
  <c r="J308" i="14"/>
  <c r="J308" i="10"/>
  <c r="N13" i="14"/>
  <c r="J45" i="14"/>
  <c r="N13" i="10"/>
  <c r="J45" i="10"/>
  <c r="N55" i="14"/>
  <c r="J109" i="14"/>
  <c r="N55" i="10"/>
  <c r="J109" i="10"/>
  <c r="N240" i="14"/>
  <c r="J173" i="14"/>
  <c r="N240" i="10"/>
  <c r="J173" i="10"/>
  <c r="N232" i="10"/>
  <c r="N232" i="14"/>
  <c r="J253" i="10"/>
  <c r="J253" i="14"/>
  <c r="N231" i="14"/>
  <c r="J22" i="14"/>
  <c r="N231" i="10"/>
  <c r="J22" i="10"/>
  <c r="J86" i="14"/>
  <c r="N94" i="10"/>
  <c r="N94" i="14"/>
  <c r="J86" i="10"/>
  <c r="J150" i="14"/>
  <c r="J150" i="10"/>
  <c r="N186" i="10"/>
  <c r="N186" i="14"/>
  <c r="J214" i="14"/>
  <c r="N211" i="10"/>
  <c r="J214" i="10"/>
  <c r="N211" i="14"/>
  <c r="N98" i="14"/>
  <c r="J278" i="14"/>
  <c r="N98" i="10"/>
  <c r="J278" i="10"/>
  <c r="J31" i="14"/>
  <c r="N66" i="14"/>
  <c r="N66" i="10"/>
  <c r="J31" i="10"/>
  <c r="N20" i="14"/>
  <c r="J95" i="14"/>
  <c r="N20" i="10"/>
  <c r="J95" i="10"/>
  <c r="J159" i="14"/>
  <c r="N227" i="10"/>
  <c r="N227" i="14"/>
  <c r="J159" i="10"/>
  <c r="J287" i="14"/>
  <c r="N82" i="14"/>
  <c r="N82" i="10"/>
  <c r="J287" i="10"/>
  <c r="N229" i="14"/>
  <c r="N229" i="10"/>
  <c r="J224" i="14"/>
  <c r="J224" i="10"/>
  <c r="N60" i="14"/>
  <c r="J201" i="14"/>
  <c r="J201" i="10"/>
  <c r="N60" i="10"/>
  <c r="N152" i="14"/>
  <c r="J242" i="14"/>
  <c r="N152" i="10"/>
  <c r="J242" i="10"/>
  <c r="J14" i="14"/>
  <c r="N7" i="10"/>
  <c r="N7" i="14"/>
  <c r="J14" i="10"/>
  <c r="N45" i="14"/>
  <c r="N45" i="10"/>
  <c r="J130" i="10"/>
  <c r="J130" i="14"/>
  <c r="J315" i="14"/>
  <c r="N89" i="10"/>
  <c r="J315" i="10"/>
  <c r="N89" i="14"/>
  <c r="N28" i="14"/>
  <c r="J243" i="14"/>
  <c r="J243" i="10"/>
  <c r="N28" i="10"/>
  <c r="J188" i="14"/>
  <c r="J188" i="10"/>
  <c r="N287" i="10"/>
  <c r="N287" i="14"/>
  <c r="N180" i="14"/>
  <c r="N180" i="10"/>
  <c r="J117" i="14"/>
  <c r="J117" i="10"/>
  <c r="N204" i="14"/>
  <c r="N204" i="10"/>
  <c r="J94" i="10"/>
  <c r="J94" i="14"/>
  <c r="J39" i="14"/>
  <c r="N106" i="10"/>
  <c r="J39" i="10"/>
  <c r="N106" i="14"/>
  <c r="J311" i="14"/>
  <c r="N21" i="14"/>
  <c r="J311" i="10"/>
  <c r="N21" i="10"/>
  <c r="J33" i="14"/>
  <c r="J33" i="10"/>
  <c r="N191" i="14"/>
  <c r="N191" i="10"/>
  <c r="J97" i="14"/>
  <c r="N35" i="14"/>
  <c r="J97" i="10"/>
  <c r="N35" i="10"/>
  <c r="N54" i="14"/>
  <c r="J161" i="14"/>
  <c r="J161" i="10"/>
  <c r="N54" i="10"/>
  <c r="N132" i="10"/>
  <c r="N132" i="14"/>
  <c r="J241" i="14"/>
  <c r="J241" i="10"/>
  <c r="J10" i="14"/>
  <c r="N115" i="10"/>
  <c r="N115" i="14"/>
  <c r="J10" i="10"/>
  <c r="N221" i="14"/>
  <c r="J74" i="14"/>
  <c r="N221" i="10"/>
  <c r="J74" i="10"/>
  <c r="N166" i="14"/>
  <c r="J138" i="14"/>
  <c r="N166" i="10"/>
  <c r="J138" i="10"/>
  <c r="J202" i="14"/>
  <c r="N110" i="14"/>
  <c r="N110" i="10"/>
  <c r="J202" i="10"/>
  <c r="N271" i="14"/>
  <c r="J266" i="14"/>
  <c r="N271" i="10"/>
  <c r="J266" i="10"/>
  <c r="N151" i="14"/>
  <c r="J59" i="14"/>
  <c r="N151" i="10"/>
  <c r="J59" i="10"/>
  <c r="J123" i="14"/>
  <c r="N70" i="10"/>
  <c r="N70" i="14"/>
  <c r="J123" i="10"/>
  <c r="N8" i="14"/>
  <c r="J187" i="14"/>
  <c r="N8" i="10"/>
  <c r="J187" i="10"/>
  <c r="J251" i="14"/>
  <c r="N254" i="10"/>
  <c r="J251" i="10"/>
  <c r="N254" i="14"/>
  <c r="N272" i="14"/>
  <c r="J68" i="14"/>
  <c r="N272" i="10"/>
  <c r="J68" i="10"/>
  <c r="N172" i="14"/>
  <c r="J132" i="14"/>
  <c r="J132" i="10"/>
  <c r="N172" i="10"/>
  <c r="N233" i="14"/>
  <c r="J196" i="14"/>
  <c r="J196" i="10"/>
  <c r="N233" i="10"/>
  <c r="N182" i="10"/>
  <c r="N182" i="14"/>
  <c r="J260" i="14"/>
  <c r="J260" i="10"/>
  <c r="N18" i="10"/>
  <c r="J293" i="14"/>
  <c r="N18" i="14"/>
  <c r="J293" i="10"/>
  <c r="N37" i="14"/>
  <c r="N37" i="10"/>
  <c r="J61" i="14"/>
  <c r="J61" i="10"/>
  <c r="N190" i="10"/>
  <c r="N190" i="14"/>
  <c r="J189" i="14"/>
  <c r="J189" i="10"/>
  <c r="N103" i="10"/>
  <c r="N103" i="14"/>
  <c r="J269" i="14"/>
  <c r="J269" i="10"/>
  <c r="N169" i="14"/>
  <c r="J38" i="14"/>
  <c r="N169" i="10"/>
  <c r="J38" i="10"/>
  <c r="N64" i="14"/>
  <c r="J102" i="10"/>
  <c r="J102" i="14"/>
  <c r="N64" i="10"/>
  <c r="N153" i="14"/>
  <c r="J166" i="10"/>
  <c r="J166" i="14"/>
  <c r="N153" i="10"/>
  <c r="N22" i="14"/>
  <c r="N22" i="10"/>
  <c r="J294" i="10"/>
  <c r="J294" i="14"/>
  <c r="J255" i="14"/>
  <c r="N280" i="14"/>
  <c r="N280" i="10"/>
  <c r="J255" i="10"/>
  <c r="N294" i="10"/>
  <c r="N294" i="14"/>
  <c r="J305" i="14"/>
  <c r="J305" i="10"/>
  <c r="J271" i="14"/>
  <c r="N268" i="14"/>
  <c r="N268" i="10"/>
  <c r="J271" i="10"/>
  <c r="N131" i="10"/>
  <c r="J236" i="14"/>
  <c r="J236" i="10"/>
  <c r="N131" i="14"/>
  <c r="N176" i="14"/>
  <c r="J73" i="14"/>
  <c r="N176" i="10"/>
  <c r="J73" i="10"/>
  <c r="N309" i="14"/>
  <c r="J50" i="14"/>
  <c r="N309" i="10"/>
  <c r="J50" i="10"/>
  <c r="N117" i="14"/>
  <c r="J35" i="14"/>
  <c r="N117" i="10"/>
  <c r="J35" i="10"/>
  <c r="J291" i="14"/>
  <c r="N303" i="14"/>
  <c r="J291" i="10"/>
  <c r="N303" i="10"/>
  <c r="J165" i="14"/>
  <c r="N75" i="10"/>
  <c r="N75" i="14"/>
  <c r="J165" i="10"/>
  <c r="N177" i="14"/>
  <c r="N177" i="10"/>
  <c r="J225" i="14"/>
  <c r="J225" i="10"/>
  <c r="N201" i="14"/>
  <c r="N201" i="10"/>
  <c r="J297" i="14"/>
  <c r="J297" i="10"/>
  <c r="N317" i="14"/>
  <c r="J179" i="14"/>
  <c r="N317" i="10"/>
  <c r="J179" i="10"/>
  <c r="J124" i="14"/>
  <c r="N59" i="14"/>
  <c r="J124" i="10"/>
  <c r="N59" i="10"/>
  <c r="N58" i="10"/>
  <c r="N58" i="14"/>
  <c r="J53" i="14"/>
  <c r="J53" i="10"/>
  <c r="N78" i="14"/>
  <c r="J30" i="14"/>
  <c r="N78" i="10"/>
  <c r="J30" i="10"/>
  <c r="N48" i="14"/>
  <c r="J167" i="14"/>
  <c r="N48" i="10"/>
  <c r="J167" i="10"/>
  <c r="N95" i="14"/>
  <c r="N95" i="10"/>
  <c r="J230" i="10"/>
  <c r="J230" i="14"/>
  <c r="N74" i="10"/>
  <c r="N74" i="14"/>
  <c r="J249" i="14"/>
  <c r="J249" i="10"/>
  <c r="N301" i="14"/>
  <c r="J18" i="14"/>
  <c r="N301" i="10"/>
  <c r="J18" i="10"/>
  <c r="N155" i="14"/>
  <c r="J82" i="14"/>
  <c r="N155" i="10"/>
  <c r="J82" i="10"/>
  <c r="N253" i="14"/>
  <c r="J146" i="14"/>
  <c r="N253" i="10"/>
  <c r="J146" i="10"/>
  <c r="J210" i="14"/>
  <c r="N11" i="10"/>
  <c r="J210" i="10"/>
  <c r="N11" i="14"/>
  <c r="J274" i="14"/>
  <c r="N315" i="14"/>
  <c r="N315" i="10"/>
  <c r="J274" i="10"/>
  <c r="N161" i="14"/>
  <c r="J310" i="14"/>
  <c r="N161" i="10"/>
  <c r="J310" i="10"/>
  <c r="N212" i="14"/>
  <c r="J67" i="14"/>
  <c r="N212" i="10"/>
  <c r="J67" i="10"/>
  <c r="J131" i="14"/>
  <c r="N143" i="10"/>
  <c r="N143" i="14"/>
  <c r="J131" i="10"/>
  <c r="J195" i="14"/>
  <c r="N148" i="14"/>
  <c r="N148" i="10"/>
  <c r="J195" i="10"/>
  <c r="J259" i="14"/>
  <c r="N236" i="14"/>
  <c r="J259" i="10"/>
  <c r="N236" i="10"/>
  <c r="J12" i="14"/>
  <c r="N122" i="10"/>
  <c r="N122" i="14"/>
  <c r="J12" i="10"/>
  <c r="N250" i="10"/>
  <c r="J76" i="14"/>
  <c r="J76" i="10"/>
  <c r="N250" i="14"/>
  <c r="N47" i="10"/>
  <c r="J140" i="10"/>
  <c r="N47" i="14"/>
  <c r="J140" i="14"/>
  <c r="N202" i="10"/>
  <c r="J204" i="10"/>
  <c r="J204" i="14"/>
  <c r="N202" i="14"/>
  <c r="N297" i="14"/>
  <c r="N297" i="10"/>
  <c r="J268" i="10"/>
  <c r="J268" i="14"/>
  <c r="J133" i="14"/>
  <c r="N23" i="14"/>
  <c r="J133" i="10"/>
  <c r="N23" i="10"/>
  <c r="J197" i="14"/>
  <c r="N81" i="10"/>
  <c r="J197" i="10"/>
  <c r="N81" i="14"/>
  <c r="N308" i="10"/>
  <c r="N308" i="14"/>
  <c r="J277" i="10"/>
  <c r="J277" i="14"/>
  <c r="N277" i="14"/>
  <c r="J46" i="14"/>
  <c r="J46" i="10"/>
  <c r="N277" i="10"/>
  <c r="J110" i="14"/>
  <c r="N235" i="14"/>
  <c r="J110" i="10"/>
  <c r="N235" i="10"/>
  <c r="N288" i="14"/>
  <c r="J174" i="14"/>
  <c r="J174" i="10"/>
  <c r="N288" i="10"/>
  <c r="J302" i="14"/>
  <c r="N175" i="14"/>
  <c r="J302" i="10"/>
  <c r="N175" i="10"/>
  <c r="J55" i="14"/>
  <c r="N50" i="10"/>
  <c r="N50" i="14"/>
  <c r="J55" i="10"/>
  <c r="J119" i="14"/>
  <c r="N19" i="14"/>
  <c r="N19" i="10"/>
  <c r="J119" i="10"/>
  <c r="J183" i="14"/>
  <c r="N156" i="14"/>
  <c r="N156" i="10"/>
  <c r="J183" i="10"/>
  <c r="N219" i="10"/>
  <c r="N219" i="14"/>
  <c r="J313" i="14"/>
  <c r="J313" i="10"/>
  <c r="J295" i="14"/>
  <c r="J295" i="10"/>
  <c r="N234" i="14"/>
  <c r="N234" i="10"/>
  <c r="N130" i="10"/>
  <c r="N130" i="14"/>
  <c r="J281" i="10"/>
  <c r="J281" i="14"/>
  <c r="N264" i="14"/>
  <c r="J306" i="14"/>
  <c r="N264" i="10"/>
  <c r="J306" i="10"/>
  <c r="N296" i="14"/>
  <c r="J78" i="14"/>
  <c r="N296" i="10"/>
  <c r="J78" i="10"/>
  <c r="N167" i="14"/>
  <c r="J66" i="14"/>
  <c r="N167" i="10"/>
  <c r="J66" i="10"/>
  <c r="J51" i="14"/>
  <c r="N159" i="10"/>
  <c r="N159" i="14"/>
  <c r="J51" i="10"/>
  <c r="J307" i="14"/>
  <c r="N274" i="14"/>
  <c r="J307" i="10"/>
  <c r="N274" i="10"/>
  <c r="N216" i="14"/>
  <c r="N216" i="10"/>
  <c r="J252" i="14"/>
  <c r="J252" i="10"/>
  <c r="N311" i="14"/>
  <c r="N311" i="10"/>
  <c r="J181" i="10"/>
  <c r="J181" i="14"/>
  <c r="N118" i="14"/>
  <c r="N118" i="10"/>
  <c r="J158" i="10"/>
  <c r="J158" i="14"/>
  <c r="J103" i="14"/>
  <c r="N282" i="10"/>
  <c r="N282" i="14"/>
  <c r="J103" i="10"/>
  <c r="N88" i="14"/>
  <c r="J250" i="14"/>
  <c r="N88" i="10"/>
  <c r="J250" i="10"/>
  <c r="J238" i="14"/>
  <c r="N207" i="14"/>
  <c r="J238" i="10"/>
  <c r="N207" i="10"/>
  <c r="N257" i="14"/>
  <c r="J49" i="14"/>
  <c r="J49" i="10"/>
  <c r="N257" i="10"/>
  <c r="N149" i="14"/>
  <c r="J113" i="14"/>
  <c r="J113" i="10"/>
  <c r="N149" i="10"/>
  <c r="N312" i="14"/>
  <c r="J177" i="14"/>
  <c r="J177" i="10"/>
  <c r="N312" i="10"/>
  <c r="N80" i="10"/>
  <c r="N80" i="14"/>
  <c r="J257" i="14"/>
  <c r="J257" i="10"/>
  <c r="N129" i="14"/>
  <c r="J26" i="14"/>
  <c r="N129" i="10"/>
  <c r="J26" i="10"/>
  <c r="N228" i="14"/>
  <c r="J90" i="14"/>
  <c r="N228" i="10"/>
  <c r="J90" i="10"/>
  <c r="N241" i="14"/>
  <c r="J154" i="14"/>
  <c r="N241" i="10"/>
  <c r="J154" i="10"/>
  <c r="N32" i="14"/>
  <c r="J218" i="14"/>
  <c r="N32" i="10"/>
  <c r="J218" i="10"/>
  <c r="J282" i="14"/>
  <c r="N302" i="14"/>
  <c r="N302" i="10"/>
  <c r="J282" i="10"/>
  <c r="N252" i="14"/>
  <c r="J11" i="14"/>
  <c r="N252" i="10"/>
  <c r="J11" i="10"/>
  <c r="N72" i="14"/>
  <c r="J75" i="14"/>
  <c r="N72" i="10"/>
  <c r="J75" i="10"/>
  <c r="J139" i="14"/>
  <c r="N226" i="14"/>
  <c r="N226" i="10"/>
  <c r="J139" i="10"/>
  <c r="N205" i="14"/>
  <c r="J203" i="14"/>
  <c r="N205" i="10"/>
  <c r="J203" i="10"/>
  <c r="N44" i="14"/>
  <c r="J267" i="14"/>
  <c r="N44" i="10"/>
  <c r="J267" i="10"/>
  <c r="J20" i="14"/>
  <c r="N286" i="10"/>
  <c r="N286" i="14"/>
  <c r="J20" i="10"/>
  <c r="N270" i="14"/>
  <c r="N270" i="10"/>
  <c r="J84" i="14"/>
  <c r="J84" i="10"/>
  <c r="N251" i="14"/>
  <c r="N251" i="10"/>
  <c r="J148" i="10"/>
  <c r="J148" i="14"/>
  <c r="N30" i="10"/>
  <c r="J212" i="10"/>
  <c r="N30" i="14"/>
  <c r="J212" i="14"/>
  <c r="N46" i="10"/>
  <c r="N46" i="14"/>
  <c r="J276" i="10"/>
  <c r="J276" i="14"/>
  <c r="N284" i="14"/>
  <c r="J141" i="14"/>
  <c r="N284" i="10"/>
  <c r="J141" i="10"/>
  <c r="N285" i="14"/>
  <c r="N285" i="10"/>
  <c r="J205" i="14"/>
  <c r="J205" i="10"/>
  <c r="N31" i="10"/>
  <c r="N31" i="14"/>
  <c r="J285" i="10"/>
  <c r="J285" i="14"/>
  <c r="N209" i="14"/>
  <c r="J54" i="14"/>
  <c r="J54" i="10"/>
  <c r="N209" i="10"/>
  <c r="J118" i="14"/>
  <c r="J118" i="10"/>
  <c r="N174" i="14"/>
  <c r="N174" i="10"/>
  <c r="J182" i="14"/>
  <c r="N319" i="10"/>
  <c r="J182" i="10"/>
  <c r="N319" i="14"/>
  <c r="J246" i="14"/>
  <c r="N86" i="14"/>
  <c r="N86" i="10"/>
  <c r="J246" i="10"/>
  <c r="N164" i="14"/>
  <c r="J318" i="10"/>
  <c r="J318" i="14"/>
  <c r="N164" i="10"/>
  <c r="N293" i="14"/>
  <c r="J63" i="14"/>
  <c r="N293" i="10"/>
  <c r="J63" i="10"/>
  <c r="N76" i="14"/>
  <c r="J191" i="14"/>
  <c r="N76" i="10"/>
  <c r="J191" i="10"/>
  <c r="N192" i="14"/>
  <c r="J6" i="14"/>
  <c r="N192" i="10"/>
  <c r="J6" i="10"/>
  <c r="J137" i="14"/>
  <c r="N29" i="10"/>
  <c r="J137" i="10"/>
  <c r="N29" i="14"/>
  <c r="N258" i="14"/>
  <c r="J178" i="14"/>
  <c r="N258" i="10"/>
  <c r="J178" i="10"/>
  <c r="J227" i="14"/>
  <c r="N243" i="10"/>
  <c r="J227" i="10"/>
  <c r="N243" i="14"/>
  <c r="N154" i="10"/>
  <c r="J245" i="10"/>
  <c r="N154" i="14"/>
  <c r="J245" i="14"/>
  <c r="N137" i="14"/>
  <c r="N137" i="10"/>
  <c r="J237" i="14"/>
  <c r="J237" i="10"/>
  <c r="N116" i="14"/>
  <c r="N116" i="10"/>
  <c r="J194" i="14"/>
  <c r="J194" i="10"/>
  <c r="J115" i="14"/>
  <c r="N41" i="10"/>
  <c r="N41" i="14"/>
  <c r="J115" i="10"/>
  <c r="N217" i="14"/>
  <c r="J60" i="14"/>
  <c r="N217" i="10"/>
  <c r="J60" i="10"/>
  <c r="N181" i="14"/>
  <c r="N181" i="10"/>
  <c r="J316" i="14"/>
  <c r="J316" i="10"/>
  <c r="N139" i="10"/>
  <c r="J261" i="14"/>
  <c r="N139" i="14"/>
  <c r="J261" i="10"/>
  <c r="N196" i="14"/>
  <c r="J286" i="10"/>
  <c r="J286" i="14"/>
  <c r="N196" i="10"/>
  <c r="J247" i="14"/>
  <c r="N77" i="14"/>
  <c r="J247" i="10"/>
  <c r="N77" i="10"/>
  <c r="J223" i="14"/>
  <c r="N200" i="14"/>
  <c r="N200" i="10"/>
  <c r="J223" i="10"/>
  <c r="N267" i="14"/>
  <c r="N267" i="10"/>
  <c r="J57" i="14"/>
  <c r="J57" i="10"/>
  <c r="N203" i="14"/>
  <c r="J121" i="14"/>
  <c r="N203" i="10"/>
  <c r="J121" i="10"/>
  <c r="N300" i="14"/>
  <c r="J185" i="14"/>
  <c r="J185" i="10"/>
  <c r="N300" i="10"/>
  <c r="N238" i="10"/>
  <c r="J265" i="14"/>
  <c r="N238" i="14"/>
  <c r="J265" i="10"/>
  <c r="N304" i="14"/>
  <c r="J34" i="14"/>
  <c r="N304" i="10"/>
  <c r="J34" i="10"/>
  <c r="N43" i="10"/>
  <c r="N43" i="14"/>
  <c r="J98" i="14"/>
  <c r="J98" i="10"/>
  <c r="N197" i="14"/>
  <c r="N197" i="10"/>
  <c r="J162" i="14"/>
  <c r="J162" i="10"/>
  <c r="N93" i="14"/>
  <c r="J226" i="14"/>
  <c r="J226" i="10"/>
  <c r="N93" i="10"/>
  <c r="N213" i="14"/>
  <c r="J290" i="14"/>
  <c r="N213" i="10"/>
  <c r="J290" i="10"/>
  <c r="N313" i="14"/>
  <c r="J19" i="14"/>
  <c r="N313" i="10"/>
  <c r="J19" i="10"/>
  <c r="J275" i="14"/>
  <c r="N99" i="14"/>
  <c r="J275" i="10"/>
  <c r="N99" i="10"/>
  <c r="J28" i="14"/>
  <c r="N318" i="10"/>
  <c r="N318" i="14"/>
  <c r="J28" i="10"/>
  <c r="N263" i="14"/>
  <c r="J92" i="14"/>
  <c r="J92" i="10"/>
  <c r="N263" i="10"/>
  <c r="J156" i="14"/>
  <c r="J156" i="10"/>
  <c r="N71" i="14"/>
  <c r="N71" i="10"/>
  <c r="N140" i="14"/>
  <c r="N140" i="10"/>
  <c r="J220" i="14"/>
  <c r="J220" i="10"/>
  <c r="N135" i="10"/>
  <c r="N135" i="14"/>
  <c r="J284" i="14"/>
  <c r="J284" i="10"/>
  <c r="N170" i="10"/>
  <c r="J149" i="14"/>
  <c r="N170" i="14"/>
  <c r="J149" i="10"/>
  <c r="N120" i="10"/>
  <c r="N120" i="14"/>
  <c r="J213" i="14"/>
  <c r="J213" i="10"/>
  <c r="N247" i="14"/>
  <c r="J62" i="14"/>
  <c r="N247" i="10"/>
  <c r="J62" i="10"/>
  <c r="N111" i="14"/>
  <c r="N111" i="10"/>
  <c r="J126" i="10"/>
  <c r="J126" i="14"/>
  <c r="N10" i="14"/>
  <c r="N10" i="10"/>
  <c r="J190" i="10"/>
  <c r="J190" i="14"/>
  <c r="N214" i="14"/>
  <c r="J254" i="10"/>
  <c r="J254" i="14"/>
  <c r="N214" i="10"/>
  <c r="N84" i="14"/>
  <c r="J7" i="14"/>
  <c r="N84" i="10"/>
  <c r="J7" i="10"/>
  <c r="J135" i="14"/>
  <c r="N65" i="14"/>
  <c r="N65" i="10"/>
  <c r="J135" i="10"/>
  <c r="N261" i="14"/>
  <c r="J163" i="14"/>
  <c r="N261" i="10"/>
  <c r="J163" i="10"/>
  <c r="N306" i="10"/>
  <c r="N306" i="14"/>
  <c r="J228" i="14"/>
  <c r="J228" i="10"/>
  <c r="N225" i="14"/>
  <c r="J231" i="14"/>
  <c r="J231" i="10"/>
  <c r="N225" i="10"/>
  <c r="N123" i="14"/>
  <c r="J65" i="14"/>
  <c r="J65" i="10"/>
  <c r="N123" i="10"/>
  <c r="J129" i="14"/>
  <c r="J129" i="10"/>
  <c r="N39" i="14"/>
  <c r="N39" i="10"/>
  <c r="N305" i="14"/>
  <c r="J193" i="14"/>
  <c r="J193" i="10"/>
  <c r="N305" i="10"/>
  <c r="N38" i="10"/>
  <c r="J273" i="14"/>
  <c r="N38" i="14"/>
  <c r="J273" i="10"/>
  <c r="N128" i="14"/>
  <c r="J42" i="14"/>
  <c r="N128" i="10"/>
  <c r="J42" i="10"/>
  <c r="N194" i="14"/>
  <c r="J106" i="14"/>
  <c r="J106" i="10"/>
  <c r="N194" i="10"/>
  <c r="N178" i="14"/>
  <c r="J170" i="14"/>
  <c r="J170" i="10"/>
  <c r="N178" i="10"/>
  <c r="N193" i="14"/>
  <c r="N193" i="10"/>
  <c r="J298" i="14"/>
  <c r="J298" i="10"/>
  <c r="N141" i="14"/>
  <c r="J27" i="14"/>
  <c r="N141" i="10"/>
  <c r="J27" i="10"/>
  <c r="J91" i="14"/>
  <c r="N147" i="10"/>
  <c r="J91" i="10"/>
  <c r="N147" i="14"/>
  <c r="J155" i="14"/>
  <c r="N114" i="14"/>
  <c r="N114" i="10"/>
  <c r="J155" i="10"/>
  <c r="N92" i="14"/>
  <c r="J219" i="14"/>
  <c r="N92" i="10"/>
  <c r="J219" i="10"/>
  <c r="J283" i="14"/>
  <c r="N310" i="14"/>
  <c r="N310" i="10"/>
  <c r="J283" i="10"/>
  <c r="N279" i="14"/>
  <c r="J36" i="14"/>
  <c r="N279" i="10"/>
  <c r="J36" i="10"/>
  <c r="N33" i="14"/>
  <c r="J100" i="14"/>
  <c r="J100" i="10"/>
  <c r="N33" i="10"/>
  <c r="N36" i="14"/>
  <c r="J164" i="14"/>
  <c r="J164" i="10"/>
  <c r="N36" i="10"/>
  <c r="N125" i="14"/>
  <c r="N125" i="10"/>
  <c r="J292" i="14"/>
  <c r="J292" i="10"/>
  <c r="N87" i="14"/>
  <c r="J29" i="14"/>
  <c r="N87" i="10"/>
  <c r="J29" i="10"/>
  <c r="N237" i="14"/>
  <c r="J93" i="14"/>
  <c r="N237" i="10"/>
  <c r="J93" i="10"/>
  <c r="N244" i="14"/>
  <c r="N244" i="10"/>
  <c r="J157" i="14"/>
  <c r="J157" i="10"/>
  <c r="N275" i="10"/>
  <c r="J221" i="10"/>
  <c r="N275" i="14"/>
  <c r="J221" i="14"/>
  <c r="J319" i="14"/>
  <c r="N210" i="14"/>
  <c r="N210" i="10"/>
  <c r="J319" i="10"/>
  <c r="N27" i="14"/>
  <c r="J70" i="14"/>
  <c r="N27" i="10"/>
  <c r="J70" i="10"/>
  <c r="J134" i="10"/>
  <c r="N259" i="10"/>
  <c r="N259" i="14"/>
  <c r="J134" i="14"/>
  <c r="N157" i="14"/>
  <c r="N157" i="10"/>
  <c r="J198" i="10"/>
  <c r="J198" i="14"/>
  <c r="N307" i="10"/>
  <c r="J262" i="10"/>
  <c r="J262" i="14"/>
  <c r="N307" i="14"/>
  <c r="J15" i="14"/>
  <c r="J15" i="10"/>
  <c r="N223" i="10"/>
  <c r="N223" i="14"/>
  <c r="N199" i="14"/>
  <c r="J79" i="14"/>
  <c r="N199" i="10"/>
  <c r="J79" i="10"/>
  <c r="N40" i="14"/>
  <c r="J143" i="14"/>
  <c r="N40" i="10"/>
  <c r="J143" i="10"/>
  <c r="N249" i="14"/>
  <c r="J207" i="14"/>
  <c r="N249" i="10"/>
  <c r="J207" i="10"/>
  <c r="J279" i="14"/>
  <c r="N9" i="14"/>
  <c r="J279" i="10"/>
  <c r="N9" i="10"/>
  <c r="J5" i="14"/>
  <c r="J5" i="10"/>
  <c r="N97" i="14"/>
  <c r="N97" i="10"/>
  <c r="B15" i="13"/>
  <c r="B14" i="13"/>
  <c r="U13" i="13" a="1"/>
  <c r="B17" i="13"/>
  <c r="B19" i="13"/>
  <c r="B18" i="13"/>
  <c r="Z18" i="13" l="1"/>
  <c r="Z16" i="13"/>
  <c r="Z24" i="13"/>
  <c r="Z32" i="13"/>
  <c r="Z17" i="13"/>
  <c r="Z25" i="13"/>
  <c r="AA25" i="13" s="1"/>
  <c r="Z33" i="13"/>
  <c r="AA33" i="13" s="1"/>
  <c r="Z26" i="13"/>
  <c r="Z34" i="13"/>
  <c r="Z19" i="13"/>
  <c r="Z27" i="13"/>
  <c r="Z13" i="13"/>
  <c r="AA13" i="13" s="1"/>
  <c r="Z20" i="13"/>
  <c r="AA20" i="13" s="1"/>
  <c r="Z28" i="13"/>
  <c r="AA28" i="13" s="1"/>
  <c r="Z21" i="13"/>
  <c r="Z29" i="13"/>
  <c r="Z14" i="13"/>
  <c r="Z22" i="13"/>
  <c r="Z30" i="13"/>
  <c r="Z15" i="13"/>
  <c r="Z23" i="13"/>
  <c r="AA23" i="13" s="1"/>
  <c r="Z31" i="13"/>
  <c r="AA31" i="13" s="1"/>
  <c r="B43" i="10"/>
  <c r="C43" i="10" s="1"/>
  <c r="B35" i="10"/>
  <c r="C35" i="10" s="1"/>
  <c r="B27" i="10"/>
  <c r="C27" i="10" s="1"/>
  <c r="B15" i="10"/>
  <c r="B41" i="10"/>
  <c r="C41" i="10" s="1"/>
  <c r="B33" i="10"/>
  <c r="C33" i="10" s="1"/>
  <c r="C25" i="10"/>
  <c r="B42" i="10"/>
  <c r="C42" i="10" s="1"/>
  <c r="B34" i="10"/>
  <c r="C34" i="10" s="1"/>
  <c r="B26" i="10"/>
  <c r="C26" i="10" s="1"/>
  <c r="B16" i="10"/>
  <c r="B40" i="10"/>
  <c r="C40" i="10" s="1"/>
  <c r="B24" i="10"/>
  <c r="B32" i="10"/>
  <c r="C32" i="10" s="1"/>
  <c r="B39" i="10"/>
  <c r="C39" i="10" s="1"/>
  <c r="B31" i="10"/>
  <c r="C31" i="10" s="1"/>
  <c r="B19" i="10"/>
  <c r="B38" i="10"/>
  <c r="C38" i="10" s="1"/>
  <c r="B18" i="10"/>
  <c r="B30" i="10"/>
  <c r="C30" i="10" s="1"/>
  <c r="B37" i="10"/>
  <c r="C37" i="10" s="1"/>
  <c r="B29" i="10"/>
  <c r="C29" i="10" s="1"/>
  <c r="B17" i="10"/>
  <c r="B36" i="10"/>
  <c r="C36" i="10" s="1"/>
  <c r="B28" i="10"/>
  <c r="C28" i="10" s="1"/>
  <c r="B14" i="10"/>
  <c r="B42" i="14"/>
  <c r="C42" i="14" s="1"/>
  <c r="B34" i="14"/>
  <c r="C34" i="14" s="1"/>
  <c r="B26" i="14"/>
  <c r="C26" i="14" s="1"/>
  <c r="B14" i="14"/>
  <c r="B40" i="14"/>
  <c r="C40" i="14" s="1"/>
  <c r="B32" i="14"/>
  <c r="C32" i="14" s="1"/>
  <c r="B24" i="14"/>
  <c r="C24" i="14" s="1"/>
  <c r="B39" i="14"/>
  <c r="C39" i="14" s="1"/>
  <c r="B31" i="14"/>
  <c r="C31" i="14" s="1"/>
  <c r="B19" i="14"/>
  <c r="B41" i="14"/>
  <c r="C41" i="14" s="1"/>
  <c r="B33" i="14"/>
  <c r="C33" i="14" s="1"/>
  <c r="B25" i="14"/>
  <c r="C25" i="14" s="1"/>
  <c r="B13" i="14"/>
  <c r="B38" i="14"/>
  <c r="C38" i="14" s="1"/>
  <c r="B30" i="14"/>
  <c r="C30" i="14" s="1"/>
  <c r="B18" i="14"/>
  <c r="B37" i="14"/>
  <c r="C37" i="14" s="1"/>
  <c r="B29" i="14"/>
  <c r="C29" i="14" s="1"/>
  <c r="B17" i="14"/>
  <c r="B36" i="14"/>
  <c r="C36" i="14" s="1"/>
  <c r="B28" i="14"/>
  <c r="C28" i="14" s="1"/>
  <c r="B16" i="14"/>
  <c r="B43" i="14"/>
  <c r="C43" i="14" s="1"/>
  <c r="B35" i="14"/>
  <c r="C35" i="14" s="1"/>
  <c r="B27" i="14"/>
  <c r="C27" i="14" s="1"/>
  <c r="B15" i="14"/>
  <c r="U13" i="13"/>
  <c r="U16" i="13"/>
  <c r="U14" i="13"/>
  <c r="U19" i="13"/>
  <c r="U26" i="13"/>
  <c r="U33" i="13"/>
  <c r="U23" i="13"/>
  <c r="U24" i="13"/>
  <c r="U28" i="13"/>
  <c r="U20" i="13"/>
  <c r="U27" i="13"/>
  <c r="U18" i="13"/>
  <c r="U15" i="13"/>
  <c r="U29" i="13"/>
  <c r="U21" i="13"/>
  <c r="U25" i="13"/>
  <c r="U31" i="13"/>
  <c r="U34" i="13"/>
  <c r="U17" i="13"/>
  <c r="U32" i="13"/>
  <c r="U22" i="13"/>
  <c r="U30" i="13"/>
  <c r="I5" i="13"/>
  <c r="AA18" i="13" l="1"/>
  <c r="AB13" i="13"/>
  <c r="AA21" i="13"/>
  <c r="B13" i="13"/>
  <c r="V30" i="13" s="1"/>
  <c r="M97" i="14"/>
  <c r="M97" i="10"/>
  <c r="I5" i="14"/>
  <c r="I5" i="10"/>
  <c r="B13" i="10" s="1"/>
  <c r="AA29" i="13"/>
  <c r="AA26" i="13"/>
  <c r="AA15" i="13"/>
  <c r="AA17" i="13"/>
  <c r="R11" i="14"/>
  <c r="AA30" i="13"/>
  <c r="AA27" i="13"/>
  <c r="AA32" i="13"/>
  <c r="AA22" i="13"/>
  <c r="AA19" i="13"/>
  <c r="AA24" i="13"/>
  <c r="AA14" i="13"/>
  <c r="AB14" i="13" s="1"/>
  <c r="AA34" i="13"/>
  <c r="AA16" i="13"/>
  <c r="V21" i="13"/>
  <c r="V24" i="13"/>
  <c r="V33" i="13"/>
  <c r="V19" i="13"/>
  <c r="V14" i="13"/>
  <c r="V25" i="13"/>
  <c r="V29" i="13"/>
  <c r="V22" i="13"/>
  <c r="V18" i="13"/>
  <c r="V23" i="13"/>
  <c r="V15" i="13"/>
  <c r="V32" i="13"/>
  <c r="V17" i="13"/>
  <c r="V31" i="13"/>
  <c r="AB18" i="13" l="1"/>
  <c r="AB23" i="13"/>
  <c r="AB19" i="13"/>
  <c r="AB30" i="13"/>
  <c r="AB34" i="13"/>
  <c r="AB15" i="13"/>
  <c r="AB26" i="13"/>
  <c r="AB31" i="13"/>
  <c r="AB29" i="13"/>
  <c r="AB17" i="13"/>
  <c r="AB22" i="13"/>
  <c r="AB20" i="13"/>
  <c r="AB33" i="13"/>
  <c r="AB25" i="13"/>
  <c r="AB28" i="13"/>
  <c r="AB24" i="13"/>
  <c r="AB16" i="13"/>
  <c r="AB21" i="13"/>
  <c r="AB27" i="13"/>
  <c r="AB32" i="13"/>
  <c r="V16" i="13"/>
  <c r="W31" i="13" s="1"/>
  <c r="V27" i="13"/>
  <c r="V13" i="13"/>
  <c r="V20" i="13"/>
  <c r="V26" i="13"/>
  <c r="W33" i="13" s="1"/>
  <c r="V28" i="13"/>
  <c r="W30" i="13" s="1"/>
  <c r="V34" i="13"/>
  <c r="W34" i="13" s="1"/>
  <c r="W14" i="13"/>
  <c r="W16" i="13"/>
  <c r="W13" i="13"/>
  <c r="W21" i="13"/>
  <c r="W26" i="13"/>
  <c r="W19" i="13"/>
  <c r="W32" i="13"/>
  <c r="W17" i="13"/>
  <c r="W24" i="13"/>
  <c r="W20" i="13"/>
  <c r="W29" i="13"/>
  <c r="W28" i="13"/>
  <c r="W23" i="13"/>
  <c r="W27" i="13"/>
  <c r="W15" i="13"/>
  <c r="W25" i="13"/>
  <c r="W18" i="13"/>
  <c r="W22" i="13" l="1"/>
  <c r="R1003" i="14"/>
  <c r="R995" i="14"/>
  <c r="R987" i="14"/>
  <c r="R979" i="14"/>
  <c r="R971" i="14"/>
  <c r="R963" i="14"/>
  <c r="R955" i="14"/>
  <c r="R947" i="14"/>
  <c r="R939" i="14"/>
  <c r="R931" i="14"/>
  <c r="R923" i="14"/>
  <c r="R915" i="14"/>
  <c r="R907" i="14"/>
  <c r="R899" i="14"/>
  <c r="R891" i="14"/>
  <c r="R883" i="14"/>
  <c r="R875" i="14"/>
  <c r="R867" i="14"/>
  <c r="R859" i="14"/>
  <c r="R851" i="14"/>
  <c r="R843" i="14"/>
  <c r="R835" i="14"/>
  <c r="R827" i="14"/>
  <c r="R819" i="14"/>
  <c r="R811" i="14"/>
  <c r="R803" i="14"/>
  <c r="R795" i="14"/>
  <c r="R787" i="14"/>
  <c r="R779" i="14"/>
  <c r="R771" i="14"/>
  <c r="R763" i="14"/>
  <c r="R755" i="14"/>
  <c r="R747" i="14"/>
  <c r="R739" i="14"/>
  <c r="R731" i="14"/>
  <c r="R723" i="14"/>
  <c r="R715" i="14"/>
  <c r="R707" i="14"/>
  <c r="R699" i="14"/>
  <c r="R691" i="14"/>
  <c r="R683" i="14"/>
  <c r="R675" i="14"/>
  <c r="R667" i="14"/>
  <c r="R659" i="14"/>
  <c r="R651" i="14"/>
  <c r="R643" i="14"/>
  <c r="R635" i="14"/>
  <c r="R627" i="14"/>
  <c r="R619" i="14"/>
  <c r="R611" i="14"/>
  <c r="R603" i="14"/>
  <c r="R595" i="14"/>
  <c r="R587" i="14"/>
  <c r="R579" i="14"/>
  <c r="R571" i="14"/>
  <c r="R563" i="14"/>
  <c r="R555" i="14"/>
  <c r="R547" i="14"/>
  <c r="R539" i="14"/>
  <c r="R531" i="14"/>
  <c r="R523" i="14"/>
  <c r="R515" i="14"/>
  <c r="R507" i="14"/>
  <c r="R499" i="14"/>
  <c r="R491" i="14"/>
  <c r="R483" i="14"/>
  <c r="R475" i="14"/>
  <c r="R467" i="14"/>
  <c r="R459" i="14"/>
  <c r="R451" i="14"/>
  <c r="R443" i="14"/>
  <c r="R435" i="14"/>
  <c r="R427" i="14"/>
  <c r="R419" i="14"/>
  <c r="R411" i="14"/>
  <c r="R403" i="14"/>
  <c r="R395" i="14"/>
  <c r="R387" i="14"/>
  <c r="R379" i="14"/>
  <c r="R371" i="14"/>
  <c r="R363" i="14"/>
  <c r="R355" i="14"/>
  <c r="R347" i="14"/>
  <c r="R339" i="14"/>
  <c r="R331" i="14"/>
  <c r="R1002" i="14"/>
  <c r="R994" i="14"/>
  <c r="R986" i="14"/>
  <c r="R978" i="14"/>
  <c r="R970" i="14"/>
  <c r="R962" i="14"/>
  <c r="R954" i="14"/>
  <c r="R946" i="14"/>
  <c r="R938" i="14"/>
  <c r="R930" i="14"/>
  <c r="R922" i="14"/>
  <c r="R914" i="14"/>
  <c r="R906" i="14"/>
  <c r="R898" i="14"/>
  <c r="R890" i="14"/>
  <c r="R882" i="14"/>
  <c r="R874" i="14"/>
  <c r="R866" i="14"/>
  <c r="R858" i="14"/>
  <c r="R850" i="14"/>
  <c r="R842" i="14"/>
  <c r="R834" i="14"/>
  <c r="R826" i="14"/>
  <c r="R818" i="14"/>
  <c r="R810" i="14"/>
  <c r="R802" i="14"/>
  <c r="R794" i="14"/>
  <c r="R786" i="14"/>
  <c r="R778" i="14"/>
  <c r="R770" i="14"/>
  <c r="R762" i="14"/>
  <c r="R754" i="14"/>
  <c r="R746" i="14"/>
  <c r="R738" i="14"/>
  <c r="R730" i="14"/>
  <c r="R722" i="14"/>
  <c r="R714" i="14"/>
  <c r="R706" i="14"/>
  <c r="R698" i="14"/>
  <c r="R690" i="14"/>
  <c r="R682" i="14"/>
  <c r="R674" i="14"/>
  <c r="R666" i="14"/>
  <c r="R658" i="14"/>
  <c r="R650" i="14"/>
  <c r="R642" i="14"/>
  <c r="R634" i="14"/>
  <c r="R626" i="14"/>
  <c r="R618" i="14"/>
  <c r="R610" i="14"/>
  <c r="R602" i="14"/>
  <c r="R594" i="14"/>
  <c r="R586" i="14"/>
  <c r="R578" i="14"/>
  <c r="R570" i="14"/>
  <c r="R562" i="14"/>
  <c r="R554" i="14"/>
  <c r="R546" i="14"/>
  <c r="R538" i="14"/>
  <c r="R530" i="14"/>
  <c r="R522" i="14"/>
  <c r="R514" i="14"/>
  <c r="R506" i="14"/>
  <c r="R498" i="14"/>
  <c r="R490" i="14"/>
  <c r="R482" i="14"/>
  <c r="R474" i="14"/>
  <c r="R466" i="14"/>
  <c r="R458" i="14"/>
  <c r="R450" i="14"/>
  <c r="R442" i="14"/>
  <c r="R434" i="14"/>
  <c r="R426" i="14"/>
  <c r="R418" i="14"/>
  <c r="R410" i="14"/>
  <c r="R402" i="14"/>
  <c r="R394" i="14"/>
  <c r="R386" i="14"/>
  <c r="R378" i="14"/>
  <c r="R370" i="14"/>
  <c r="R362" i="14"/>
  <c r="R354" i="14"/>
  <c r="R346" i="14"/>
  <c r="R338" i="14"/>
  <c r="R330" i="14"/>
  <c r="R1001" i="14"/>
  <c r="R993" i="14"/>
  <c r="R985" i="14"/>
  <c r="R977" i="14"/>
  <c r="R969" i="14"/>
  <c r="R961" i="14"/>
  <c r="R953" i="14"/>
  <c r="R945" i="14"/>
  <c r="R937" i="14"/>
  <c r="R929" i="14"/>
  <c r="R921" i="14"/>
  <c r="R913" i="14"/>
  <c r="R905" i="14"/>
  <c r="R897" i="14"/>
  <c r="R889" i="14"/>
  <c r="R881" i="14"/>
  <c r="R873" i="14"/>
  <c r="R865" i="14"/>
  <c r="R857" i="14"/>
  <c r="R849" i="14"/>
  <c r="R841" i="14"/>
  <c r="R833" i="14"/>
  <c r="R825" i="14"/>
  <c r="R817" i="14"/>
  <c r="R809" i="14"/>
  <c r="R801" i="14"/>
  <c r="R793" i="14"/>
  <c r="R785" i="14"/>
  <c r="R777" i="14"/>
  <c r="R769" i="14"/>
  <c r="R761" i="14"/>
  <c r="R753" i="14"/>
  <c r="R745" i="14"/>
  <c r="R737" i="14"/>
  <c r="R729" i="14"/>
  <c r="R721" i="14"/>
  <c r="R713" i="14"/>
  <c r="R705" i="14"/>
  <c r="R697" i="14"/>
  <c r="R689" i="14"/>
  <c r="R681" i="14"/>
  <c r="R673" i="14"/>
  <c r="R665" i="14"/>
  <c r="R657" i="14"/>
  <c r="R649" i="14"/>
  <c r="R641" i="14"/>
  <c r="R633" i="14"/>
  <c r="R625" i="14"/>
  <c r="R617" i="14"/>
  <c r="R609" i="14"/>
  <c r="R601" i="14"/>
  <c r="R593" i="14"/>
  <c r="R585" i="14"/>
  <c r="R577" i="14"/>
  <c r="R569" i="14"/>
  <c r="R561" i="14"/>
  <c r="R553" i="14"/>
  <c r="R545" i="14"/>
  <c r="R537" i="14"/>
  <c r="R529" i="14"/>
  <c r="R521" i="14"/>
  <c r="R513" i="14"/>
  <c r="R505" i="14"/>
  <c r="R497" i="14"/>
  <c r="R489" i="14"/>
  <c r="R481" i="14"/>
  <c r="R473" i="14"/>
  <c r="R465" i="14"/>
  <c r="R457" i="14"/>
  <c r="R449" i="14"/>
  <c r="R441" i="14"/>
  <c r="R433" i="14"/>
  <c r="R425" i="14"/>
  <c r="R417" i="14"/>
  <c r="R409" i="14"/>
  <c r="R401" i="14"/>
  <c r="R393" i="14"/>
  <c r="R385" i="14"/>
  <c r="R1000" i="14"/>
  <c r="R992" i="14"/>
  <c r="R984" i="14"/>
  <c r="R976" i="14"/>
  <c r="R968" i="14"/>
  <c r="R960" i="14"/>
  <c r="R952" i="14"/>
  <c r="R944" i="14"/>
  <c r="R936" i="14"/>
  <c r="R928" i="14"/>
  <c r="R920" i="14"/>
  <c r="R912" i="14"/>
  <c r="R904" i="14"/>
  <c r="R896" i="14"/>
  <c r="R888" i="14"/>
  <c r="R880" i="14"/>
  <c r="R872" i="14"/>
  <c r="R864" i="14"/>
  <c r="R856" i="14"/>
  <c r="R848" i="14"/>
  <c r="R840" i="14"/>
  <c r="R832" i="14"/>
  <c r="R824" i="14"/>
  <c r="R816" i="14"/>
  <c r="R808" i="14"/>
  <c r="R800" i="14"/>
  <c r="R792" i="14"/>
  <c r="R784" i="14"/>
  <c r="R776" i="14"/>
  <c r="R768" i="14"/>
  <c r="R760" i="14"/>
  <c r="R752" i="14"/>
  <c r="R744" i="14"/>
  <c r="R736" i="14"/>
  <c r="R728" i="14"/>
  <c r="R720" i="14"/>
  <c r="R712" i="14"/>
  <c r="R704" i="14"/>
  <c r="R696" i="14"/>
  <c r="R688" i="14"/>
  <c r="R680" i="14"/>
  <c r="R672" i="14"/>
  <c r="R664" i="14"/>
  <c r="R656" i="14"/>
  <c r="R648" i="14"/>
  <c r="R640" i="14"/>
  <c r="R632" i="14"/>
  <c r="R624" i="14"/>
  <c r="R616" i="14"/>
  <c r="R608" i="14"/>
  <c r="R600" i="14"/>
  <c r="R592" i="14"/>
  <c r="R584" i="14"/>
  <c r="R576" i="14"/>
  <c r="R568" i="14"/>
  <c r="R560" i="14"/>
  <c r="R552" i="14"/>
  <c r="R544" i="14"/>
  <c r="R536" i="14"/>
  <c r="R528" i="14"/>
  <c r="R520" i="14"/>
  <c r="R512" i="14"/>
  <c r="R504" i="14"/>
  <c r="R496" i="14"/>
  <c r="R488" i="14"/>
  <c r="R480" i="14"/>
  <c r="R472" i="14"/>
  <c r="R464" i="14"/>
  <c r="R456" i="14"/>
  <c r="R448" i="14"/>
  <c r="R440" i="14"/>
  <c r="R432" i="14"/>
  <c r="R424" i="14"/>
  <c r="R416" i="14"/>
  <c r="R408" i="14"/>
  <c r="R400" i="14"/>
  <c r="R392" i="14"/>
  <c r="R384" i="14"/>
  <c r="R376" i="14"/>
  <c r="R368" i="14"/>
  <c r="R360" i="14"/>
  <c r="R352" i="14"/>
  <c r="R344" i="14"/>
  <c r="R336" i="14"/>
  <c r="R999" i="14"/>
  <c r="R991" i="14"/>
  <c r="R983" i="14"/>
  <c r="R975" i="14"/>
  <c r="R967" i="14"/>
  <c r="R959" i="14"/>
  <c r="R951" i="14"/>
  <c r="R943" i="14"/>
  <c r="R935" i="14"/>
  <c r="R927" i="14"/>
  <c r="R919" i="14"/>
  <c r="R911" i="14"/>
  <c r="R903" i="14"/>
  <c r="R895" i="14"/>
  <c r="R887" i="14"/>
  <c r="R879" i="14"/>
  <c r="R871" i="14"/>
  <c r="R863" i="14"/>
  <c r="R855" i="14"/>
  <c r="R847" i="14"/>
  <c r="R839" i="14"/>
  <c r="R831" i="14"/>
  <c r="R823" i="14"/>
  <c r="R815" i="14"/>
  <c r="R807" i="14"/>
  <c r="R799" i="14"/>
  <c r="R791" i="14"/>
  <c r="R783" i="14"/>
  <c r="R775" i="14"/>
  <c r="R767" i="14"/>
  <c r="R759" i="14"/>
  <c r="R751" i="14"/>
  <c r="R743" i="14"/>
  <c r="R735" i="14"/>
  <c r="R727" i="14"/>
  <c r="R719" i="14"/>
  <c r="R711" i="14"/>
  <c r="R703" i="14"/>
  <c r="R695" i="14"/>
  <c r="R687" i="14"/>
  <c r="R679" i="14"/>
  <c r="R671" i="14"/>
  <c r="R663" i="14"/>
  <c r="R655" i="14"/>
  <c r="R647" i="14"/>
  <c r="R639" i="14"/>
  <c r="R631" i="14"/>
  <c r="R623" i="14"/>
  <c r="R615" i="14"/>
  <c r="R607" i="14"/>
  <c r="R599" i="14"/>
  <c r="R591" i="14"/>
  <c r="R583" i="14"/>
  <c r="R998" i="14"/>
  <c r="R990" i="14"/>
  <c r="R982" i="14"/>
  <c r="R974" i="14"/>
  <c r="R966" i="14"/>
  <c r="R958" i="14"/>
  <c r="R950" i="14"/>
  <c r="R942" i="14"/>
  <c r="R934" i="14"/>
  <c r="R926" i="14"/>
  <c r="R918" i="14"/>
  <c r="R910" i="14"/>
  <c r="R902" i="14"/>
  <c r="R894" i="14"/>
  <c r="R886" i="14"/>
  <c r="R878" i="14"/>
  <c r="R870" i="14"/>
  <c r="R862" i="14"/>
  <c r="R854" i="14"/>
  <c r="R846" i="14"/>
  <c r="R838" i="14"/>
  <c r="R830" i="14"/>
  <c r="R822" i="14"/>
  <c r="R814" i="14"/>
  <c r="R806" i="14"/>
  <c r="R798" i="14"/>
  <c r="R790" i="14"/>
  <c r="R782" i="14"/>
  <c r="R774" i="14"/>
  <c r="R766" i="14"/>
  <c r="R758" i="14"/>
  <c r="R750" i="14"/>
  <c r="R742" i="14"/>
  <c r="R734" i="14"/>
  <c r="R726" i="14"/>
  <c r="R718" i="14"/>
  <c r="R710" i="14"/>
  <c r="R702" i="14"/>
  <c r="R694" i="14"/>
  <c r="R686" i="14"/>
  <c r="R678" i="14"/>
  <c r="R670" i="14"/>
  <c r="R662" i="14"/>
  <c r="R654" i="14"/>
  <c r="R646" i="14"/>
  <c r="R638" i="14"/>
  <c r="R630" i="14"/>
  <c r="R622" i="14"/>
  <c r="R614" i="14"/>
  <c r="R606" i="14"/>
  <c r="R598" i="14"/>
  <c r="R590" i="14"/>
  <c r="R582" i="14"/>
  <c r="R574" i="14"/>
  <c r="R566" i="14"/>
  <c r="R558" i="14"/>
  <c r="R550" i="14"/>
  <c r="R542" i="14"/>
  <c r="R534" i="14"/>
  <c r="R526" i="14"/>
  <c r="R518" i="14"/>
  <c r="R510" i="14"/>
  <c r="R502" i="14"/>
  <c r="R494" i="14"/>
  <c r="R486" i="14"/>
  <c r="R478" i="14"/>
  <c r="R470" i="14"/>
  <c r="R462" i="14"/>
  <c r="R454" i="14"/>
  <c r="R446" i="14"/>
  <c r="R438" i="14"/>
  <c r="R430" i="14"/>
  <c r="R422" i="14"/>
  <c r="R414" i="14"/>
  <c r="R406" i="14"/>
  <c r="R398" i="14"/>
  <c r="R390" i="14"/>
  <c r="R382" i="14"/>
  <c r="R374" i="14"/>
  <c r="R366" i="14"/>
  <c r="R358" i="14"/>
  <c r="R350" i="14"/>
  <c r="R342" i="14"/>
  <c r="R334" i="14"/>
  <c r="R326" i="14"/>
  <c r="R997" i="14"/>
  <c r="R965" i="14"/>
  <c r="R933" i="14"/>
  <c r="R901" i="14"/>
  <c r="R869" i="14"/>
  <c r="R837" i="14"/>
  <c r="R805" i="14"/>
  <c r="R773" i="14"/>
  <c r="R741" i="14"/>
  <c r="R709" i="14"/>
  <c r="R677" i="14"/>
  <c r="R645" i="14"/>
  <c r="R613" i="14"/>
  <c r="R581" i="14"/>
  <c r="R559" i="14"/>
  <c r="R540" i="14"/>
  <c r="R517" i="14"/>
  <c r="R495" i="14"/>
  <c r="R476" i="14"/>
  <c r="R453" i="14"/>
  <c r="R431" i="14"/>
  <c r="R412" i="14"/>
  <c r="R389" i="14"/>
  <c r="R372" i="14"/>
  <c r="R356" i="14"/>
  <c r="R340" i="14"/>
  <c r="R325" i="14"/>
  <c r="R317" i="14"/>
  <c r="R309" i="14"/>
  <c r="R301" i="14"/>
  <c r="R293" i="14"/>
  <c r="R285" i="14"/>
  <c r="R277" i="14"/>
  <c r="R269" i="14"/>
  <c r="R261" i="14"/>
  <c r="R253" i="14"/>
  <c r="R245" i="14"/>
  <c r="R237" i="14"/>
  <c r="R229" i="14"/>
  <c r="R221" i="14"/>
  <c r="R213" i="14"/>
  <c r="R205" i="14"/>
  <c r="R197" i="14"/>
  <c r="R189" i="14"/>
  <c r="R181" i="14"/>
  <c r="R173" i="14"/>
  <c r="R165" i="14"/>
  <c r="R157" i="14"/>
  <c r="R149" i="14"/>
  <c r="R141" i="14"/>
  <c r="R133" i="14"/>
  <c r="R125" i="14"/>
  <c r="R117" i="14"/>
  <c r="R109" i="14"/>
  <c r="R101" i="14"/>
  <c r="R93" i="14"/>
  <c r="R85" i="14"/>
  <c r="R77" i="14"/>
  <c r="R69" i="14"/>
  <c r="R61" i="14"/>
  <c r="R53" i="14"/>
  <c r="R45" i="14"/>
  <c r="R37" i="14"/>
  <c r="R29" i="14"/>
  <c r="R21" i="14"/>
  <c r="R13" i="14"/>
  <c r="R5" i="14"/>
  <c r="R996" i="14"/>
  <c r="R964" i="14"/>
  <c r="R932" i="14"/>
  <c r="R900" i="14"/>
  <c r="R868" i="14"/>
  <c r="R836" i="14"/>
  <c r="R804" i="14"/>
  <c r="R772" i="14"/>
  <c r="R740" i="14"/>
  <c r="R708" i="14"/>
  <c r="R676" i="14"/>
  <c r="R644" i="14"/>
  <c r="R612" i="14"/>
  <c r="R580" i="14"/>
  <c r="R557" i="14"/>
  <c r="R535" i="14"/>
  <c r="R516" i="14"/>
  <c r="R493" i="14"/>
  <c r="R471" i="14"/>
  <c r="R452" i="14"/>
  <c r="R429" i="14"/>
  <c r="R407" i="14"/>
  <c r="R388" i="14"/>
  <c r="R369" i="14"/>
  <c r="R353" i="14"/>
  <c r="R337" i="14"/>
  <c r="R324" i="14"/>
  <c r="R316" i="14"/>
  <c r="R308" i="14"/>
  <c r="R300" i="14"/>
  <c r="R292" i="14"/>
  <c r="R284" i="14"/>
  <c r="R276" i="14"/>
  <c r="R268" i="14"/>
  <c r="R260" i="14"/>
  <c r="R252" i="14"/>
  <c r="R244" i="14"/>
  <c r="R236" i="14"/>
  <c r="R228" i="14"/>
  <c r="R220" i="14"/>
  <c r="R212" i="14"/>
  <c r="R204" i="14"/>
  <c r="R196" i="14"/>
  <c r="R188" i="14"/>
  <c r="R180" i="14"/>
  <c r="R172" i="14"/>
  <c r="R164" i="14"/>
  <c r="R156" i="14"/>
  <c r="R148" i="14"/>
  <c r="R140" i="14"/>
  <c r="R132" i="14"/>
  <c r="R124" i="14"/>
  <c r="R116" i="14"/>
  <c r="R108" i="14"/>
  <c r="R100" i="14"/>
  <c r="R92" i="14"/>
  <c r="R84" i="14"/>
  <c r="R76" i="14"/>
  <c r="R68" i="14"/>
  <c r="R60" i="14"/>
  <c r="R52" i="14"/>
  <c r="R44" i="14"/>
  <c r="R36" i="14"/>
  <c r="R28" i="14"/>
  <c r="R20" i="14"/>
  <c r="R12" i="14"/>
  <c r="R4" i="14"/>
  <c r="R989" i="14"/>
  <c r="R957" i="14"/>
  <c r="R925" i="14"/>
  <c r="R893" i="14"/>
  <c r="R861" i="14"/>
  <c r="R829" i="14"/>
  <c r="R797" i="14"/>
  <c r="R765" i="14"/>
  <c r="R733" i="14"/>
  <c r="R701" i="14"/>
  <c r="R669" i="14"/>
  <c r="R637" i="14"/>
  <c r="R605" i="14"/>
  <c r="R575" i="14"/>
  <c r="R556" i="14"/>
  <c r="R533" i="14"/>
  <c r="R511" i="14"/>
  <c r="R492" i="14"/>
  <c r="R469" i="14"/>
  <c r="R447" i="14"/>
  <c r="R428" i="14"/>
  <c r="R405" i="14"/>
  <c r="R383" i="14"/>
  <c r="R367" i="14"/>
  <c r="R351" i="14"/>
  <c r="R335" i="14"/>
  <c r="R323" i="14"/>
  <c r="R315" i="14"/>
  <c r="R307" i="14"/>
  <c r="R299" i="14"/>
  <c r="R291" i="14"/>
  <c r="R283" i="14"/>
  <c r="R275" i="14"/>
  <c r="R267" i="14"/>
  <c r="R259" i="14"/>
  <c r="R251" i="14"/>
  <c r="R243" i="14"/>
  <c r="R235" i="14"/>
  <c r="R227" i="14"/>
  <c r="R219" i="14"/>
  <c r="R211" i="14"/>
  <c r="R203" i="14"/>
  <c r="R195" i="14"/>
  <c r="R187" i="14"/>
  <c r="R179" i="14"/>
  <c r="R171" i="14"/>
  <c r="R163" i="14"/>
  <c r="R155" i="14"/>
  <c r="R147" i="14"/>
  <c r="R139" i="14"/>
  <c r="R131" i="14"/>
  <c r="R123" i="14"/>
  <c r="R115" i="14"/>
  <c r="R107" i="14"/>
  <c r="R99" i="14"/>
  <c r="R91" i="14"/>
  <c r="R83" i="14"/>
  <c r="R75" i="14"/>
  <c r="R67" i="14"/>
  <c r="R59" i="14"/>
  <c r="R51" i="14"/>
  <c r="R43" i="14"/>
  <c r="R35" i="14"/>
  <c r="R27" i="14"/>
  <c r="R19" i="14"/>
  <c r="R988" i="14"/>
  <c r="R956" i="14"/>
  <c r="R924" i="14"/>
  <c r="R892" i="14"/>
  <c r="R860" i="14"/>
  <c r="R828" i="14"/>
  <c r="R796" i="14"/>
  <c r="R764" i="14"/>
  <c r="R732" i="14"/>
  <c r="R700" i="14"/>
  <c r="R668" i="14"/>
  <c r="R636" i="14"/>
  <c r="R604" i="14"/>
  <c r="R573" i="14"/>
  <c r="R551" i="14"/>
  <c r="R532" i="14"/>
  <c r="R509" i="14"/>
  <c r="R487" i="14"/>
  <c r="R468" i="14"/>
  <c r="R445" i="14"/>
  <c r="R423" i="14"/>
  <c r="R404" i="14"/>
  <c r="R381" i="14"/>
  <c r="R365" i="14"/>
  <c r="R349" i="14"/>
  <c r="R333" i="14"/>
  <c r="R322" i="14"/>
  <c r="R314" i="14"/>
  <c r="R306" i="14"/>
  <c r="R298" i="14"/>
  <c r="R290" i="14"/>
  <c r="R282" i="14"/>
  <c r="R274" i="14"/>
  <c r="R266" i="14"/>
  <c r="R258" i="14"/>
  <c r="R250" i="14"/>
  <c r="R242" i="14"/>
  <c r="R234" i="14"/>
  <c r="R226" i="14"/>
  <c r="R218" i="14"/>
  <c r="R210" i="14"/>
  <c r="R202" i="14"/>
  <c r="R194" i="14"/>
  <c r="R186" i="14"/>
  <c r="R178" i="14"/>
  <c r="R170" i="14"/>
  <c r="R162" i="14"/>
  <c r="R154" i="14"/>
  <c r="R146" i="14"/>
  <c r="R138" i="14"/>
  <c r="R130" i="14"/>
  <c r="R122" i="14"/>
  <c r="R114" i="14"/>
  <c r="R106" i="14"/>
  <c r="R98" i="14"/>
  <c r="R90" i="14"/>
  <c r="R82" i="14"/>
  <c r="R74" i="14"/>
  <c r="R66" i="14"/>
  <c r="R58" i="14"/>
  <c r="R50" i="14"/>
  <c r="R42" i="14"/>
  <c r="R34" i="14"/>
  <c r="R26" i="14"/>
  <c r="R18" i="14"/>
  <c r="R10" i="14"/>
  <c r="R981" i="14"/>
  <c r="R949" i="14"/>
  <c r="R917" i="14"/>
  <c r="R885" i="14"/>
  <c r="R853" i="14"/>
  <c r="R821" i="14"/>
  <c r="R789" i="14"/>
  <c r="R757" i="14"/>
  <c r="R725" i="14"/>
  <c r="R693" i="14"/>
  <c r="R661" i="14"/>
  <c r="R629" i="14"/>
  <c r="R597" i="14"/>
  <c r="R572" i="14"/>
  <c r="R549" i="14"/>
  <c r="R527" i="14"/>
  <c r="R508" i="14"/>
  <c r="R485" i="14"/>
  <c r="R463" i="14"/>
  <c r="R444" i="14"/>
  <c r="R421" i="14"/>
  <c r="R399" i="14"/>
  <c r="R380" i="14"/>
  <c r="R364" i="14"/>
  <c r="R348" i="14"/>
  <c r="R332" i="14"/>
  <c r="R321" i="14"/>
  <c r="R313" i="14"/>
  <c r="R305" i="14"/>
  <c r="R297" i="14"/>
  <c r="R289" i="14"/>
  <c r="R281" i="14"/>
  <c r="R273" i="14"/>
  <c r="R265" i="14"/>
  <c r="R257" i="14"/>
  <c r="R249" i="14"/>
  <c r="R241" i="14"/>
  <c r="R233" i="14"/>
  <c r="R225" i="14"/>
  <c r="R217" i="14"/>
  <c r="R209" i="14"/>
  <c r="R201" i="14"/>
  <c r="R193" i="14"/>
  <c r="R185" i="14"/>
  <c r="R177" i="14"/>
  <c r="R169" i="14"/>
  <c r="R161" i="14"/>
  <c r="R153" i="14"/>
  <c r="R145" i="14"/>
  <c r="R137" i="14"/>
  <c r="R129" i="14"/>
  <c r="R121" i="14"/>
  <c r="R113" i="14"/>
  <c r="R105" i="14"/>
  <c r="R97" i="14"/>
  <c r="R89" i="14"/>
  <c r="R81" i="14"/>
  <c r="R73" i="14"/>
  <c r="R65" i="14"/>
  <c r="R57" i="14"/>
  <c r="R49" i="14"/>
  <c r="R41" i="14"/>
  <c r="R33" i="14"/>
  <c r="R25" i="14"/>
  <c r="R17" i="14"/>
  <c r="R9" i="14"/>
  <c r="R980" i="14"/>
  <c r="R948" i="14"/>
  <c r="R916" i="14"/>
  <c r="R884" i="14"/>
  <c r="R852" i="14"/>
  <c r="R820" i="14"/>
  <c r="R788" i="14"/>
  <c r="R756" i="14"/>
  <c r="R724" i="14"/>
  <c r="R692" i="14"/>
  <c r="R660" i="14"/>
  <c r="R628" i="14"/>
  <c r="R596" i="14"/>
  <c r="R567" i="14"/>
  <c r="R548" i="14"/>
  <c r="R525" i="14"/>
  <c r="R503" i="14"/>
  <c r="R484" i="14"/>
  <c r="R461" i="14"/>
  <c r="R439" i="14"/>
  <c r="R420" i="14"/>
  <c r="R397" i="14"/>
  <c r="R377" i="14"/>
  <c r="R361" i="14"/>
  <c r="R345" i="14"/>
  <c r="R329" i="14"/>
  <c r="R320" i="14"/>
  <c r="R312" i="14"/>
  <c r="R304" i="14"/>
  <c r="R296" i="14"/>
  <c r="R288" i="14"/>
  <c r="R280" i="14"/>
  <c r="R272" i="14"/>
  <c r="R264" i="14"/>
  <c r="R256" i="14"/>
  <c r="R248" i="14"/>
  <c r="R240" i="14"/>
  <c r="R232" i="14"/>
  <c r="R224" i="14"/>
  <c r="R216" i="14"/>
  <c r="R208" i="14"/>
  <c r="R200" i="14"/>
  <c r="R192" i="14"/>
  <c r="R184" i="14"/>
  <c r="R176" i="14"/>
  <c r="R168" i="14"/>
  <c r="R160" i="14"/>
  <c r="R152" i="14"/>
  <c r="R144" i="14"/>
  <c r="R136" i="14"/>
  <c r="R128" i="14"/>
  <c r="R120" i="14"/>
  <c r="R112" i="14"/>
  <c r="R104" i="14"/>
  <c r="R96" i="14"/>
  <c r="R88" i="14"/>
  <c r="R80" i="14"/>
  <c r="R72" i="14"/>
  <c r="R64" i="14"/>
  <c r="R56" i="14"/>
  <c r="R48" i="14"/>
  <c r="R40" i="14"/>
  <c r="R32" i="14"/>
  <c r="R24" i="14"/>
  <c r="R16" i="14"/>
  <c r="R8" i="14"/>
  <c r="R973" i="14"/>
  <c r="R845" i="14"/>
  <c r="R717" i="14"/>
  <c r="R589" i="14"/>
  <c r="R501" i="14"/>
  <c r="R415" i="14"/>
  <c r="R343" i="14"/>
  <c r="R303" i="14"/>
  <c r="R271" i="14"/>
  <c r="R239" i="14"/>
  <c r="R207" i="14"/>
  <c r="R175" i="14"/>
  <c r="R143" i="14"/>
  <c r="R111" i="14"/>
  <c r="R79" i="14"/>
  <c r="R47" i="14"/>
  <c r="R15" i="14"/>
  <c r="R876" i="14"/>
  <c r="R972" i="14"/>
  <c r="R844" i="14"/>
  <c r="R716" i="14"/>
  <c r="R588" i="14"/>
  <c r="R500" i="14"/>
  <c r="R413" i="14"/>
  <c r="R341" i="14"/>
  <c r="R302" i="14"/>
  <c r="R270" i="14"/>
  <c r="R238" i="14"/>
  <c r="R206" i="14"/>
  <c r="R174" i="14"/>
  <c r="R142" i="14"/>
  <c r="R110" i="14"/>
  <c r="R78" i="14"/>
  <c r="R46" i="14"/>
  <c r="R14" i="14"/>
  <c r="R620" i="14"/>
  <c r="R214" i="14"/>
  <c r="R941" i="14"/>
  <c r="R813" i="14"/>
  <c r="R685" i="14"/>
  <c r="R565" i="14"/>
  <c r="R479" i="14"/>
  <c r="R396" i="14"/>
  <c r="R328" i="14"/>
  <c r="R295" i="14"/>
  <c r="R263" i="14"/>
  <c r="R231" i="14"/>
  <c r="R199" i="14"/>
  <c r="R167" i="14"/>
  <c r="R135" i="14"/>
  <c r="R103" i="14"/>
  <c r="R71" i="14"/>
  <c r="R39" i="14"/>
  <c r="R940" i="14"/>
  <c r="R812" i="14"/>
  <c r="R684" i="14"/>
  <c r="R564" i="14"/>
  <c r="R477" i="14"/>
  <c r="R391" i="14"/>
  <c r="R327" i="14"/>
  <c r="R294" i="14"/>
  <c r="R262" i="14"/>
  <c r="R230" i="14"/>
  <c r="R198" i="14"/>
  <c r="R166" i="14"/>
  <c r="R134" i="14"/>
  <c r="R102" i="14"/>
  <c r="R70" i="14"/>
  <c r="R38" i="14"/>
  <c r="R6" i="14"/>
  <c r="R436" i="14"/>
  <c r="R357" i="14"/>
  <c r="R246" i="14"/>
  <c r="R150" i="14"/>
  <c r="R22" i="14"/>
  <c r="R909" i="14"/>
  <c r="R781" i="14"/>
  <c r="R653" i="14"/>
  <c r="R543" i="14"/>
  <c r="R460" i="14"/>
  <c r="R375" i="14"/>
  <c r="R319" i="14"/>
  <c r="R287" i="14"/>
  <c r="R255" i="14"/>
  <c r="R223" i="14"/>
  <c r="R191" i="14"/>
  <c r="R159" i="14"/>
  <c r="R127" i="14"/>
  <c r="R95" i="14"/>
  <c r="R63" i="14"/>
  <c r="R31" i="14"/>
  <c r="R519" i="14"/>
  <c r="R278" i="14"/>
  <c r="R182" i="14"/>
  <c r="R908" i="14"/>
  <c r="R780" i="14"/>
  <c r="R652" i="14"/>
  <c r="R541" i="14"/>
  <c r="R455" i="14"/>
  <c r="R373" i="14"/>
  <c r="R318" i="14"/>
  <c r="R286" i="14"/>
  <c r="R254" i="14"/>
  <c r="R222" i="14"/>
  <c r="R190" i="14"/>
  <c r="R158" i="14"/>
  <c r="R126" i="14"/>
  <c r="R94" i="14"/>
  <c r="R62" i="14"/>
  <c r="R30" i="14"/>
  <c r="R748" i="14"/>
  <c r="R310" i="14"/>
  <c r="R86" i="14"/>
  <c r="R877" i="14"/>
  <c r="R749" i="14"/>
  <c r="R621" i="14"/>
  <c r="R524" i="14"/>
  <c r="R437" i="14"/>
  <c r="R359" i="14"/>
  <c r="R311" i="14"/>
  <c r="R279" i="14"/>
  <c r="R247" i="14"/>
  <c r="R215" i="14"/>
  <c r="R183" i="14"/>
  <c r="R151" i="14"/>
  <c r="R119" i="14"/>
  <c r="R87" i="14"/>
  <c r="R55" i="14"/>
  <c r="R23" i="14"/>
  <c r="R118" i="14"/>
  <c r="R54" i="14"/>
  <c r="U7" i="14" l="1"/>
  <c r="U10" i="14"/>
  <c r="V10" i="14" s="1"/>
  <c r="U3" i="14"/>
  <c r="U4" i="14"/>
  <c r="U5" i="14"/>
  <c r="U6" i="14"/>
  <c r="U14" i="14"/>
  <c r="V14" i="14" s="1"/>
  <c r="U25" i="14"/>
  <c r="V25" i="14" s="1"/>
  <c r="U29" i="14"/>
  <c r="V29" i="14" s="1"/>
  <c r="U27" i="14"/>
  <c r="V27" i="14" s="1"/>
  <c r="U17" i="14"/>
  <c r="V17" i="14" s="1"/>
  <c r="U26" i="14"/>
  <c r="V26" i="14" s="1"/>
  <c r="U21" i="14"/>
  <c r="V21" i="14" s="1"/>
  <c r="U19" i="14"/>
  <c r="V19" i="14" s="1"/>
  <c r="U24" i="14"/>
  <c r="V24" i="14" s="1"/>
  <c r="U28" i="14"/>
  <c r="V28" i="14" s="1"/>
  <c r="U18" i="14"/>
  <c r="V18" i="14" s="1"/>
  <c r="U12" i="14"/>
  <c r="V12" i="14" s="1"/>
  <c r="U13" i="14"/>
  <c r="V13" i="14" s="1"/>
  <c r="U11" i="14"/>
  <c r="V11" i="14" s="1"/>
  <c r="U23" i="14"/>
  <c r="V23" i="14" s="1"/>
  <c r="U15" i="14"/>
  <c r="V15" i="14" s="1"/>
  <c r="U22" i="14"/>
  <c r="V22" i="14" s="1"/>
  <c r="U16" i="14"/>
  <c r="V16" i="14" s="1"/>
  <c r="U20" i="14"/>
  <c r="V20" i="14" s="1"/>
</calcChain>
</file>

<file path=xl/sharedStrings.xml><?xml version="1.0" encoding="utf-8"?>
<sst xmlns="http://schemas.openxmlformats.org/spreadsheetml/2006/main" count="470" uniqueCount="137">
  <si>
    <t>Day</t>
  </si>
  <si>
    <t>Scenario</t>
  </si>
  <si>
    <t>Mean</t>
  </si>
  <si>
    <t>Skewness</t>
  </si>
  <si>
    <t>Kurtosis</t>
  </si>
  <si>
    <t>Date</t>
  </si>
  <si>
    <t>Security</t>
  </si>
  <si>
    <t>Value (USD)</t>
  </si>
  <si>
    <t>Price (USD)</t>
  </si>
  <si>
    <t>Portfolio</t>
  </si>
  <si>
    <t>Ranked</t>
  </si>
  <si>
    <t>Max</t>
  </si>
  <si>
    <t>Min</t>
  </si>
  <si>
    <t>Bins</t>
  </si>
  <si>
    <t>Frequency</t>
  </si>
  <si>
    <t>Std Dev</t>
  </si>
  <si>
    <t>Loss</t>
  </si>
  <si>
    <t>Confidence</t>
  </si>
  <si>
    <t>ES</t>
  </si>
  <si>
    <t xml:space="preserve"> $ VaR</t>
  </si>
  <si>
    <t>$ Loss</t>
  </si>
  <si>
    <t>Scenarios</t>
  </si>
  <si>
    <t xml:space="preserve">Normal </t>
  </si>
  <si>
    <t>NLoss</t>
  </si>
  <si>
    <t>F(Nloss)</t>
  </si>
  <si>
    <t>Rel Freq</t>
  </si>
  <si>
    <t>Cum Freq</t>
  </si>
  <si>
    <t>Normal</t>
  </si>
  <si>
    <t>Profit</t>
  </si>
  <si>
    <t>USD Hang Seng</t>
  </si>
  <si>
    <t>Hang Seng</t>
  </si>
  <si>
    <t>-</t>
  </si>
  <si>
    <t>replication</t>
  </si>
  <si>
    <t>Monte Carlo</t>
  </si>
  <si>
    <t>Historical simulation</t>
  </si>
  <si>
    <t>Hang Seng Index</t>
  </si>
  <si>
    <t>S&amp;P500 Index</t>
  </si>
  <si>
    <t>FTSE China 50 Index</t>
  </si>
  <si>
    <t>Hang Seng Tech Index</t>
  </si>
  <si>
    <t>USD FTSE China 50 index</t>
  </si>
  <si>
    <t>USD Hang Seng Tech Index</t>
  </si>
  <si>
    <t>Hang Seng CEI</t>
  </si>
  <si>
    <t>USD Hang Seng CEI</t>
  </si>
  <si>
    <t>USD Hang Seng CCI</t>
  </si>
  <si>
    <t>Hang Seng CCI</t>
  </si>
  <si>
    <t>HKD/USD</t>
  </si>
  <si>
    <t>FTSE China 50</t>
  </si>
  <si>
    <t>Hang Seng Tech</t>
  </si>
  <si>
    <t>Loss in million USD</t>
  </si>
  <si>
    <t>Rank</t>
  </si>
  <si>
    <t>USD Hang Seng Index HPR</t>
  </si>
  <si>
    <t>S&amp;P500 HPR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</si>
  <si>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</si>
  <si>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</si>
  <si>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</si>
  <si>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</si>
  <si>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</si>
  <si>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</si>
  <si>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</si>
  <si>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</si>
  <si>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</si>
  <si>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</si>
  <si>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</si>
  <si>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</si>
  <si>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</si>
  <si>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</si>
  <si>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</si>
  <si>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</si>
  <si>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</si>
  <si>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</si>
  <si>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</si>
  <si>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</si>
  <si>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</si>
  <si>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</si>
  <si>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</si>
  <si>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</si>
  <si>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</si>
  <si>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USD FTSE China 50 Index HPR</t>
  </si>
  <si>
    <t>USD FTSE China 50 Index</t>
  </si>
  <si>
    <t>USD Hang Seng Tech Index HPR</t>
  </si>
  <si>
    <t>USD Hang Seng CEI HPR</t>
  </si>
  <si>
    <t>USD Hang Seng CCI HPR</t>
  </si>
  <si>
    <t>Portfolio Value</t>
  </si>
  <si>
    <t>Portfolio HPR</t>
  </si>
  <si>
    <t>Beta</t>
  </si>
  <si>
    <t>Particular</t>
  </si>
  <si>
    <t>Country</t>
  </si>
  <si>
    <t>New Year's Day</t>
  </si>
  <si>
    <t>US &amp; HK</t>
  </si>
  <si>
    <t>Martin Luther King, Jr. Day</t>
  </si>
  <si>
    <t>US</t>
  </si>
  <si>
    <t>Third Lunar New Year Day</t>
  </si>
  <si>
    <t>HK</t>
  </si>
  <si>
    <t>Fourth Lunar New Year Day</t>
  </si>
  <si>
    <t>Washington's Birthday</t>
  </si>
  <si>
    <t>Good Friday</t>
  </si>
  <si>
    <t>Easter Monday</t>
  </si>
  <si>
    <t>Ching Ming Festival</t>
  </si>
  <si>
    <t>Labour Day</t>
  </si>
  <si>
    <t>The Birthday of the Buddha</t>
  </si>
  <si>
    <t>Memorial Day</t>
  </si>
  <si>
    <t>Tuen Ng Festival</t>
  </si>
  <si>
    <t>Juneteenth National Independence Day</t>
  </si>
  <si>
    <t xml:space="preserve">Hong Kong Special Administrative Region Establishment Day </t>
  </si>
  <si>
    <t>Independence Day</t>
  </si>
  <si>
    <t>Labor Day</t>
  </si>
  <si>
    <t>The day following the Chinese Mid-Autumn Festival</t>
  </si>
  <si>
    <t>National Day</t>
  </si>
  <si>
    <t>Chung Yeung Festival</t>
  </si>
  <si>
    <t>Thanksgiving Day</t>
  </si>
  <si>
    <t>Christmas Day</t>
  </si>
  <si>
    <t>The first weekday after Christmas Day</t>
  </si>
  <si>
    <t>Spring Festival</t>
  </si>
  <si>
    <t>Lunar New Year's Day</t>
  </si>
  <si>
    <t>Second Lunar New Year Day</t>
  </si>
  <si>
    <t>Number of unit holdings</t>
  </si>
  <si>
    <t>Median</t>
  </si>
  <si>
    <t>Mode</t>
  </si>
  <si>
    <t>Standard Deviation</t>
  </si>
  <si>
    <t>Sample Variance</t>
  </si>
  <si>
    <t>Range</t>
  </si>
  <si>
    <t>Minimum</t>
  </si>
  <si>
    <t>Maximum</t>
  </si>
  <si>
    <t>Sum</t>
  </si>
  <si>
    <t>Count</t>
  </si>
  <si>
    <t>Portfolio Summary Statistics</t>
  </si>
  <si>
    <t>Method</t>
  </si>
  <si>
    <t>VaR</t>
  </si>
  <si>
    <t>Historical Simulation</t>
  </si>
  <si>
    <t>Delta-normal</t>
  </si>
  <si>
    <t>Monte-Carlo</t>
  </si>
  <si>
    <t>Unhedge</t>
  </si>
  <si>
    <t>Unhedged Portfolio Value</t>
  </si>
  <si>
    <t>Net Gain/Loss</t>
  </si>
  <si>
    <t>Hedged Portfolio Value</t>
  </si>
  <si>
    <t>Futures Hedging</t>
  </si>
  <si>
    <t>Option Hedging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</si>
</sst>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%"/>
    <numFmt numFmtId="166" formatCode="0.0000"/>
    <numFmt numFmtId="167" formatCode="#,##0.0000"/>
    <numFmt numFmtId="168" formatCode="0.0"/>
    <numFmt numFmtId="169" formatCode="#,##0.000000000"/>
    <numFmt numFmtId="170" formatCode="0.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3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0" borderId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164" fontId="0" fillId="0" borderId="0" xfId="0" applyNumberFormat="1"/>
    <xf numFmtId="14" fontId="0" fillId="0" borderId="0" xfId="0" applyNumberFormat="1"/>
    <xf numFmtId="10" fontId="0" fillId="0" borderId="0" xfId="0" applyNumberFormat="1"/>
    <xf numFmtId="0" fontId="18" fillId="34" borderId="0" xfId="0" applyFont="1" applyFill="1" applyAlignment="1">
      <alignment horizontal="center"/>
    </xf>
    <xf numFmtId="0" fontId="19" fillId="34" borderId="0" xfId="0" applyFont="1" applyFill="1"/>
    <xf numFmtId="0" fontId="16" fillId="0" borderId="0" xfId="0" applyFont="1"/>
    <xf numFmtId="0" fontId="18" fillId="33" borderId="0" xfId="0" applyFont="1" applyFill="1" applyAlignment="1">
      <alignment horizontal="center"/>
    </xf>
    <xf numFmtId="0" fontId="16" fillId="33" borderId="0" xfId="0" applyFont="1" applyFill="1"/>
    <xf numFmtId="0" fontId="19" fillId="33" borderId="0" xfId="0" applyFont="1" applyFill="1"/>
    <xf numFmtId="0" fontId="1" fillId="33" borderId="0" xfId="37" applyFill="1" applyAlignment="1">
      <alignment horizontal="right" wrapText="1"/>
    </xf>
    <xf numFmtId="0" fontId="0" fillId="33" borderId="0" xfId="0" applyFill="1"/>
    <xf numFmtId="2" fontId="18" fillId="34" borderId="0" xfId="0" applyNumberFormat="1" applyFont="1" applyFill="1" applyAlignment="1">
      <alignment horizontal="center"/>
    </xf>
    <xf numFmtId="2" fontId="19" fillId="34" borderId="0" xfId="0" applyNumberFormat="1" applyFont="1" applyFill="1"/>
    <xf numFmtId="0" fontId="16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14" fontId="18" fillId="33" borderId="0" xfId="0" applyNumberFormat="1" applyFont="1" applyFill="1" applyAlignment="1">
      <alignment horizontal="right" indent="1"/>
    </xf>
    <xf numFmtId="14" fontId="19" fillId="33" borderId="0" xfId="0" applyNumberFormat="1" applyFont="1" applyFill="1"/>
    <xf numFmtId="4" fontId="0" fillId="0" borderId="0" xfId="0" applyNumberFormat="1"/>
    <xf numFmtId="4" fontId="16" fillId="0" borderId="0" xfId="0" applyNumberFormat="1" applyFont="1"/>
    <xf numFmtId="0" fontId="16" fillId="0" borderId="0" xfId="0" applyFont="1" applyAlignment="1">
      <alignment horizontal="right"/>
    </xf>
    <xf numFmtId="4" fontId="16" fillId="0" borderId="0" xfId="0" applyNumberFormat="1" applyFont="1" applyAlignment="1">
      <alignment horizontal="right"/>
    </xf>
    <xf numFmtId="0" fontId="0" fillId="34" borderId="0" xfId="0" applyFill="1"/>
    <xf numFmtId="0" fontId="0" fillId="34" borderId="0" xfId="0" applyFill="1" applyAlignment="1">
      <alignment horizontal="right"/>
    </xf>
    <xf numFmtId="166" fontId="0" fillId="0" borderId="0" xfId="0" applyNumberFormat="1"/>
    <xf numFmtId="14" fontId="0" fillId="33" borderId="0" xfId="0" applyNumberFormat="1" applyFill="1"/>
    <xf numFmtId="2" fontId="18" fillId="33" borderId="0" xfId="0" applyNumberFormat="1" applyFont="1" applyFill="1" applyAlignment="1">
      <alignment horizontal="center"/>
    </xf>
    <xf numFmtId="2" fontId="19" fillId="33" borderId="0" xfId="0" applyNumberFormat="1" applyFont="1" applyFill="1"/>
    <xf numFmtId="165" fontId="0" fillId="0" borderId="0" xfId="0" applyNumberFormat="1"/>
    <xf numFmtId="167" fontId="0" fillId="0" borderId="0" xfId="0" applyNumberFormat="1"/>
    <xf numFmtId="3" fontId="0" fillId="0" borderId="0" xfId="0" applyNumberFormat="1"/>
    <xf numFmtId="10" fontId="0" fillId="0" borderId="0" xfId="43" applyNumberFormat="1" applyFont="1"/>
    <xf numFmtId="168" fontId="0" fillId="0" borderId="0" xfId="0" applyNumberFormat="1"/>
    <xf numFmtId="10" fontId="0" fillId="0" borderId="0" xfId="43" applyNumberFormat="1" applyFont="1" applyFill="1"/>
    <xf numFmtId="166" fontId="0" fillId="33" borderId="0" xfId="0" applyNumberFormat="1" applyFill="1"/>
    <xf numFmtId="164" fontId="16" fillId="0" borderId="0" xfId="0" applyNumberFormat="1" applyFont="1"/>
    <xf numFmtId="2" fontId="16" fillId="0" borderId="0" xfId="0" applyNumberFormat="1" applyFont="1"/>
    <xf numFmtId="15" fontId="0" fillId="33" borderId="0" xfId="0" applyNumberFormat="1" applyFill="1"/>
    <xf numFmtId="4" fontId="0" fillId="33" borderId="0" xfId="0" applyNumberFormat="1" applyFill="1"/>
    <xf numFmtId="4" fontId="0" fillId="34" borderId="0" xfId="0" applyNumberFormat="1" applyFill="1"/>
    <xf numFmtId="2" fontId="18" fillId="0" borderId="0" xfId="0" applyNumberFormat="1" applyFont="1" applyAlignment="1">
      <alignment horizontal="center"/>
    </xf>
    <xf numFmtId="0" fontId="19" fillId="0" borderId="0" xfId="0" applyFont="1"/>
    <xf numFmtId="2" fontId="0" fillId="34" borderId="0" xfId="0" applyNumberFormat="1" applyFill="1"/>
    <xf numFmtId="1" fontId="0" fillId="0" borderId="0" xfId="0" applyNumberFormat="1"/>
    <xf numFmtId="0" fontId="18" fillId="0" borderId="0" xfId="0" applyFont="1" applyAlignment="1">
      <alignment horizontal="center"/>
    </xf>
    <xf numFmtId="169" fontId="0" fillId="0" borderId="0" xfId="0" applyNumberFormat="1"/>
    <xf numFmtId="0" fontId="22" fillId="33" borderId="11" xfId="0" applyFont="1" applyFill="1" applyBorder="1" applyAlignment="1">
      <alignment horizontal="centerContinuous"/>
    </xf>
    <xf numFmtId="0" fontId="0" fillId="33" borderId="10" xfId="0" applyFill="1" applyBorder="1"/>
    <xf numFmtId="0" fontId="22" fillId="33" borderId="11" xfId="0" applyFont="1" applyFill="1" applyBorder="1" applyAlignment="1">
      <alignment horizontal="center"/>
    </xf>
    <xf numFmtId="14" fontId="0" fillId="33" borderId="0" xfId="0" applyNumberFormat="1" applyFill="1" applyAlignment="1">
      <alignment horizontal="left"/>
    </xf>
    <xf numFmtId="170" fontId="0" fillId="33" borderId="0" xfId="0" applyNumberFormat="1" applyFill="1"/>
    <xf numFmtId="0" fontId="16" fillId="33" borderId="0" xfId="0" applyFont="1" applyFill="1" applyAlignment="1">
      <alignment horizontal="right"/>
    </xf>
    <xf numFmtId="0" fontId="0" fillId="0" borderId="10" xfId="0" applyBorder="1"/>
    <xf numFmtId="0" fontId="22" fillId="0" borderId="11" xfId="0" applyFont="1" applyBorder="1" applyAlignment="1">
      <alignment horizontal="centerContinuous"/>
    </xf>
  </cellXfs>
  <cellStyles count="13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7F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S&amp;P 500 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Data!$C$2:$C$502</c:f>
              <c:numCache>
                <c:formatCode>#,##0.00</c:formatCode>
                <c:ptCount val="501"/>
                <c:pt idx="0">
                  <c:v>4742.83</c:v>
                </c:pt>
                <c:pt idx="1">
                  <c:v>4704.8100000000004</c:v>
                </c:pt>
                <c:pt idx="2">
                  <c:v>4688.68</c:v>
                </c:pt>
                <c:pt idx="3">
                  <c:v>4697.24</c:v>
                </c:pt>
                <c:pt idx="4">
                  <c:v>4763.54</c:v>
                </c:pt>
                <c:pt idx="5">
                  <c:v>4756.5</c:v>
                </c:pt>
                <c:pt idx="6">
                  <c:v>4783.45</c:v>
                </c:pt>
                <c:pt idx="7">
                  <c:v>4780.24</c:v>
                </c:pt>
                <c:pt idx="8">
                  <c:v>4783.83</c:v>
                </c:pt>
                <c:pt idx="9">
                  <c:v>4765.9799999999996</c:v>
                </c:pt>
                <c:pt idx="10">
                  <c:v>4739.21</c:v>
                </c:pt>
                <c:pt idx="11">
                  <c:v>4780.9399999999996</c:v>
                </c:pt>
                <c:pt idx="12">
                  <c:v>4839.8100000000004</c:v>
                </c:pt>
                <c:pt idx="13">
                  <c:v>4850.43</c:v>
                </c:pt>
                <c:pt idx="14">
                  <c:v>4864.6000000000004</c:v>
                </c:pt>
                <c:pt idx="15">
                  <c:v>4868.55</c:v>
                </c:pt>
                <c:pt idx="16">
                  <c:v>4894.16</c:v>
                </c:pt>
                <c:pt idx="17">
                  <c:v>4890.97</c:v>
                </c:pt>
                <c:pt idx="18">
                  <c:v>4927.93</c:v>
                </c:pt>
                <c:pt idx="19">
                  <c:v>4924.97</c:v>
                </c:pt>
                <c:pt idx="20">
                  <c:v>4845.6499999999996</c:v>
                </c:pt>
                <c:pt idx="21">
                  <c:v>4906.1899999999996</c:v>
                </c:pt>
                <c:pt idx="22">
                  <c:v>4958.6099999999997</c:v>
                </c:pt>
                <c:pt idx="23">
                  <c:v>4942.8100000000004</c:v>
                </c:pt>
                <c:pt idx="24">
                  <c:v>4954.2299999999996</c:v>
                </c:pt>
                <c:pt idx="25">
                  <c:v>4995.0600000000004</c:v>
                </c:pt>
                <c:pt idx="26">
                  <c:v>4997.91</c:v>
                </c:pt>
                <c:pt idx="27">
                  <c:v>5026.6099999999997</c:v>
                </c:pt>
                <c:pt idx="28">
                  <c:v>5000.62</c:v>
                </c:pt>
                <c:pt idx="29">
                  <c:v>5029.7299999999996</c:v>
                </c:pt>
                <c:pt idx="30">
                  <c:v>5005.57</c:v>
                </c:pt>
                <c:pt idx="31">
                  <c:v>4975.51</c:v>
                </c:pt>
                <c:pt idx="32">
                  <c:v>4981.8</c:v>
                </c:pt>
                <c:pt idx="33">
                  <c:v>5087.03</c:v>
                </c:pt>
                <c:pt idx="34">
                  <c:v>5088.8</c:v>
                </c:pt>
                <c:pt idx="35">
                  <c:v>5069.53</c:v>
                </c:pt>
                <c:pt idx="36">
                  <c:v>5078.18</c:v>
                </c:pt>
                <c:pt idx="37">
                  <c:v>5069.76</c:v>
                </c:pt>
                <c:pt idx="38">
                  <c:v>5096.2700000000004</c:v>
                </c:pt>
                <c:pt idx="39">
                  <c:v>5137.08</c:v>
                </c:pt>
                <c:pt idx="40">
                  <c:v>5130.95</c:v>
                </c:pt>
                <c:pt idx="41">
                  <c:v>5078.6499999999996</c:v>
                </c:pt>
                <c:pt idx="42">
                  <c:v>5104.76</c:v>
                </c:pt>
                <c:pt idx="43">
                  <c:v>5157.3599999999997</c:v>
                </c:pt>
                <c:pt idx="44">
                  <c:v>5123.6899999999996</c:v>
                </c:pt>
                <c:pt idx="45">
                  <c:v>5117.9399999999996</c:v>
                </c:pt>
                <c:pt idx="46">
                  <c:v>5175.2700000000004</c:v>
                </c:pt>
                <c:pt idx="47">
                  <c:v>5165.3100000000004</c:v>
                </c:pt>
                <c:pt idx="48">
                  <c:v>5150.4799999999996</c:v>
                </c:pt>
                <c:pt idx="49">
                  <c:v>5117.09</c:v>
                </c:pt>
                <c:pt idx="50">
                  <c:v>5149.42</c:v>
                </c:pt>
                <c:pt idx="51">
                  <c:v>5178.51</c:v>
                </c:pt>
                <c:pt idx="52">
                  <c:v>5224.62</c:v>
                </c:pt>
                <c:pt idx="53">
                  <c:v>5241.53</c:v>
                </c:pt>
                <c:pt idx="54">
                  <c:v>5234.18</c:v>
                </c:pt>
                <c:pt idx="55">
                  <c:v>5218.1899999999996</c:v>
                </c:pt>
                <c:pt idx="56">
                  <c:v>5203.58</c:v>
                </c:pt>
                <c:pt idx="57">
                  <c:v>5248.49</c:v>
                </c:pt>
                <c:pt idx="58">
                  <c:v>5254.35</c:v>
                </c:pt>
                <c:pt idx="59">
                  <c:v>5205.8100000000004</c:v>
                </c:pt>
                <c:pt idx="60">
                  <c:v>5211.49</c:v>
                </c:pt>
                <c:pt idx="61">
                  <c:v>5204.34</c:v>
                </c:pt>
                <c:pt idx="62">
                  <c:v>5202.3900000000003</c:v>
                </c:pt>
                <c:pt idx="63">
                  <c:v>5209.91</c:v>
                </c:pt>
                <c:pt idx="64">
                  <c:v>5160.6400000000003</c:v>
                </c:pt>
                <c:pt idx="65">
                  <c:v>5199.0600000000004</c:v>
                </c:pt>
                <c:pt idx="66">
                  <c:v>5123.41</c:v>
                </c:pt>
                <c:pt idx="67">
                  <c:v>5061.82</c:v>
                </c:pt>
                <c:pt idx="68">
                  <c:v>5051.41</c:v>
                </c:pt>
                <c:pt idx="69">
                  <c:v>5022.21</c:v>
                </c:pt>
                <c:pt idx="70">
                  <c:v>5011.12</c:v>
                </c:pt>
                <c:pt idx="71">
                  <c:v>4967.2299999999996</c:v>
                </c:pt>
                <c:pt idx="72">
                  <c:v>5010.6000000000004</c:v>
                </c:pt>
                <c:pt idx="73">
                  <c:v>5070.55</c:v>
                </c:pt>
                <c:pt idx="74">
                  <c:v>5071.63</c:v>
                </c:pt>
                <c:pt idx="75">
                  <c:v>5048.42</c:v>
                </c:pt>
                <c:pt idx="76">
                  <c:v>5099.96</c:v>
                </c:pt>
                <c:pt idx="77">
                  <c:v>5116.17</c:v>
                </c:pt>
                <c:pt idx="78">
                  <c:v>5035.6899999999996</c:v>
                </c:pt>
                <c:pt idx="79">
                  <c:v>5064.2</c:v>
                </c:pt>
                <c:pt idx="80">
                  <c:v>5127.79</c:v>
                </c:pt>
                <c:pt idx="81">
                  <c:v>5180.74</c:v>
                </c:pt>
                <c:pt idx="82">
                  <c:v>5187.7</c:v>
                </c:pt>
                <c:pt idx="83">
                  <c:v>5187.67</c:v>
                </c:pt>
                <c:pt idx="84">
                  <c:v>5214.08</c:v>
                </c:pt>
                <c:pt idx="85">
                  <c:v>5222.68</c:v>
                </c:pt>
                <c:pt idx="86">
                  <c:v>5221.42</c:v>
                </c:pt>
                <c:pt idx="87">
                  <c:v>5246.68</c:v>
                </c:pt>
                <c:pt idx="88">
                  <c:v>5297.1</c:v>
                </c:pt>
                <c:pt idx="89">
                  <c:v>5303.27</c:v>
                </c:pt>
                <c:pt idx="90">
                  <c:v>5308.13</c:v>
                </c:pt>
                <c:pt idx="91">
                  <c:v>5321.41</c:v>
                </c:pt>
                <c:pt idx="92">
                  <c:v>5307.01</c:v>
                </c:pt>
                <c:pt idx="93">
                  <c:v>5267.84</c:v>
                </c:pt>
                <c:pt idx="94">
                  <c:v>5304.72</c:v>
                </c:pt>
                <c:pt idx="95">
                  <c:v>5306.04</c:v>
                </c:pt>
                <c:pt idx="96">
                  <c:v>5266.95</c:v>
                </c:pt>
                <c:pt idx="97">
                  <c:v>5235.4799999999996</c:v>
                </c:pt>
                <c:pt idx="98">
                  <c:v>5277.51</c:v>
                </c:pt>
                <c:pt idx="99">
                  <c:v>5283.4</c:v>
                </c:pt>
                <c:pt idx="100">
                  <c:v>5291.34</c:v>
                </c:pt>
                <c:pt idx="101">
                  <c:v>5354.03</c:v>
                </c:pt>
                <c:pt idx="102">
                  <c:v>5352.96</c:v>
                </c:pt>
                <c:pt idx="103">
                  <c:v>5346.99</c:v>
                </c:pt>
                <c:pt idx="104">
                  <c:v>5375.32</c:v>
                </c:pt>
                <c:pt idx="105">
                  <c:v>5421.03</c:v>
                </c:pt>
                <c:pt idx="106">
                  <c:v>5433.74</c:v>
                </c:pt>
                <c:pt idx="107">
                  <c:v>5431.6</c:v>
                </c:pt>
                <c:pt idx="108">
                  <c:v>5473.23</c:v>
                </c:pt>
                <c:pt idx="109">
                  <c:v>5487.03</c:v>
                </c:pt>
                <c:pt idx="110">
                  <c:v>5473.17</c:v>
                </c:pt>
                <c:pt idx="111">
                  <c:v>5464.62</c:v>
                </c:pt>
                <c:pt idx="112">
                  <c:v>5447.87</c:v>
                </c:pt>
                <c:pt idx="113">
                  <c:v>5469.3</c:v>
                </c:pt>
                <c:pt idx="114">
                  <c:v>5477.9</c:v>
                </c:pt>
                <c:pt idx="115">
                  <c:v>5482.87</c:v>
                </c:pt>
                <c:pt idx="116">
                  <c:v>5460.48</c:v>
                </c:pt>
                <c:pt idx="117">
                  <c:v>5509.01</c:v>
                </c:pt>
                <c:pt idx="118">
                  <c:v>5537.02</c:v>
                </c:pt>
                <c:pt idx="119">
                  <c:v>5567.19</c:v>
                </c:pt>
                <c:pt idx="120">
                  <c:v>5572.85</c:v>
                </c:pt>
                <c:pt idx="121">
                  <c:v>5576.98</c:v>
                </c:pt>
                <c:pt idx="122">
                  <c:v>5633.91</c:v>
                </c:pt>
                <c:pt idx="123">
                  <c:v>5584.54</c:v>
                </c:pt>
                <c:pt idx="124">
                  <c:v>5615.35</c:v>
                </c:pt>
                <c:pt idx="125">
                  <c:v>5631.22</c:v>
                </c:pt>
                <c:pt idx="126">
                  <c:v>5667.2</c:v>
                </c:pt>
                <c:pt idx="127">
                  <c:v>5588.27</c:v>
                </c:pt>
                <c:pt idx="128">
                  <c:v>5544.59</c:v>
                </c:pt>
                <c:pt idx="129">
                  <c:v>5505</c:v>
                </c:pt>
                <c:pt idx="130">
                  <c:v>5564.41</c:v>
                </c:pt>
                <c:pt idx="131">
                  <c:v>5555.74</c:v>
                </c:pt>
                <c:pt idx="132">
                  <c:v>5427.13</c:v>
                </c:pt>
                <c:pt idx="133">
                  <c:v>5399.22</c:v>
                </c:pt>
                <c:pt idx="134">
                  <c:v>5459.1</c:v>
                </c:pt>
                <c:pt idx="135">
                  <c:v>5463.54</c:v>
                </c:pt>
                <c:pt idx="136">
                  <c:v>5436.44</c:v>
                </c:pt>
                <c:pt idx="137">
                  <c:v>5522.3</c:v>
                </c:pt>
                <c:pt idx="138">
                  <c:v>5446.68</c:v>
                </c:pt>
                <c:pt idx="139">
                  <c:v>5346.56</c:v>
                </c:pt>
                <c:pt idx="140">
                  <c:v>5186.33</c:v>
                </c:pt>
                <c:pt idx="141">
                  <c:v>5240.03</c:v>
                </c:pt>
                <c:pt idx="142">
                  <c:v>5199.5</c:v>
                </c:pt>
                <c:pt idx="143">
                  <c:v>5319.31</c:v>
                </c:pt>
                <c:pt idx="144">
                  <c:v>5344.16</c:v>
                </c:pt>
                <c:pt idx="145">
                  <c:v>5344.39</c:v>
                </c:pt>
                <c:pt idx="146">
                  <c:v>5434.43</c:v>
                </c:pt>
                <c:pt idx="147">
                  <c:v>5455.21</c:v>
                </c:pt>
                <c:pt idx="148">
                  <c:v>5543.22</c:v>
                </c:pt>
                <c:pt idx="149">
                  <c:v>5554.25</c:v>
                </c:pt>
                <c:pt idx="150">
                  <c:v>5608.25</c:v>
                </c:pt>
                <c:pt idx="151">
                  <c:v>5597.12</c:v>
                </c:pt>
                <c:pt idx="152">
                  <c:v>5620.85</c:v>
                </c:pt>
                <c:pt idx="153">
                  <c:v>5570.64</c:v>
                </c:pt>
                <c:pt idx="154">
                  <c:v>5634.61</c:v>
                </c:pt>
                <c:pt idx="155">
                  <c:v>5616.84</c:v>
                </c:pt>
                <c:pt idx="156">
                  <c:v>5625.8</c:v>
                </c:pt>
                <c:pt idx="157">
                  <c:v>5592.18</c:v>
                </c:pt>
                <c:pt idx="158">
                  <c:v>5591.96</c:v>
                </c:pt>
                <c:pt idx="159">
                  <c:v>5648.4</c:v>
                </c:pt>
                <c:pt idx="160">
                  <c:v>5528.93</c:v>
                </c:pt>
                <c:pt idx="161">
                  <c:v>5520.07</c:v>
                </c:pt>
                <c:pt idx="162">
                  <c:v>5503.41</c:v>
                </c:pt>
                <c:pt idx="163">
                  <c:v>5408.42</c:v>
                </c:pt>
                <c:pt idx="164">
                  <c:v>5471.05</c:v>
                </c:pt>
                <c:pt idx="165">
                  <c:v>5495.52</c:v>
                </c:pt>
                <c:pt idx="166">
                  <c:v>5554.13</c:v>
                </c:pt>
                <c:pt idx="167">
                  <c:v>5595.76</c:v>
                </c:pt>
                <c:pt idx="168">
                  <c:v>5626.02</c:v>
                </c:pt>
                <c:pt idx="169">
                  <c:v>5633.09</c:v>
                </c:pt>
                <c:pt idx="170">
                  <c:v>5634.58</c:v>
                </c:pt>
                <c:pt idx="171">
                  <c:v>5713.64</c:v>
                </c:pt>
                <c:pt idx="172">
                  <c:v>5702.55</c:v>
                </c:pt>
                <c:pt idx="173">
                  <c:v>5718.57</c:v>
                </c:pt>
                <c:pt idx="174">
                  <c:v>5732.93</c:v>
                </c:pt>
                <c:pt idx="175">
                  <c:v>5722.26</c:v>
                </c:pt>
                <c:pt idx="176">
                  <c:v>5745.37</c:v>
                </c:pt>
                <c:pt idx="177">
                  <c:v>5738.17</c:v>
                </c:pt>
                <c:pt idx="178">
                  <c:v>5762.48</c:v>
                </c:pt>
                <c:pt idx="179">
                  <c:v>5709.54</c:v>
                </c:pt>
                <c:pt idx="180">
                  <c:v>5699.94</c:v>
                </c:pt>
                <c:pt idx="181">
                  <c:v>5751.07</c:v>
                </c:pt>
                <c:pt idx="182">
                  <c:v>5695.94</c:v>
                </c:pt>
                <c:pt idx="183">
                  <c:v>5751.13</c:v>
                </c:pt>
                <c:pt idx="184">
                  <c:v>5792.04</c:v>
                </c:pt>
                <c:pt idx="185">
                  <c:v>5780.05</c:v>
                </c:pt>
                <c:pt idx="186">
                  <c:v>5859.85</c:v>
                </c:pt>
                <c:pt idx="187">
                  <c:v>5815.26</c:v>
                </c:pt>
                <c:pt idx="188">
                  <c:v>5842.47</c:v>
                </c:pt>
                <c:pt idx="189">
                  <c:v>5841.47</c:v>
                </c:pt>
                <c:pt idx="190">
                  <c:v>5864.67</c:v>
                </c:pt>
                <c:pt idx="191">
                  <c:v>5853.98</c:v>
                </c:pt>
                <c:pt idx="192">
                  <c:v>5851.2</c:v>
                </c:pt>
                <c:pt idx="193">
                  <c:v>5797.42</c:v>
                </c:pt>
                <c:pt idx="194">
                  <c:v>5809.86</c:v>
                </c:pt>
                <c:pt idx="195">
                  <c:v>5808.12</c:v>
                </c:pt>
                <c:pt idx="196">
                  <c:v>5823.52</c:v>
                </c:pt>
                <c:pt idx="197">
                  <c:v>5832.92</c:v>
                </c:pt>
                <c:pt idx="198">
                  <c:v>5813.67</c:v>
                </c:pt>
                <c:pt idx="199">
                  <c:v>5705.45</c:v>
                </c:pt>
                <c:pt idx="200">
                  <c:v>5728.8</c:v>
                </c:pt>
                <c:pt idx="201">
                  <c:v>5712.69</c:v>
                </c:pt>
                <c:pt idx="202">
                  <c:v>5782.76</c:v>
                </c:pt>
                <c:pt idx="203">
                  <c:v>5929.04</c:v>
                </c:pt>
                <c:pt idx="204">
                  <c:v>5973.1</c:v>
                </c:pt>
                <c:pt idx="205">
                  <c:v>5995.54</c:v>
                </c:pt>
                <c:pt idx="206">
                  <c:v>6001.35</c:v>
                </c:pt>
                <c:pt idx="207">
                  <c:v>5983.99</c:v>
                </c:pt>
                <c:pt idx="208">
                  <c:v>5985.38</c:v>
                </c:pt>
                <c:pt idx="209">
                  <c:v>5949.17</c:v>
                </c:pt>
                <c:pt idx="210">
                  <c:v>5870.62</c:v>
                </c:pt>
                <c:pt idx="211">
                  <c:v>5893.62</c:v>
                </c:pt>
                <c:pt idx="212">
                  <c:v>5916.98</c:v>
                </c:pt>
                <c:pt idx="213">
                  <c:v>5917.11</c:v>
                </c:pt>
                <c:pt idx="214">
                  <c:v>5948.71</c:v>
                </c:pt>
                <c:pt idx="215">
                  <c:v>5969.34</c:v>
                </c:pt>
                <c:pt idx="216">
                  <c:v>5987.37</c:v>
                </c:pt>
                <c:pt idx="217">
                  <c:v>6021.63</c:v>
                </c:pt>
                <c:pt idx="218">
                  <c:v>5998.74</c:v>
                </c:pt>
                <c:pt idx="219">
                  <c:v>6032.38</c:v>
                </c:pt>
                <c:pt idx="220">
                  <c:v>6047.15</c:v>
                </c:pt>
                <c:pt idx="221">
                  <c:v>6049.88</c:v>
                </c:pt>
                <c:pt idx="222">
                  <c:v>6086.49</c:v>
                </c:pt>
                <c:pt idx="223">
                  <c:v>6075.11</c:v>
                </c:pt>
                <c:pt idx="224">
                  <c:v>6090.27</c:v>
                </c:pt>
                <c:pt idx="225">
                  <c:v>6052.85</c:v>
                </c:pt>
                <c:pt idx="226">
                  <c:v>6034.91</c:v>
                </c:pt>
                <c:pt idx="227">
                  <c:v>6084.19</c:v>
                </c:pt>
                <c:pt idx="228">
                  <c:v>6051.25</c:v>
                </c:pt>
                <c:pt idx="229">
                  <c:v>6051.09</c:v>
                </c:pt>
                <c:pt idx="230">
                  <c:v>6074.08</c:v>
                </c:pt>
                <c:pt idx="231">
                  <c:v>6050.61</c:v>
                </c:pt>
                <c:pt idx="232">
                  <c:v>5872.16</c:v>
                </c:pt>
                <c:pt idx="233">
                  <c:v>5867.08</c:v>
                </c:pt>
                <c:pt idx="234">
                  <c:v>5930.85</c:v>
                </c:pt>
                <c:pt idx="235">
                  <c:v>5974.07</c:v>
                </c:pt>
                <c:pt idx="236">
                  <c:v>6040.04</c:v>
                </c:pt>
                <c:pt idx="237">
                  <c:v>6037.59</c:v>
                </c:pt>
                <c:pt idx="238">
                  <c:v>5970.84</c:v>
                </c:pt>
                <c:pt idx="239">
                  <c:v>5906.94</c:v>
                </c:pt>
                <c:pt idx="240">
                  <c:v>5881.63</c:v>
                </c:pt>
                <c:pt idx="241">
                  <c:v>5868.55</c:v>
                </c:pt>
                <c:pt idx="242">
                  <c:v>5942.47</c:v>
                </c:pt>
                <c:pt idx="243">
                  <c:v>5975.38</c:v>
                </c:pt>
                <c:pt idx="244">
                  <c:v>5909.03</c:v>
                </c:pt>
                <c:pt idx="245">
                  <c:v>5918.25</c:v>
                </c:pt>
                <c:pt idx="246">
                  <c:v>5827.04</c:v>
                </c:pt>
                <c:pt idx="247">
                  <c:v>5836.22</c:v>
                </c:pt>
                <c:pt idx="248">
                  <c:v>5842.91</c:v>
                </c:pt>
                <c:pt idx="249">
                  <c:v>5949.91</c:v>
                </c:pt>
                <c:pt idx="250">
                  <c:v>5937.34</c:v>
                </c:pt>
                <c:pt idx="251">
                  <c:v>5996.66</c:v>
                </c:pt>
                <c:pt idx="252">
                  <c:v>6049.24</c:v>
                </c:pt>
                <c:pt idx="253">
                  <c:v>6086.37</c:v>
                </c:pt>
                <c:pt idx="254">
                  <c:v>6118.71</c:v>
                </c:pt>
                <c:pt idx="255">
                  <c:v>6101.24</c:v>
                </c:pt>
                <c:pt idx="256">
                  <c:v>6012.28</c:v>
                </c:pt>
                <c:pt idx="257">
                  <c:v>5994.57</c:v>
                </c:pt>
                <c:pt idx="258">
                  <c:v>6037.88</c:v>
                </c:pt>
                <c:pt idx="259">
                  <c:v>6061.48</c:v>
                </c:pt>
                <c:pt idx="260">
                  <c:v>6083.57</c:v>
                </c:pt>
                <c:pt idx="261">
                  <c:v>6025.99</c:v>
                </c:pt>
                <c:pt idx="262">
                  <c:v>6066.44</c:v>
                </c:pt>
                <c:pt idx="263">
                  <c:v>6068.5</c:v>
                </c:pt>
                <c:pt idx="264">
                  <c:v>6051.97</c:v>
                </c:pt>
                <c:pt idx="265">
                  <c:v>6115.07</c:v>
                </c:pt>
                <c:pt idx="266">
                  <c:v>6114.63</c:v>
                </c:pt>
                <c:pt idx="267">
                  <c:v>6129.58</c:v>
                </c:pt>
                <c:pt idx="268">
                  <c:v>6144.15</c:v>
                </c:pt>
                <c:pt idx="269">
                  <c:v>6117.52</c:v>
                </c:pt>
                <c:pt idx="270">
                  <c:v>6013.13</c:v>
                </c:pt>
                <c:pt idx="271">
                  <c:v>5983.25</c:v>
                </c:pt>
                <c:pt idx="272">
                  <c:v>5955.25</c:v>
                </c:pt>
                <c:pt idx="273">
                  <c:v>5956.06</c:v>
                </c:pt>
                <c:pt idx="274">
                  <c:v>5861.57</c:v>
                </c:pt>
                <c:pt idx="275">
                  <c:v>5954.5</c:v>
                </c:pt>
                <c:pt idx="276">
                  <c:v>5849.72</c:v>
                </c:pt>
                <c:pt idx="277">
                  <c:v>5778.15</c:v>
                </c:pt>
                <c:pt idx="278">
                  <c:v>5842.63</c:v>
                </c:pt>
                <c:pt idx="279">
                  <c:v>5738.52</c:v>
                </c:pt>
                <c:pt idx="280">
                  <c:v>5770.2</c:v>
                </c:pt>
                <c:pt idx="281">
                  <c:v>5614.56</c:v>
                </c:pt>
                <c:pt idx="282">
                  <c:v>5572.07</c:v>
                </c:pt>
                <c:pt idx="283">
                  <c:v>5599.3</c:v>
                </c:pt>
                <c:pt idx="284">
                  <c:v>5521.52</c:v>
                </c:pt>
                <c:pt idx="285">
                  <c:v>5638.94</c:v>
                </c:pt>
                <c:pt idx="286">
                  <c:v>5675.12</c:v>
                </c:pt>
                <c:pt idx="287">
                  <c:v>5614.66</c:v>
                </c:pt>
                <c:pt idx="288">
                  <c:v>5675.29</c:v>
                </c:pt>
                <c:pt idx="289">
                  <c:v>5662.89</c:v>
                </c:pt>
                <c:pt idx="290">
                  <c:v>5667.56</c:v>
                </c:pt>
                <c:pt idx="291">
                  <c:v>5767.57</c:v>
                </c:pt>
                <c:pt idx="292">
                  <c:v>5776.65</c:v>
                </c:pt>
                <c:pt idx="293">
                  <c:v>5712.2</c:v>
                </c:pt>
                <c:pt idx="294">
                  <c:v>5693.31</c:v>
                </c:pt>
                <c:pt idx="295">
                  <c:v>5580.94</c:v>
                </c:pt>
                <c:pt idx="296">
                  <c:v>5611.85</c:v>
                </c:pt>
                <c:pt idx="297">
                  <c:v>5633.07</c:v>
                </c:pt>
                <c:pt idx="298">
                  <c:v>5670.97</c:v>
                </c:pt>
                <c:pt idx="299">
                  <c:v>5396.52</c:v>
                </c:pt>
                <c:pt idx="300">
                  <c:v>5062.25</c:v>
                </c:pt>
                <c:pt idx="301">
                  <c:v>4982.7700000000004</c:v>
                </c:pt>
                <c:pt idx="302">
                  <c:v>5456.9</c:v>
                </c:pt>
                <c:pt idx="303">
                  <c:v>5268.05</c:v>
                </c:pt>
                <c:pt idx="304">
                  <c:v>5363.36</c:v>
                </c:pt>
                <c:pt idx="305">
                  <c:v>5405.97</c:v>
                </c:pt>
                <c:pt idx="306">
                  <c:v>5396.63</c:v>
                </c:pt>
                <c:pt idx="307">
                  <c:v>5275.7</c:v>
                </c:pt>
                <c:pt idx="308">
                  <c:v>5282.7</c:v>
                </c:pt>
                <c:pt idx="309">
                  <c:v>5287.76</c:v>
                </c:pt>
                <c:pt idx="310">
                  <c:v>5375.86</c:v>
                </c:pt>
                <c:pt idx="311">
                  <c:v>5484.77</c:v>
                </c:pt>
                <c:pt idx="312">
                  <c:v>5525.21</c:v>
                </c:pt>
                <c:pt idx="313">
                  <c:v>5528.75</c:v>
                </c:pt>
                <c:pt idx="314">
                  <c:v>5560.83</c:v>
                </c:pt>
                <c:pt idx="315">
                  <c:v>5569.06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A99-BEC2-3A2ACC3E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75448"/>
        <c:axId val="652276088"/>
      </c:lineChart>
      <c:dateAx>
        <c:axId val="6522754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6088"/>
        <c:crosses val="autoZero"/>
        <c:auto val="1"/>
        <c:lblOffset val="100"/>
        <c:baseTimeUnit val="days"/>
      </c:dateAx>
      <c:valAx>
        <c:axId val="652276088"/>
        <c:scaling>
          <c:orientation val="minMax"/>
          <c:max val="6300"/>
          <c:min val="4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5448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Hang Seng Index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Data!$D$1</c:f>
              <c:strCache>
                <c:ptCount val="1"/>
                <c:pt idx="0">
                  <c:v>Hang Seng Index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Data!$D$2:$D$502</c:f>
              <c:numCache>
                <c:formatCode>General</c:formatCode>
                <c:ptCount val="501"/>
                <c:pt idx="0">
                  <c:v>16788.55</c:v>
                </c:pt>
                <c:pt idx="1">
                  <c:v>16646.41</c:v>
                </c:pt>
                <c:pt idx="2">
                  <c:v>16645.98</c:v>
                </c:pt>
                <c:pt idx="3">
                  <c:v>16535.330000000002</c:v>
                </c:pt>
                <c:pt idx="4">
                  <c:v>16224.45</c:v>
                </c:pt>
                <c:pt idx="5">
                  <c:v>16190.02</c:v>
                </c:pt>
                <c:pt idx="6">
                  <c:v>16097.28</c:v>
                </c:pt>
                <c:pt idx="7">
                  <c:v>16302.04</c:v>
                </c:pt>
                <c:pt idx="8">
                  <c:v>16244.58</c:v>
                </c:pt>
                <c:pt idx="9">
                  <c:v>15865.92</c:v>
                </c:pt>
                <c:pt idx="10">
                  <c:v>15276.9</c:v>
                </c:pt>
                <c:pt idx="11">
                  <c:v>15391.79</c:v>
                </c:pt>
                <c:pt idx="12">
                  <c:v>15308.69</c:v>
                </c:pt>
                <c:pt idx="13">
                  <c:v>14961.18</c:v>
                </c:pt>
                <c:pt idx="14">
                  <c:v>15353.98</c:v>
                </c:pt>
                <c:pt idx="15">
                  <c:v>15899.87</c:v>
                </c:pt>
                <c:pt idx="16">
                  <c:v>16211.96</c:v>
                </c:pt>
                <c:pt idx="17">
                  <c:v>15952.23</c:v>
                </c:pt>
                <c:pt idx="18">
                  <c:v>16077.24</c:v>
                </c:pt>
                <c:pt idx="19">
                  <c:v>15703.45</c:v>
                </c:pt>
                <c:pt idx="20">
                  <c:v>15485.07</c:v>
                </c:pt>
                <c:pt idx="21">
                  <c:v>15566.21</c:v>
                </c:pt>
                <c:pt idx="22">
                  <c:v>15533.56</c:v>
                </c:pt>
                <c:pt idx="23">
                  <c:v>15510.01</c:v>
                </c:pt>
                <c:pt idx="24">
                  <c:v>16136.87</c:v>
                </c:pt>
                <c:pt idx="25">
                  <c:v>16081.89</c:v>
                </c:pt>
                <c:pt idx="26">
                  <c:v>15878.07</c:v>
                </c:pt>
                <c:pt idx="27">
                  <c:v>15746.58</c:v>
                </c:pt>
                <c:pt idx="28">
                  <c:v>15879.38</c:v>
                </c:pt>
                <c:pt idx="29">
                  <c:v>15944.63</c:v>
                </c:pt>
                <c:pt idx="30">
                  <c:v>16339.96</c:v>
                </c:pt>
                <c:pt idx="31">
                  <c:v>16247.51</c:v>
                </c:pt>
                <c:pt idx="32">
                  <c:v>16503.099999999999</c:v>
                </c:pt>
                <c:pt idx="33">
                  <c:v>16742.95</c:v>
                </c:pt>
                <c:pt idx="34">
                  <c:v>16725.86</c:v>
                </c:pt>
                <c:pt idx="35">
                  <c:v>16634.740000000002</c:v>
                </c:pt>
                <c:pt idx="36">
                  <c:v>16790.8</c:v>
                </c:pt>
                <c:pt idx="37">
                  <c:v>16536.849999999999</c:v>
                </c:pt>
                <c:pt idx="38">
                  <c:v>16511.439999999999</c:v>
                </c:pt>
                <c:pt idx="39">
                  <c:v>16589.439999999999</c:v>
                </c:pt>
                <c:pt idx="40">
                  <c:v>16595.97</c:v>
                </c:pt>
                <c:pt idx="41">
                  <c:v>16162.64</c:v>
                </c:pt>
                <c:pt idx="42">
                  <c:v>16438.09</c:v>
                </c:pt>
                <c:pt idx="43">
                  <c:v>16229.78</c:v>
                </c:pt>
                <c:pt idx="44">
                  <c:v>16353.39</c:v>
                </c:pt>
                <c:pt idx="45">
                  <c:v>16587.57</c:v>
                </c:pt>
                <c:pt idx="46">
                  <c:v>17093.5</c:v>
                </c:pt>
                <c:pt idx="47">
                  <c:v>17082.11</c:v>
                </c:pt>
                <c:pt idx="48">
                  <c:v>16961.66</c:v>
                </c:pt>
                <c:pt idx="49">
                  <c:v>16720.89</c:v>
                </c:pt>
                <c:pt idx="50">
                  <c:v>16737.12</c:v>
                </c:pt>
                <c:pt idx="51">
                  <c:v>16529.48</c:v>
                </c:pt>
                <c:pt idx="52">
                  <c:v>16543.07</c:v>
                </c:pt>
                <c:pt idx="53">
                  <c:v>16863.099999999999</c:v>
                </c:pt>
                <c:pt idx="54">
                  <c:v>16499.47</c:v>
                </c:pt>
                <c:pt idx="55">
                  <c:v>16473.64</c:v>
                </c:pt>
                <c:pt idx="56">
                  <c:v>16618.32</c:v>
                </c:pt>
                <c:pt idx="57">
                  <c:v>16392.84</c:v>
                </c:pt>
                <c:pt idx="58">
                  <c:v>16541.419999999998</c:v>
                </c:pt>
                <c:pt idx="59">
                  <c:v>16931.52</c:v>
                </c:pt>
                <c:pt idx="60">
                  <c:v>16725.099999999999</c:v>
                </c:pt>
                <c:pt idx="61">
                  <c:v>16723.919999999998</c:v>
                </c:pt>
                <c:pt idx="62">
                  <c:v>16732.849999999999</c:v>
                </c:pt>
                <c:pt idx="63">
                  <c:v>16828.07</c:v>
                </c:pt>
                <c:pt idx="64">
                  <c:v>17139.169999999998</c:v>
                </c:pt>
                <c:pt idx="65">
                  <c:v>17095.03</c:v>
                </c:pt>
                <c:pt idx="66">
                  <c:v>16721.689999999999</c:v>
                </c:pt>
                <c:pt idx="67">
                  <c:v>16600.46</c:v>
                </c:pt>
                <c:pt idx="68">
                  <c:v>16248.97</c:v>
                </c:pt>
                <c:pt idx="69">
                  <c:v>16251.84</c:v>
                </c:pt>
                <c:pt idx="70">
                  <c:v>16385.87</c:v>
                </c:pt>
                <c:pt idx="71">
                  <c:v>16224.14</c:v>
                </c:pt>
                <c:pt idx="72">
                  <c:v>16511.689999999999</c:v>
                </c:pt>
                <c:pt idx="73">
                  <c:v>16828.93</c:v>
                </c:pt>
                <c:pt idx="74">
                  <c:v>17201.27</c:v>
                </c:pt>
                <c:pt idx="75">
                  <c:v>17284.54</c:v>
                </c:pt>
                <c:pt idx="76">
                  <c:v>17651.150000000001</c:v>
                </c:pt>
                <c:pt idx="77">
                  <c:v>17746.91</c:v>
                </c:pt>
                <c:pt idx="78">
                  <c:v>17763.03</c:v>
                </c:pt>
                <c:pt idx="79">
                  <c:v>18207.13</c:v>
                </c:pt>
                <c:pt idx="80">
                  <c:v>18475.919999999998</c:v>
                </c:pt>
                <c:pt idx="81">
                  <c:v>18578.3</c:v>
                </c:pt>
                <c:pt idx="82">
                  <c:v>18479.37</c:v>
                </c:pt>
                <c:pt idx="83">
                  <c:v>18313.86</c:v>
                </c:pt>
                <c:pt idx="84">
                  <c:v>18537.810000000001</c:v>
                </c:pt>
                <c:pt idx="85">
                  <c:v>18963.68</c:v>
                </c:pt>
                <c:pt idx="86">
                  <c:v>19115.060000000001</c:v>
                </c:pt>
                <c:pt idx="87">
                  <c:v>19073.71</c:v>
                </c:pt>
                <c:pt idx="88">
                  <c:v>19376.53</c:v>
                </c:pt>
                <c:pt idx="89">
                  <c:v>19553.61</c:v>
                </c:pt>
                <c:pt idx="90">
                  <c:v>19636.22</c:v>
                </c:pt>
                <c:pt idx="91">
                  <c:v>19220.62</c:v>
                </c:pt>
                <c:pt idx="92">
                  <c:v>19195.599999999999</c:v>
                </c:pt>
                <c:pt idx="93">
                  <c:v>18868.71</c:v>
                </c:pt>
                <c:pt idx="94">
                  <c:v>18608.939999999999</c:v>
                </c:pt>
                <c:pt idx="95">
                  <c:v>18821.16</c:v>
                </c:pt>
                <c:pt idx="96">
                  <c:v>18477.009999999998</c:v>
                </c:pt>
                <c:pt idx="97">
                  <c:v>18230.189999999999</c:v>
                </c:pt>
                <c:pt idx="98">
                  <c:v>18079.61</c:v>
                </c:pt>
                <c:pt idx="99">
                  <c:v>18403.04</c:v>
                </c:pt>
                <c:pt idx="100">
                  <c:v>18444.11</c:v>
                </c:pt>
                <c:pt idx="101">
                  <c:v>18424.96</c:v>
                </c:pt>
                <c:pt idx="102">
                  <c:v>18476.8</c:v>
                </c:pt>
                <c:pt idx="103">
                  <c:v>18366.95</c:v>
                </c:pt>
                <c:pt idx="104">
                  <c:v>18176.34</c:v>
                </c:pt>
                <c:pt idx="105">
                  <c:v>17937.84</c:v>
                </c:pt>
                <c:pt idx="106">
                  <c:v>18112.63</c:v>
                </c:pt>
                <c:pt idx="107">
                  <c:v>17941.78</c:v>
                </c:pt>
                <c:pt idx="108">
                  <c:v>17936.12</c:v>
                </c:pt>
                <c:pt idx="109">
                  <c:v>17915.55</c:v>
                </c:pt>
                <c:pt idx="110">
                  <c:v>18335.32</c:v>
                </c:pt>
                <c:pt idx="111">
                  <c:v>18028.52</c:v>
                </c:pt>
                <c:pt idx="112">
                  <c:v>18027.71</c:v>
                </c:pt>
                <c:pt idx="113">
                  <c:v>18072.900000000001</c:v>
                </c:pt>
                <c:pt idx="114">
                  <c:v>18089.93</c:v>
                </c:pt>
                <c:pt idx="115">
                  <c:v>17716.47</c:v>
                </c:pt>
                <c:pt idx="116">
                  <c:v>17718.61</c:v>
                </c:pt>
                <c:pt idx="117">
                  <c:v>17769.14</c:v>
                </c:pt>
                <c:pt idx="118">
                  <c:v>17978.57</c:v>
                </c:pt>
                <c:pt idx="119">
                  <c:v>17799.61</c:v>
                </c:pt>
                <c:pt idx="120">
                  <c:v>17524.060000000001</c:v>
                </c:pt>
                <c:pt idx="121">
                  <c:v>17523.23</c:v>
                </c:pt>
                <c:pt idx="122">
                  <c:v>17471.669999999998</c:v>
                </c:pt>
                <c:pt idx="123">
                  <c:v>17832.330000000002</c:v>
                </c:pt>
                <c:pt idx="124">
                  <c:v>18293.38</c:v>
                </c:pt>
                <c:pt idx="125">
                  <c:v>18015.939999999999</c:v>
                </c:pt>
                <c:pt idx="126">
                  <c:v>17727.98</c:v>
                </c:pt>
                <c:pt idx="127">
                  <c:v>17739.41</c:v>
                </c:pt>
                <c:pt idx="128">
                  <c:v>17778.41</c:v>
                </c:pt>
                <c:pt idx="129">
                  <c:v>17417.68</c:v>
                </c:pt>
                <c:pt idx="130">
                  <c:v>17635.88</c:v>
                </c:pt>
                <c:pt idx="131">
                  <c:v>17469.36</c:v>
                </c:pt>
                <c:pt idx="132">
                  <c:v>17311.05</c:v>
                </c:pt>
                <c:pt idx="133">
                  <c:v>17004.97</c:v>
                </c:pt>
                <c:pt idx="134">
                  <c:v>17021.310000000001</c:v>
                </c:pt>
                <c:pt idx="135">
                  <c:v>17238.34</c:v>
                </c:pt>
                <c:pt idx="136">
                  <c:v>17002.91</c:v>
                </c:pt>
                <c:pt idx="137">
                  <c:v>17344.599999999999</c:v>
                </c:pt>
                <c:pt idx="138">
                  <c:v>17304.96</c:v>
                </c:pt>
                <c:pt idx="139">
                  <c:v>16945.509999999998</c:v>
                </c:pt>
                <c:pt idx="140">
                  <c:v>16698.36</c:v>
                </c:pt>
                <c:pt idx="141">
                  <c:v>16647.34</c:v>
                </c:pt>
                <c:pt idx="142">
                  <c:v>16877.86</c:v>
                </c:pt>
                <c:pt idx="143">
                  <c:v>16891.830000000002</c:v>
                </c:pt>
                <c:pt idx="144">
                  <c:v>17090.23</c:v>
                </c:pt>
                <c:pt idx="145">
                  <c:v>17111.650000000001</c:v>
                </c:pt>
                <c:pt idx="146">
                  <c:v>17174.060000000001</c:v>
                </c:pt>
                <c:pt idx="147">
                  <c:v>17113.36</c:v>
                </c:pt>
                <c:pt idx="148">
                  <c:v>17109.14</c:v>
                </c:pt>
                <c:pt idx="149">
                  <c:v>17430.16</c:v>
                </c:pt>
                <c:pt idx="150">
                  <c:v>17569.57</c:v>
                </c:pt>
                <c:pt idx="151">
                  <c:v>17511.080000000002</c:v>
                </c:pt>
                <c:pt idx="152">
                  <c:v>17391.009999999998</c:v>
                </c:pt>
                <c:pt idx="153">
                  <c:v>17641</c:v>
                </c:pt>
                <c:pt idx="154">
                  <c:v>17612.099999999999</c:v>
                </c:pt>
                <c:pt idx="155">
                  <c:v>17798.73</c:v>
                </c:pt>
                <c:pt idx="156">
                  <c:v>17874.669999999998</c:v>
                </c:pt>
                <c:pt idx="157">
                  <c:v>17692.45</c:v>
                </c:pt>
                <c:pt idx="158">
                  <c:v>17786.32</c:v>
                </c:pt>
                <c:pt idx="159">
                  <c:v>17989.07</c:v>
                </c:pt>
                <c:pt idx="160">
                  <c:v>17651.490000000002</c:v>
                </c:pt>
                <c:pt idx="161">
                  <c:v>17457.34</c:v>
                </c:pt>
                <c:pt idx="162">
                  <c:v>17444.3</c:v>
                </c:pt>
                <c:pt idx="163">
                  <c:v>17196.96</c:v>
                </c:pt>
                <c:pt idx="164">
                  <c:v>17234.09</c:v>
                </c:pt>
                <c:pt idx="165">
                  <c:v>17108.71</c:v>
                </c:pt>
                <c:pt idx="166">
                  <c:v>17240.39</c:v>
                </c:pt>
                <c:pt idx="167">
                  <c:v>17369.09</c:v>
                </c:pt>
                <c:pt idx="168">
                  <c:v>17422.12</c:v>
                </c:pt>
                <c:pt idx="169">
                  <c:v>17660.02</c:v>
                </c:pt>
                <c:pt idx="170">
                  <c:v>18013.16</c:v>
                </c:pt>
                <c:pt idx="171">
                  <c:v>18258.57</c:v>
                </c:pt>
                <c:pt idx="172">
                  <c:v>18247.11</c:v>
                </c:pt>
                <c:pt idx="173">
                  <c:v>19000.560000000001</c:v>
                </c:pt>
                <c:pt idx="174">
                  <c:v>19129.099999999999</c:v>
                </c:pt>
                <c:pt idx="175">
                  <c:v>19924.580000000002</c:v>
                </c:pt>
                <c:pt idx="176">
                  <c:v>20632.3</c:v>
                </c:pt>
                <c:pt idx="177">
                  <c:v>21133.68</c:v>
                </c:pt>
                <c:pt idx="178">
                  <c:v>22443.73</c:v>
                </c:pt>
                <c:pt idx="179">
                  <c:v>22113.51</c:v>
                </c:pt>
                <c:pt idx="180">
                  <c:v>22736.87</c:v>
                </c:pt>
                <c:pt idx="181">
                  <c:v>23099.78</c:v>
                </c:pt>
                <c:pt idx="182">
                  <c:v>20926.79</c:v>
                </c:pt>
                <c:pt idx="183">
                  <c:v>20637.240000000002</c:v>
                </c:pt>
                <c:pt idx="184">
                  <c:v>21251.98</c:v>
                </c:pt>
                <c:pt idx="185">
                  <c:v>21092.87</c:v>
                </c:pt>
                <c:pt idx="186">
                  <c:v>20318.79</c:v>
                </c:pt>
                <c:pt idx="187">
                  <c:v>20286.849999999999</c:v>
                </c:pt>
                <c:pt idx="188">
                  <c:v>20079.099999999999</c:v>
                </c:pt>
                <c:pt idx="189">
                  <c:v>20804.11</c:v>
                </c:pt>
                <c:pt idx="190">
                  <c:v>20478.46</c:v>
                </c:pt>
                <c:pt idx="191">
                  <c:v>20498.95</c:v>
                </c:pt>
                <c:pt idx="192">
                  <c:v>20760.150000000001</c:v>
                </c:pt>
                <c:pt idx="193">
                  <c:v>20489.62</c:v>
                </c:pt>
                <c:pt idx="194">
                  <c:v>20590.150000000001</c:v>
                </c:pt>
                <c:pt idx="195">
                  <c:v>20599.36</c:v>
                </c:pt>
                <c:pt idx="196">
                  <c:v>20701.14</c:v>
                </c:pt>
                <c:pt idx="197">
                  <c:v>20380.64</c:v>
                </c:pt>
                <c:pt idx="198">
                  <c:v>20317.330000000002</c:v>
                </c:pt>
                <c:pt idx="199">
                  <c:v>20506.43</c:v>
                </c:pt>
                <c:pt idx="200">
                  <c:v>20567.52</c:v>
                </c:pt>
                <c:pt idx="201">
                  <c:v>21006.97</c:v>
                </c:pt>
                <c:pt idx="202">
                  <c:v>20538.38</c:v>
                </c:pt>
                <c:pt idx="203">
                  <c:v>20953.34</c:v>
                </c:pt>
                <c:pt idx="204">
                  <c:v>20728.189999999999</c:v>
                </c:pt>
                <c:pt idx="205">
                  <c:v>20426.93</c:v>
                </c:pt>
                <c:pt idx="206">
                  <c:v>19846.88</c:v>
                </c:pt>
                <c:pt idx="207">
                  <c:v>19823.45</c:v>
                </c:pt>
                <c:pt idx="208">
                  <c:v>19435.810000000001</c:v>
                </c:pt>
                <c:pt idx="209">
                  <c:v>19426.34</c:v>
                </c:pt>
                <c:pt idx="210">
                  <c:v>19576.61</c:v>
                </c:pt>
                <c:pt idx="211">
                  <c:v>19663.669999999998</c:v>
                </c:pt>
                <c:pt idx="212">
                  <c:v>19705.009999999998</c:v>
                </c:pt>
                <c:pt idx="213">
                  <c:v>19601.11</c:v>
                </c:pt>
                <c:pt idx="214">
                  <c:v>19229.97</c:v>
                </c:pt>
                <c:pt idx="215">
                  <c:v>19150.990000000002</c:v>
                </c:pt>
                <c:pt idx="216">
                  <c:v>19159.2</c:v>
                </c:pt>
                <c:pt idx="217">
                  <c:v>19603.13</c:v>
                </c:pt>
                <c:pt idx="218">
                  <c:v>19423.61</c:v>
                </c:pt>
                <c:pt idx="219">
                  <c:v>19550.29</c:v>
                </c:pt>
                <c:pt idx="220">
                  <c:v>19746.32</c:v>
                </c:pt>
                <c:pt idx="221">
                  <c:v>19742.46</c:v>
                </c:pt>
                <c:pt idx="222">
                  <c:v>19560.439999999999</c:v>
                </c:pt>
                <c:pt idx="223">
                  <c:v>19865.849999999999</c:v>
                </c:pt>
                <c:pt idx="224">
                  <c:v>20414.09</c:v>
                </c:pt>
                <c:pt idx="225">
                  <c:v>20311.28</c:v>
                </c:pt>
                <c:pt idx="226">
                  <c:v>20155.05</c:v>
                </c:pt>
                <c:pt idx="227">
                  <c:v>20397.05</c:v>
                </c:pt>
                <c:pt idx="228">
                  <c:v>19971.240000000002</c:v>
                </c:pt>
                <c:pt idx="229">
                  <c:v>19795.490000000002</c:v>
                </c:pt>
                <c:pt idx="230">
                  <c:v>19700.48</c:v>
                </c:pt>
                <c:pt idx="231">
                  <c:v>19864.55</c:v>
                </c:pt>
                <c:pt idx="232">
                  <c:v>19752.509999999998</c:v>
                </c:pt>
                <c:pt idx="233">
                  <c:v>19720.7</c:v>
                </c:pt>
                <c:pt idx="234">
                  <c:v>19883.13</c:v>
                </c:pt>
                <c:pt idx="235">
                  <c:v>20098.29</c:v>
                </c:pt>
                <c:pt idx="236">
                  <c:v>20090.46</c:v>
                </c:pt>
                <c:pt idx="237">
                  <c:v>20041.419999999998</c:v>
                </c:pt>
                <c:pt idx="238">
                  <c:v>20059.95</c:v>
                </c:pt>
                <c:pt idx="239">
                  <c:v>19623.32</c:v>
                </c:pt>
                <c:pt idx="240">
                  <c:v>19760.27</c:v>
                </c:pt>
                <c:pt idx="241">
                  <c:v>19688.29</c:v>
                </c:pt>
                <c:pt idx="242">
                  <c:v>19447.580000000002</c:v>
                </c:pt>
                <c:pt idx="243">
                  <c:v>19279.84</c:v>
                </c:pt>
                <c:pt idx="244">
                  <c:v>19240.89</c:v>
                </c:pt>
                <c:pt idx="245">
                  <c:v>19064.29</c:v>
                </c:pt>
                <c:pt idx="246">
                  <c:v>18874.14</c:v>
                </c:pt>
                <c:pt idx="247">
                  <c:v>19219.78</c:v>
                </c:pt>
                <c:pt idx="248">
                  <c:v>19286.07</c:v>
                </c:pt>
                <c:pt idx="249">
                  <c:v>19522.89</c:v>
                </c:pt>
                <c:pt idx="250">
                  <c:v>19584.060000000001</c:v>
                </c:pt>
                <c:pt idx="251">
                  <c:v>20106.55</c:v>
                </c:pt>
                <c:pt idx="252">
                  <c:v>19778.77</c:v>
                </c:pt>
                <c:pt idx="253">
                  <c:v>19700.560000000001</c:v>
                </c:pt>
                <c:pt idx="254">
                  <c:v>20066.189999999999</c:v>
                </c:pt>
                <c:pt idx="255">
                  <c:v>20197.77</c:v>
                </c:pt>
                <c:pt idx="256">
                  <c:v>20225.11</c:v>
                </c:pt>
                <c:pt idx="257">
                  <c:v>20217.259999999998</c:v>
                </c:pt>
                <c:pt idx="258">
                  <c:v>20789.96</c:v>
                </c:pt>
                <c:pt idx="259">
                  <c:v>20597.09</c:v>
                </c:pt>
                <c:pt idx="260">
                  <c:v>20891.62</c:v>
                </c:pt>
                <c:pt idx="261">
                  <c:v>21133.54</c:v>
                </c:pt>
                <c:pt idx="262">
                  <c:v>21521.98</c:v>
                </c:pt>
                <c:pt idx="263">
                  <c:v>21294.86</c:v>
                </c:pt>
                <c:pt idx="264">
                  <c:v>21857.919999999998</c:v>
                </c:pt>
                <c:pt idx="265">
                  <c:v>21814.37</c:v>
                </c:pt>
                <c:pt idx="266">
                  <c:v>22620.33</c:v>
                </c:pt>
                <c:pt idx="267">
                  <c:v>22976.81</c:v>
                </c:pt>
                <c:pt idx="268">
                  <c:v>22944.240000000002</c:v>
                </c:pt>
                <c:pt idx="269">
                  <c:v>22576.98</c:v>
                </c:pt>
                <c:pt idx="270">
                  <c:v>23477.919999999998</c:v>
                </c:pt>
                <c:pt idx="271">
                  <c:v>23341.61</c:v>
                </c:pt>
                <c:pt idx="272">
                  <c:v>23034.02</c:v>
                </c:pt>
                <c:pt idx="273">
                  <c:v>23787.93</c:v>
                </c:pt>
                <c:pt idx="274">
                  <c:v>23718.29</c:v>
                </c:pt>
                <c:pt idx="275">
                  <c:v>22941.32</c:v>
                </c:pt>
                <c:pt idx="276">
                  <c:v>23006.27</c:v>
                </c:pt>
                <c:pt idx="277">
                  <c:v>22941.77</c:v>
                </c:pt>
                <c:pt idx="278">
                  <c:v>23594.21</c:v>
                </c:pt>
                <c:pt idx="279">
                  <c:v>24369.71</c:v>
                </c:pt>
                <c:pt idx="280">
                  <c:v>24231.3</c:v>
                </c:pt>
                <c:pt idx="281">
                  <c:v>23783.49</c:v>
                </c:pt>
                <c:pt idx="282">
                  <c:v>23782.14</c:v>
                </c:pt>
                <c:pt idx="283">
                  <c:v>23600.31</c:v>
                </c:pt>
                <c:pt idx="284">
                  <c:v>23462.65</c:v>
                </c:pt>
                <c:pt idx="285">
                  <c:v>23959.98</c:v>
                </c:pt>
                <c:pt idx="286">
                  <c:v>24145.57</c:v>
                </c:pt>
                <c:pt idx="287">
                  <c:v>24740.57</c:v>
                </c:pt>
                <c:pt idx="288">
                  <c:v>24771.14</c:v>
                </c:pt>
                <c:pt idx="289">
                  <c:v>24219.95</c:v>
                </c:pt>
                <c:pt idx="290">
                  <c:v>23689.72</c:v>
                </c:pt>
                <c:pt idx="291">
                  <c:v>23905.56</c:v>
                </c:pt>
                <c:pt idx="292">
                  <c:v>23344.25</c:v>
                </c:pt>
                <c:pt idx="293">
                  <c:v>23483.32</c:v>
                </c:pt>
                <c:pt idx="294">
                  <c:v>23578.799999999999</c:v>
                </c:pt>
                <c:pt idx="295">
                  <c:v>23426.6</c:v>
                </c:pt>
                <c:pt idx="296">
                  <c:v>23119.58</c:v>
                </c:pt>
                <c:pt idx="297">
                  <c:v>23206.84</c:v>
                </c:pt>
                <c:pt idx="298">
                  <c:v>23202.53</c:v>
                </c:pt>
                <c:pt idx="299">
                  <c:v>22849.81</c:v>
                </c:pt>
                <c:pt idx="300">
                  <c:v>19828.3</c:v>
                </c:pt>
                <c:pt idx="301">
                  <c:v>20127.68</c:v>
                </c:pt>
                <c:pt idx="302">
                  <c:v>20264.490000000002</c:v>
                </c:pt>
                <c:pt idx="303">
                  <c:v>20681.78</c:v>
                </c:pt>
                <c:pt idx="304">
                  <c:v>20914.689999999999</c:v>
                </c:pt>
                <c:pt idx="305">
                  <c:v>21417.4</c:v>
                </c:pt>
                <c:pt idx="306">
                  <c:v>21466.27</c:v>
                </c:pt>
                <c:pt idx="307">
                  <c:v>21056.98</c:v>
                </c:pt>
                <c:pt idx="308">
                  <c:v>21395.14</c:v>
                </c:pt>
                <c:pt idx="309">
                  <c:v>21562.32</c:v>
                </c:pt>
                <c:pt idx="310">
                  <c:v>22072.62</c:v>
                </c:pt>
                <c:pt idx="311">
                  <c:v>21909.759999999998</c:v>
                </c:pt>
                <c:pt idx="312">
                  <c:v>21980.74</c:v>
                </c:pt>
                <c:pt idx="313">
                  <c:v>21971.96</c:v>
                </c:pt>
                <c:pt idx="314">
                  <c:v>22008.11</c:v>
                </c:pt>
                <c:pt idx="315">
                  <c:v>22119.41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48-41E0-84C3-837A73AC6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384248"/>
        <c:axId val="681383288"/>
      </c:lineChart>
      <c:dateAx>
        <c:axId val="6813842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83288"/>
        <c:crosses val="autoZero"/>
        <c:auto val="1"/>
        <c:lblOffset val="100"/>
        <c:baseTimeUnit val="days"/>
      </c:dateAx>
      <c:valAx>
        <c:axId val="681383288"/>
        <c:scaling>
          <c:orientation val="minMax"/>
          <c:max val="26000"/>
          <c:min val="1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84248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1">
          <a:lumMod val="85000"/>
        </a:schemeClr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FTSE China 50 Index</a:t>
            </a:r>
            <a:r>
              <a:rPr lang="en-GB" sz="1400" b="0" i="0" u="none" strike="noStrike" baseline="0"/>
              <a:t> </a:t>
            </a:r>
            <a:endParaRPr lang="en-US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Data!$J$2:$J$502</c:f>
              <c:numCache>
                <c:formatCode>General</c:formatCode>
                <c:ptCount val="501"/>
                <c:pt idx="0">
                  <c:v>3714.77</c:v>
                </c:pt>
                <c:pt idx="1">
                  <c:v>3646.39</c:v>
                </c:pt>
                <c:pt idx="2">
                  <c:v>3654.94</c:v>
                </c:pt>
                <c:pt idx="3">
                  <c:v>3592.33</c:v>
                </c:pt>
                <c:pt idx="4">
                  <c:v>3484.75</c:v>
                </c:pt>
                <c:pt idx="5">
                  <c:v>3454.5</c:v>
                </c:pt>
                <c:pt idx="6">
                  <c:v>3428.2</c:v>
                </c:pt>
                <c:pt idx="7">
                  <c:v>3503.02</c:v>
                </c:pt>
                <c:pt idx="8">
                  <c:v>3470.64</c:v>
                </c:pt>
                <c:pt idx="9">
                  <c:v>3325.93</c:v>
                </c:pt>
                <c:pt idx="10">
                  <c:v>3160</c:v>
                </c:pt>
                <c:pt idx="11">
                  <c:v>3176.08</c:v>
                </c:pt>
                <c:pt idx="12">
                  <c:v>3129.92</c:v>
                </c:pt>
                <c:pt idx="13">
                  <c:v>3035.47</c:v>
                </c:pt>
                <c:pt idx="14">
                  <c:v>3147.81</c:v>
                </c:pt>
                <c:pt idx="15">
                  <c:v>3281.16</c:v>
                </c:pt>
                <c:pt idx="16">
                  <c:v>3310.69</c:v>
                </c:pt>
                <c:pt idx="17">
                  <c:v>3186.49</c:v>
                </c:pt>
                <c:pt idx="18">
                  <c:v>3203.59</c:v>
                </c:pt>
                <c:pt idx="19">
                  <c:v>3098.87</c:v>
                </c:pt>
                <c:pt idx="20">
                  <c:v>3005.8</c:v>
                </c:pt>
                <c:pt idx="21">
                  <c:v>3065.95</c:v>
                </c:pt>
                <c:pt idx="22">
                  <c:v>3043.9</c:v>
                </c:pt>
                <c:pt idx="23">
                  <c:v>3038.84</c:v>
                </c:pt>
                <c:pt idx="24">
                  <c:v>3243.81</c:v>
                </c:pt>
                <c:pt idx="25">
                  <c:v>3190.68</c:v>
                </c:pt>
                <c:pt idx="26">
                  <c:v>3168.55</c:v>
                </c:pt>
                <c:pt idx="27">
                  <c:v>3127.22</c:v>
                </c:pt>
                <c:pt idx="28">
                  <c:v>3197.87</c:v>
                </c:pt>
                <c:pt idx="29">
                  <c:v>3223.1</c:v>
                </c:pt>
                <c:pt idx="30">
                  <c:v>3342.73</c:v>
                </c:pt>
                <c:pt idx="31">
                  <c:v>3264.4</c:v>
                </c:pt>
                <c:pt idx="32">
                  <c:v>3351.22</c:v>
                </c:pt>
                <c:pt idx="33">
                  <c:v>3410.02</c:v>
                </c:pt>
                <c:pt idx="34">
                  <c:v>3399.84</c:v>
                </c:pt>
                <c:pt idx="35">
                  <c:v>3393.29</c:v>
                </c:pt>
                <c:pt idx="36">
                  <c:v>3503.17</c:v>
                </c:pt>
                <c:pt idx="37">
                  <c:v>3426.61</c:v>
                </c:pt>
                <c:pt idx="38">
                  <c:v>3431.3</c:v>
                </c:pt>
                <c:pt idx="39">
                  <c:v>3488.13</c:v>
                </c:pt>
                <c:pt idx="40">
                  <c:v>3474.77</c:v>
                </c:pt>
                <c:pt idx="41">
                  <c:v>3323.89</c:v>
                </c:pt>
                <c:pt idx="42">
                  <c:v>3412.57</c:v>
                </c:pt>
                <c:pt idx="43">
                  <c:v>3359.34</c:v>
                </c:pt>
                <c:pt idx="44">
                  <c:v>3385.58</c:v>
                </c:pt>
                <c:pt idx="45">
                  <c:v>3482.29</c:v>
                </c:pt>
                <c:pt idx="46">
                  <c:v>3643.91</c:v>
                </c:pt>
                <c:pt idx="47">
                  <c:v>3656.3</c:v>
                </c:pt>
                <c:pt idx="48">
                  <c:v>3603.83</c:v>
                </c:pt>
                <c:pt idx="49">
                  <c:v>3549.84</c:v>
                </c:pt>
                <c:pt idx="50">
                  <c:v>3594.22</c:v>
                </c:pt>
                <c:pt idx="51">
                  <c:v>3528.47</c:v>
                </c:pt>
                <c:pt idx="52">
                  <c:v>3551.42</c:v>
                </c:pt>
                <c:pt idx="53">
                  <c:v>3582.9</c:v>
                </c:pt>
                <c:pt idx="54">
                  <c:v>3455.88</c:v>
                </c:pt>
                <c:pt idx="55">
                  <c:v>3437.2</c:v>
                </c:pt>
                <c:pt idx="56">
                  <c:v>3471.49</c:v>
                </c:pt>
                <c:pt idx="57">
                  <c:v>3393.43</c:v>
                </c:pt>
                <c:pt idx="58">
                  <c:v>3477.55</c:v>
                </c:pt>
                <c:pt idx="59">
                  <c:v>3543.12</c:v>
                </c:pt>
                <c:pt idx="60">
                  <c:v>3460.87</c:v>
                </c:pt>
                <c:pt idx="61">
                  <c:v>3450.89</c:v>
                </c:pt>
                <c:pt idx="62">
                  <c:v>3444.61</c:v>
                </c:pt>
                <c:pt idx="63">
                  <c:v>3478.24</c:v>
                </c:pt>
                <c:pt idx="64">
                  <c:v>3552.01</c:v>
                </c:pt>
                <c:pt idx="65">
                  <c:v>3538.39</c:v>
                </c:pt>
                <c:pt idx="66">
                  <c:v>3474.47</c:v>
                </c:pt>
                <c:pt idx="67">
                  <c:v>3442.49</c:v>
                </c:pt>
                <c:pt idx="68">
                  <c:v>3337.85</c:v>
                </c:pt>
                <c:pt idx="69">
                  <c:v>3340.22</c:v>
                </c:pt>
                <c:pt idx="70">
                  <c:v>3356.82</c:v>
                </c:pt>
                <c:pt idx="71">
                  <c:v>3278.06</c:v>
                </c:pt>
                <c:pt idx="72">
                  <c:v>3336.35</c:v>
                </c:pt>
                <c:pt idx="73">
                  <c:v>3449.1</c:v>
                </c:pt>
                <c:pt idx="74">
                  <c:v>3573.59</c:v>
                </c:pt>
                <c:pt idx="75">
                  <c:v>3554.3</c:v>
                </c:pt>
                <c:pt idx="76">
                  <c:v>3718.27</c:v>
                </c:pt>
                <c:pt idx="77">
                  <c:v>3713.32</c:v>
                </c:pt>
                <c:pt idx="78">
                  <c:v>3700.67</c:v>
                </c:pt>
                <c:pt idx="79">
                  <c:v>3865.48</c:v>
                </c:pt>
                <c:pt idx="80">
                  <c:v>3971.29</c:v>
                </c:pt>
                <c:pt idx="81">
                  <c:v>4007.78</c:v>
                </c:pt>
                <c:pt idx="82">
                  <c:v>3922.54</c:v>
                </c:pt>
                <c:pt idx="83">
                  <c:v>3872.01</c:v>
                </c:pt>
                <c:pt idx="84">
                  <c:v>3947.41</c:v>
                </c:pt>
                <c:pt idx="85">
                  <c:v>3962.32</c:v>
                </c:pt>
                <c:pt idx="86">
                  <c:v>4018.69</c:v>
                </c:pt>
                <c:pt idx="87">
                  <c:v>4041.45</c:v>
                </c:pt>
                <c:pt idx="88">
                  <c:v>4072.15</c:v>
                </c:pt>
                <c:pt idx="89">
                  <c:v>4112.59</c:v>
                </c:pt>
                <c:pt idx="90">
                  <c:v>4135.38</c:v>
                </c:pt>
                <c:pt idx="91">
                  <c:v>3980.63</c:v>
                </c:pt>
                <c:pt idx="92">
                  <c:v>3992.59</c:v>
                </c:pt>
                <c:pt idx="93">
                  <c:v>3896.19</c:v>
                </c:pt>
                <c:pt idx="94">
                  <c:v>3799.47</c:v>
                </c:pt>
                <c:pt idx="95">
                  <c:v>3854.57</c:v>
                </c:pt>
                <c:pt idx="96">
                  <c:v>3765.24</c:v>
                </c:pt>
                <c:pt idx="97">
                  <c:v>3752.76</c:v>
                </c:pt>
                <c:pt idx="98">
                  <c:v>3690.76</c:v>
                </c:pt>
                <c:pt idx="99">
                  <c:v>3784.04</c:v>
                </c:pt>
                <c:pt idx="100">
                  <c:v>3796.17</c:v>
                </c:pt>
                <c:pt idx="101">
                  <c:v>3807.73</c:v>
                </c:pt>
                <c:pt idx="102">
                  <c:v>3840.66</c:v>
                </c:pt>
                <c:pt idx="103">
                  <c:v>3772.47</c:v>
                </c:pt>
                <c:pt idx="104">
                  <c:v>3755.42</c:v>
                </c:pt>
                <c:pt idx="105">
                  <c:v>3691.28</c:v>
                </c:pt>
                <c:pt idx="106">
                  <c:v>3739.14</c:v>
                </c:pt>
                <c:pt idx="107">
                  <c:v>3707.62</c:v>
                </c:pt>
                <c:pt idx="108">
                  <c:v>3709.35</c:v>
                </c:pt>
                <c:pt idx="109">
                  <c:v>3697.21</c:v>
                </c:pt>
                <c:pt idx="110">
                  <c:v>3767.88</c:v>
                </c:pt>
                <c:pt idx="111">
                  <c:v>3701.4</c:v>
                </c:pt>
                <c:pt idx="112">
                  <c:v>3677.51</c:v>
                </c:pt>
                <c:pt idx="113">
                  <c:v>3655.46</c:v>
                </c:pt>
                <c:pt idx="114">
                  <c:v>3689.68</c:v>
                </c:pt>
                <c:pt idx="115">
                  <c:v>3588.86</c:v>
                </c:pt>
                <c:pt idx="116">
                  <c:v>3554.45</c:v>
                </c:pt>
                <c:pt idx="117">
                  <c:v>3539.13</c:v>
                </c:pt>
                <c:pt idx="118">
                  <c:v>3626.93</c:v>
                </c:pt>
                <c:pt idx="119">
                  <c:v>3596.8</c:v>
                </c:pt>
                <c:pt idx="120">
                  <c:v>3566.63</c:v>
                </c:pt>
                <c:pt idx="121">
                  <c:v>3600.9</c:v>
                </c:pt>
                <c:pt idx="122">
                  <c:v>3600.49</c:v>
                </c:pt>
                <c:pt idx="123">
                  <c:v>3696.49</c:v>
                </c:pt>
                <c:pt idx="124">
                  <c:v>3782.08</c:v>
                </c:pt>
                <c:pt idx="125">
                  <c:v>3672.58</c:v>
                </c:pt>
                <c:pt idx="126">
                  <c:v>3622.84</c:v>
                </c:pt>
                <c:pt idx="127">
                  <c:v>3640.88</c:v>
                </c:pt>
                <c:pt idx="128">
                  <c:v>3613.13</c:v>
                </c:pt>
                <c:pt idx="129">
                  <c:v>3536.54</c:v>
                </c:pt>
                <c:pt idx="130">
                  <c:v>3610.71</c:v>
                </c:pt>
                <c:pt idx="131">
                  <c:v>3545.09</c:v>
                </c:pt>
                <c:pt idx="132">
                  <c:v>3491.2</c:v>
                </c:pt>
                <c:pt idx="133">
                  <c:v>3421.26</c:v>
                </c:pt>
                <c:pt idx="134">
                  <c:v>3443.73</c:v>
                </c:pt>
                <c:pt idx="135">
                  <c:v>3466.6</c:v>
                </c:pt>
                <c:pt idx="136">
                  <c:v>3414.04</c:v>
                </c:pt>
                <c:pt idx="137">
                  <c:v>3516.87</c:v>
                </c:pt>
                <c:pt idx="138">
                  <c:v>3476.58</c:v>
                </c:pt>
                <c:pt idx="139">
                  <c:v>3385.6</c:v>
                </c:pt>
                <c:pt idx="140">
                  <c:v>3339.42</c:v>
                </c:pt>
                <c:pt idx="141">
                  <c:v>3342.52</c:v>
                </c:pt>
                <c:pt idx="142">
                  <c:v>3382.42</c:v>
                </c:pt>
                <c:pt idx="143">
                  <c:v>3366.68</c:v>
                </c:pt>
                <c:pt idx="144">
                  <c:v>3436.8</c:v>
                </c:pt>
                <c:pt idx="145">
                  <c:v>3429.84</c:v>
                </c:pt>
                <c:pt idx="146">
                  <c:v>3429.69</c:v>
                </c:pt>
                <c:pt idx="147">
                  <c:v>3395.7</c:v>
                </c:pt>
                <c:pt idx="148">
                  <c:v>3384.38</c:v>
                </c:pt>
                <c:pt idx="149">
                  <c:v>3459.09</c:v>
                </c:pt>
                <c:pt idx="150">
                  <c:v>3517.09</c:v>
                </c:pt>
                <c:pt idx="151">
                  <c:v>3498.08</c:v>
                </c:pt>
                <c:pt idx="152">
                  <c:v>3434.39</c:v>
                </c:pt>
                <c:pt idx="153">
                  <c:v>3508.61</c:v>
                </c:pt>
                <c:pt idx="154">
                  <c:v>3468.94</c:v>
                </c:pt>
                <c:pt idx="155">
                  <c:v>3502.96</c:v>
                </c:pt>
                <c:pt idx="156">
                  <c:v>3501.29</c:v>
                </c:pt>
                <c:pt idx="157">
                  <c:v>3445.46</c:v>
                </c:pt>
                <c:pt idx="158">
                  <c:v>3461.22</c:v>
                </c:pt>
                <c:pt idx="159">
                  <c:v>3560.61</c:v>
                </c:pt>
                <c:pt idx="160">
                  <c:v>3496.49</c:v>
                </c:pt>
                <c:pt idx="161">
                  <c:v>3482.84</c:v>
                </c:pt>
                <c:pt idx="162">
                  <c:v>3487.8</c:v>
                </c:pt>
                <c:pt idx="163">
                  <c:v>3436.75</c:v>
                </c:pt>
                <c:pt idx="164">
                  <c:v>3450.73</c:v>
                </c:pt>
                <c:pt idx="165">
                  <c:v>3450.92</c:v>
                </c:pt>
                <c:pt idx="166">
                  <c:v>3475.25</c:v>
                </c:pt>
                <c:pt idx="167">
                  <c:v>3479.8</c:v>
                </c:pt>
                <c:pt idx="168">
                  <c:v>3497.45</c:v>
                </c:pt>
                <c:pt idx="169">
                  <c:v>3536.57</c:v>
                </c:pt>
                <c:pt idx="170">
                  <c:v>3651.56</c:v>
                </c:pt>
                <c:pt idx="171">
                  <c:v>3703.84</c:v>
                </c:pt>
                <c:pt idx="172">
                  <c:v>3698.27</c:v>
                </c:pt>
                <c:pt idx="173">
                  <c:v>3915.58</c:v>
                </c:pt>
                <c:pt idx="174">
                  <c:v>3924.45</c:v>
                </c:pt>
                <c:pt idx="175">
                  <c:v>4209.71</c:v>
                </c:pt>
                <c:pt idx="176">
                  <c:v>4453.24</c:v>
                </c:pt>
                <c:pt idx="177">
                  <c:v>4751.8100000000004</c:v>
                </c:pt>
                <c:pt idx="178">
                  <c:v>5157.08</c:v>
                </c:pt>
                <c:pt idx="179">
                  <c:v>4978.6400000000003</c:v>
                </c:pt>
                <c:pt idx="180">
                  <c:v>5227.13</c:v>
                </c:pt>
                <c:pt idx="181">
                  <c:v>5386.48</c:v>
                </c:pt>
                <c:pt idx="182">
                  <c:v>4695.8100000000004</c:v>
                </c:pt>
                <c:pt idx="183">
                  <c:v>4640.75</c:v>
                </c:pt>
                <c:pt idx="184">
                  <c:v>4736.1000000000004</c:v>
                </c:pt>
                <c:pt idx="185">
                  <c:v>4668.18</c:v>
                </c:pt>
                <c:pt idx="186">
                  <c:v>4450.95</c:v>
                </c:pt>
                <c:pt idx="187">
                  <c:v>4402.37</c:v>
                </c:pt>
                <c:pt idx="188">
                  <c:v>4349.7700000000004</c:v>
                </c:pt>
                <c:pt idx="189">
                  <c:v>4600.8500000000004</c:v>
                </c:pt>
                <c:pt idx="190">
                  <c:v>4491.8999999999996</c:v>
                </c:pt>
                <c:pt idx="191">
                  <c:v>4521.63</c:v>
                </c:pt>
                <c:pt idx="192">
                  <c:v>4605.62</c:v>
                </c:pt>
                <c:pt idx="193">
                  <c:v>4483.99</c:v>
                </c:pt>
                <c:pt idx="194">
                  <c:v>4538.03</c:v>
                </c:pt>
                <c:pt idx="195">
                  <c:v>4574.07</c:v>
                </c:pt>
                <c:pt idx="196">
                  <c:v>4623.84</c:v>
                </c:pt>
                <c:pt idx="197">
                  <c:v>4513.68</c:v>
                </c:pt>
                <c:pt idx="198">
                  <c:v>4499.1499999999996</c:v>
                </c:pt>
                <c:pt idx="199">
                  <c:v>4483.91</c:v>
                </c:pt>
                <c:pt idx="200">
                  <c:v>4532.18</c:v>
                </c:pt>
                <c:pt idx="201">
                  <c:v>4693.8500000000004</c:v>
                </c:pt>
                <c:pt idx="202">
                  <c:v>4574.5</c:v>
                </c:pt>
                <c:pt idx="203">
                  <c:v>4677.6400000000003</c:v>
                </c:pt>
                <c:pt idx="204">
                  <c:v>4668.26</c:v>
                </c:pt>
                <c:pt idx="205">
                  <c:v>4651.71</c:v>
                </c:pt>
                <c:pt idx="206">
                  <c:v>4456.8599999999997</c:v>
                </c:pt>
                <c:pt idx="207">
                  <c:v>4455.67</c:v>
                </c:pt>
                <c:pt idx="208">
                  <c:v>4318.32</c:v>
                </c:pt>
                <c:pt idx="209">
                  <c:v>4327.84</c:v>
                </c:pt>
                <c:pt idx="210">
                  <c:v>4341.53</c:v>
                </c:pt>
                <c:pt idx="211">
                  <c:v>4395.04</c:v>
                </c:pt>
                <c:pt idx="212">
                  <c:v>4413.08</c:v>
                </c:pt>
                <c:pt idx="213">
                  <c:v>4358.1499999999996</c:v>
                </c:pt>
                <c:pt idx="214">
                  <c:v>4246.2</c:v>
                </c:pt>
                <c:pt idx="215">
                  <c:v>4235.3100000000004</c:v>
                </c:pt>
                <c:pt idx="216">
                  <c:v>4221.99</c:v>
                </c:pt>
                <c:pt idx="217">
                  <c:v>4374.4399999999996</c:v>
                </c:pt>
                <c:pt idx="218">
                  <c:v>4353.55</c:v>
                </c:pt>
                <c:pt idx="219">
                  <c:v>4405.95</c:v>
                </c:pt>
                <c:pt idx="220">
                  <c:v>4417.99</c:v>
                </c:pt>
                <c:pt idx="221">
                  <c:v>4404.04</c:v>
                </c:pt>
                <c:pt idx="222">
                  <c:v>4370.22</c:v>
                </c:pt>
                <c:pt idx="223">
                  <c:v>4464.6499999999996</c:v>
                </c:pt>
                <c:pt idx="224">
                  <c:v>4656.8</c:v>
                </c:pt>
                <c:pt idx="225">
                  <c:v>4591.9399999999996</c:v>
                </c:pt>
                <c:pt idx="226">
                  <c:v>4531.58</c:v>
                </c:pt>
                <c:pt idx="227">
                  <c:v>4600.82</c:v>
                </c:pt>
                <c:pt idx="228">
                  <c:v>4479.6000000000004</c:v>
                </c:pt>
                <c:pt idx="229">
                  <c:v>4414.7</c:v>
                </c:pt>
                <c:pt idx="230">
                  <c:v>4389.08</c:v>
                </c:pt>
                <c:pt idx="231">
                  <c:v>4468.8500000000004</c:v>
                </c:pt>
                <c:pt idx="232">
                  <c:v>4439.47</c:v>
                </c:pt>
                <c:pt idx="233">
                  <c:v>4444.1899999999996</c:v>
                </c:pt>
                <c:pt idx="234">
                  <c:v>4457.8500000000004</c:v>
                </c:pt>
                <c:pt idx="235">
                  <c:v>4507.6499999999996</c:v>
                </c:pt>
                <c:pt idx="236">
                  <c:v>4538.59</c:v>
                </c:pt>
                <c:pt idx="237">
                  <c:v>4500.6000000000004</c:v>
                </c:pt>
                <c:pt idx="238">
                  <c:v>4468.1099999999997</c:v>
                </c:pt>
                <c:pt idx="239">
                  <c:v>4357.53</c:v>
                </c:pt>
                <c:pt idx="240">
                  <c:v>4403.12</c:v>
                </c:pt>
                <c:pt idx="241">
                  <c:v>4395.08</c:v>
                </c:pt>
                <c:pt idx="242">
                  <c:v>4354.8</c:v>
                </c:pt>
                <c:pt idx="243">
                  <c:v>4307.3999999999996</c:v>
                </c:pt>
                <c:pt idx="244">
                  <c:v>4311.54</c:v>
                </c:pt>
                <c:pt idx="245">
                  <c:v>4260.82</c:v>
                </c:pt>
                <c:pt idx="246">
                  <c:v>4221.92</c:v>
                </c:pt>
                <c:pt idx="247">
                  <c:v>4352.04</c:v>
                </c:pt>
                <c:pt idx="248">
                  <c:v>4363.79</c:v>
                </c:pt>
                <c:pt idx="249">
                  <c:v>4417.37</c:v>
                </c:pt>
                <c:pt idx="250">
                  <c:v>4479.1899999999996</c:v>
                </c:pt>
                <c:pt idx="251">
                  <c:v>4693.72</c:v>
                </c:pt>
                <c:pt idx="252">
                  <c:v>4581.09</c:v>
                </c:pt>
                <c:pt idx="253">
                  <c:v>4515.4799999999996</c:v>
                </c:pt>
                <c:pt idx="254">
                  <c:v>4657.6099999999997</c:v>
                </c:pt>
                <c:pt idx="255">
                  <c:v>4687.34</c:v>
                </c:pt>
                <c:pt idx="256">
                  <c:v>4723.63</c:v>
                </c:pt>
                <c:pt idx="257">
                  <c:v>4737.46</c:v>
                </c:pt>
                <c:pt idx="258">
                  <c:v>4977.38</c:v>
                </c:pt>
                <c:pt idx="259">
                  <c:v>4930.2</c:v>
                </c:pt>
                <c:pt idx="260">
                  <c:v>5059.38</c:v>
                </c:pt>
                <c:pt idx="261">
                  <c:v>5150.3500000000004</c:v>
                </c:pt>
                <c:pt idx="262">
                  <c:v>5286.66</c:v>
                </c:pt>
                <c:pt idx="263">
                  <c:v>5142.3100000000004</c:v>
                </c:pt>
                <c:pt idx="264">
                  <c:v>5281.18</c:v>
                </c:pt>
                <c:pt idx="265">
                  <c:v>5235.28</c:v>
                </c:pt>
                <c:pt idx="266">
                  <c:v>5526.22</c:v>
                </c:pt>
                <c:pt idx="267">
                  <c:v>5639.05</c:v>
                </c:pt>
                <c:pt idx="268">
                  <c:v>5672.24</c:v>
                </c:pt>
                <c:pt idx="269">
                  <c:v>5500.02</c:v>
                </c:pt>
                <c:pt idx="270">
                  <c:v>5859.3</c:v>
                </c:pt>
                <c:pt idx="271">
                  <c:v>5789.52</c:v>
                </c:pt>
                <c:pt idx="272">
                  <c:v>5698.82</c:v>
                </c:pt>
                <c:pt idx="273">
                  <c:v>5953.79</c:v>
                </c:pt>
                <c:pt idx="274">
                  <c:v>5881.01</c:v>
                </c:pt>
                <c:pt idx="275">
                  <c:v>5568.14</c:v>
                </c:pt>
                <c:pt idx="276">
                  <c:v>5535.86</c:v>
                </c:pt>
                <c:pt idx="277">
                  <c:v>5535.64</c:v>
                </c:pt>
                <c:pt idx="278">
                  <c:v>5757.94</c:v>
                </c:pt>
                <c:pt idx="279">
                  <c:v>6068.77</c:v>
                </c:pt>
                <c:pt idx="280">
                  <c:v>6037.44</c:v>
                </c:pt>
                <c:pt idx="281">
                  <c:v>5885.49</c:v>
                </c:pt>
                <c:pt idx="282">
                  <c:v>5967.23</c:v>
                </c:pt>
                <c:pt idx="283">
                  <c:v>5845.36</c:v>
                </c:pt>
                <c:pt idx="284">
                  <c:v>5747.77</c:v>
                </c:pt>
                <c:pt idx="285">
                  <c:v>5880.78</c:v>
                </c:pt>
                <c:pt idx="286">
                  <c:v>5872.81</c:v>
                </c:pt>
                <c:pt idx="287">
                  <c:v>6105.5</c:v>
                </c:pt>
                <c:pt idx="288">
                  <c:v>6041.19</c:v>
                </c:pt>
                <c:pt idx="289">
                  <c:v>5836.28</c:v>
                </c:pt>
                <c:pt idx="290">
                  <c:v>5639.56</c:v>
                </c:pt>
                <c:pt idx="291">
                  <c:v>5736.83</c:v>
                </c:pt>
                <c:pt idx="292">
                  <c:v>5517.52</c:v>
                </c:pt>
                <c:pt idx="293">
                  <c:v>5573.04</c:v>
                </c:pt>
                <c:pt idx="294">
                  <c:v>5589.12</c:v>
                </c:pt>
                <c:pt idx="295">
                  <c:v>5506.47</c:v>
                </c:pt>
                <c:pt idx="296">
                  <c:v>5394.72</c:v>
                </c:pt>
                <c:pt idx="297">
                  <c:v>5407.38</c:v>
                </c:pt>
                <c:pt idx="298">
                  <c:v>5426.44</c:v>
                </c:pt>
                <c:pt idx="299">
                  <c:v>5313.26</c:v>
                </c:pt>
                <c:pt idx="300">
                  <c:v>4401.51</c:v>
                </c:pt>
                <c:pt idx="301">
                  <c:v>4568.38</c:v>
                </c:pt>
                <c:pt idx="302">
                  <c:v>4689.1899999999996</c:v>
                </c:pt>
                <c:pt idx="303">
                  <c:v>4813.74</c:v>
                </c:pt>
                <c:pt idx="304">
                  <c:v>4900.43</c:v>
                </c:pt>
                <c:pt idx="305">
                  <c:v>5015.12</c:v>
                </c:pt>
                <c:pt idx="306">
                  <c:v>4981.6000000000004</c:v>
                </c:pt>
                <c:pt idx="307">
                  <c:v>4796.28</c:v>
                </c:pt>
                <c:pt idx="308">
                  <c:v>4887.37</c:v>
                </c:pt>
                <c:pt idx="309">
                  <c:v>4899.21</c:v>
                </c:pt>
                <c:pt idx="310">
                  <c:v>5049.3999999999996</c:v>
                </c:pt>
                <c:pt idx="311">
                  <c:v>4975.8900000000003</c:v>
                </c:pt>
                <c:pt idx="312">
                  <c:v>4982.96</c:v>
                </c:pt>
                <c:pt idx="313">
                  <c:v>4988.9399999999996</c:v>
                </c:pt>
                <c:pt idx="314">
                  <c:v>5019.7299999999996</c:v>
                </c:pt>
                <c:pt idx="315">
                  <c:v>5087.42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E-4E44-9AC7-A87B4F0E8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588088"/>
        <c:axId val="649595768"/>
      </c:lineChart>
      <c:dateAx>
        <c:axId val="649588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5768"/>
        <c:crosses val="autoZero"/>
        <c:auto val="1"/>
        <c:lblOffset val="100"/>
        <c:baseTimeUnit val="days"/>
      </c:dateAx>
      <c:valAx>
        <c:axId val="649595768"/>
        <c:scaling>
          <c:orientation val="minMax"/>
          <c:max val="6500"/>
          <c:min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8088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Hang Seng CEI</a:t>
            </a:r>
            <a:r>
              <a:rPr lang="en-GB" sz="1400" b="0" i="0" u="none" strike="noStrike" baseline="0"/>
              <a:t> </a:t>
            </a:r>
            <a:endParaRPr lang="en-US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Data!$M$1</c:f>
              <c:strCache>
                <c:ptCount val="1"/>
                <c:pt idx="0">
                  <c:v>Hang Seng CEI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Data!$M$2:$M$317</c:f>
              <c:numCache>
                <c:formatCode>General</c:formatCode>
                <c:ptCount val="316"/>
                <c:pt idx="0">
                  <c:v>5672.53</c:v>
                </c:pt>
                <c:pt idx="1">
                  <c:v>5628.79</c:v>
                </c:pt>
                <c:pt idx="2">
                  <c:v>5649.23</c:v>
                </c:pt>
                <c:pt idx="3">
                  <c:v>5606.98</c:v>
                </c:pt>
                <c:pt idx="4">
                  <c:v>5480.82</c:v>
                </c:pt>
                <c:pt idx="5">
                  <c:v>5449.76</c:v>
                </c:pt>
                <c:pt idx="6">
                  <c:v>5421.23</c:v>
                </c:pt>
                <c:pt idx="7">
                  <c:v>5494.48</c:v>
                </c:pt>
                <c:pt idx="8">
                  <c:v>5481.94</c:v>
                </c:pt>
                <c:pt idx="9">
                  <c:v>5343.3</c:v>
                </c:pt>
                <c:pt idx="10">
                  <c:v>5132.82</c:v>
                </c:pt>
                <c:pt idx="11">
                  <c:v>5172.05</c:v>
                </c:pt>
                <c:pt idx="12">
                  <c:v>5127.24</c:v>
                </c:pt>
                <c:pt idx="13">
                  <c:v>5001.95</c:v>
                </c:pt>
                <c:pt idx="14">
                  <c:v>5140.93</c:v>
                </c:pt>
                <c:pt idx="15">
                  <c:v>5353.05</c:v>
                </c:pt>
                <c:pt idx="16">
                  <c:v>5468.71</c:v>
                </c:pt>
                <c:pt idx="17">
                  <c:v>5360.24</c:v>
                </c:pt>
                <c:pt idx="18">
                  <c:v>5408.93</c:v>
                </c:pt>
                <c:pt idx="19">
                  <c:v>5275.37</c:v>
                </c:pt>
                <c:pt idx="20">
                  <c:v>5194.04</c:v>
                </c:pt>
                <c:pt idx="21">
                  <c:v>5223.4799999999996</c:v>
                </c:pt>
                <c:pt idx="22">
                  <c:v>5218.99</c:v>
                </c:pt>
                <c:pt idx="23">
                  <c:v>5217.3599999999997</c:v>
                </c:pt>
                <c:pt idx="24">
                  <c:v>5473.75</c:v>
                </c:pt>
                <c:pt idx="25">
                  <c:v>5421.53</c:v>
                </c:pt>
                <c:pt idx="26">
                  <c:v>5360.08</c:v>
                </c:pt>
                <c:pt idx="27">
                  <c:v>5306.79</c:v>
                </c:pt>
                <c:pt idx="28">
                  <c:v>5386.31</c:v>
                </c:pt>
                <c:pt idx="29">
                  <c:v>5410.94</c:v>
                </c:pt>
                <c:pt idx="30">
                  <c:v>5558.86</c:v>
                </c:pt>
                <c:pt idx="31">
                  <c:v>5519.23</c:v>
                </c:pt>
                <c:pt idx="32">
                  <c:v>5642.78</c:v>
                </c:pt>
                <c:pt idx="33">
                  <c:v>5758.46</c:v>
                </c:pt>
                <c:pt idx="34">
                  <c:v>5765.1</c:v>
                </c:pt>
                <c:pt idx="35">
                  <c:v>5723.36</c:v>
                </c:pt>
                <c:pt idx="36">
                  <c:v>5806.9</c:v>
                </c:pt>
                <c:pt idx="37">
                  <c:v>5688.46</c:v>
                </c:pt>
                <c:pt idx="38">
                  <c:v>5677.88</c:v>
                </c:pt>
                <c:pt idx="39">
                  <c:v>5728.84</c:v>
                </c:pt>
                <c:pt idx="40">
                  <c:v>5712.83</c:v>
                </c:pt>
                <c:pt idx="41">
                  <c:v>5562.73</c:v>
                </c:pt>
                <c:pt idx="42">
                  <c:v>5672.97</c:v>
                </c:pt>
                <c:pt idx="43">
                  <c:v>5613.83</c:v>
                </c:pt>
                <c:pt idx="44">
                  <c:v>5656.72</c:v>
                </c:pt>
                <c:pt idx="45">
                  <c:v>5748.89</c:v>
                </c:pt>
                <c:pt idx="46">
                  <c:v>5949.52</c:v>
                </c:pt>
                <c:pt idx="47">
                  <c:v>5932.46</c:v>
                </c:pt>
                <c:pt idx="48">
                  <c:v>5906.88</c:v>
                </c:pt>
                <c:pt idx="49">
                  <c:v>5820.5</c:v>
                </c:pt>
                <c:pt idx="50">
                  <c:v>5848.15</c:v>
                </c:pt>
                <c:pt idx="51">
                  <c:v>5780.21</c:v>
                </c:pt>
                <c:pt idx="52">
                  <c:v>5803.99</c:v>
                </c:pt>
                <c:pt idx="53">
                  <c:v>5905.27</c:v>
                </c:pt>
                <c:pt idx="54">
                  <c:v>5757.67</c:v>
                </c:pt>
                <c:pt idx="55">
                  <c:v>5754.65</c:v>
                </c:pt>
                <c:pt idx="56">
                  <c:v>5825.42</c:v>
                </c:pt>
                <c:pt idx="57">
                  <c:v>5728.13</c:v>
                </c:pt>
                <c:pt idx="58">
                  <c:v>5810.79</c:v>
                </c:pt>
                <c:pt idx="59">
                  <c:v>5960.72</c:v>
                </c:pt>
                <c:pt idx="60">
                  <c:v>5874.99</c:v>
                </c:pt>
                <c:pt idx="61">
                  <c:v>5863.57</c:v>
                </c:pt>
                <c:pt idx="62">
                  <c:v>5868.97</c:v>
                </c:pt>
                <c:pt idx="63">
                  <c:v>5895.32</c:v>
                </c:pt>
                <c:pt idx="64">
                  <c:v>6016.83</c:v>
                </c:pt>
                <c:pt idx="65">
                  <c:v>6003.97</c:v>
                </c:pt>
                <c:pt idx="66">
                  <c:v>5879.58</c:v>
                </c:pt>
                <c:pt idx="67">
                  <c:v>5856.44</c:v>
                </c:pt>
                <c:pt idx="68">
                  <c:v>5743.78</c:v>
                </c:pt>
                <c:pt idx="69">
                  <c:v>5749.69</c:v>
                </c:pt>
                <c:pt idx="70">
                  <c:v>5803.86</c:v>
                </c:pt>
                <c:pt idx="71">
                  <c:v>5746.61</c:v>
                </c:pt>
                <c:pt idx="72">
                  <c:v>5831.26</c:v>
                </c:pt>
                <c:pt idx="73">
                  <c:v>5954.62</c:v>
                </c:pt>
                <c:pt idx="74">
                  <c:v>6100.22</c:v>
                </c:pt>
                <c:pt idx="75">
                  <c:v>6120.37</c:v>
                </c:pt>
                <c:pt idx="76">
                  <c:v>6269.76</c:v>
                </c:pt>
                <c:pt idx="77">
                  <c:v>6282.86</c:v>
                </c:pt>
                <c:pt idx="78">
                  <c:v>6273.75</c:v>
                </c:pt>
                <c:pt idx="79">
                  <c:v>6437.09</c:v>
                </c:pt>
                <c:pt idx="80">
                  <c:v>6547.29</c:v>
                </c:pt>
                <c:pt idx="81">
                  <c:v>6572.45</c:v>
                </c:pt>
                <c:pt idx="82">
                  <c:v>6526.67</c:v>
                </c:pt>
                <c:pt idx="83">
                  <c:v>6456.72</c:v>
                </c:pt>
                <c:pt idx="84">
                  <c:v>6560.67</c:v>
                </c:pt>
                <c:pt idx="85">
                  <c:v>6718.86</c:v>
                </c:pt>
                <c:pt idx="86">
                  <c:v>6761.64</c:v>
                </c:pt>
                <c:pt idx="87">
                  <c:v>6741.41</c:v>
                </c:pt>
                <c:pt idx="88">
                  <c:v>6871.38</c:v>
                </c:pt>
                <c:pt idx="89">
                  <c:v>6934.7</c:v>
                </c:pt>
                <c:pt idx="90">
                  <c:v>6964.99</c:v>
                </c:pt>
                <c:pt idx="91">
                  <c:v>6820.97</c:v>
                </c:pt>
                <c:pt idx="92">
                  <c:v>6817.68</c:v>
                </c:pt>
                <c:pt idx="93">
                  <c:v>6701.78</c:v>
                </c:pt>
                <c:pt idx="94">
                  <c:v>6605.24</c:v>
                </c:pt>
                <c:pt idx="95">
                  <c:v>6686.13</c:v>
                </c:pt>
                <c:pt idx="96">
                  <c:v>6557.48</c:v>
                </c:pt>
                <c:pt idx="97">
                  <c:v>6462.95</c:v>
                </c:pt>
                <c:pt idx="98">
                  <c:v>6392.58</c:v>
                </c:pt>
                <c:pt idx="99">
                  <c:v>6531.99</c:v>
                </c:pt>
                <c:pt idx="100">
                  <c:v>6554.32</c:v>
                </c:pt>
                <c:pt idx="101">
                  <c:v>6542.47</c:v>
                </c:pt>
                <c:pt idx="102">
                  <c:v>6555.06</c:v>
                </c:pt>
                <c:pt idx="103">
                  <c:v>6510.37</c:v>
                </c:pt>
                <c:pt idx="104">
                  <c:v>6452.06</c:v>
                </c:pt>
                <c:pt idx="105">
                  <c:v>6359.36</c:v>
                </c:pt>
                <c:pt idx="106">
                  <c:v>6421.81</c:v>
                </c:pt>
                <c:pt idx="107">
                  <c:v>6374.66</c:v>
                </c:pt>
                <c:pt idx="108">
                  <c:v>6373.48</c:v>
                </c:pt>
                <c:pt idx="109">
                  <c:v>6368.1</c:v>
                </c:pt>
                <c:pt idx="110">
                  <c:v>6556.1</c:v>
                </c:pt>
                <c:pt idx="111">
                  <c:v>6439.82</c:v>
                </c:pt>
                <c:pt idx="112">
                  <c:v>6441.16</c:v>
                </c:pt>
                <c:pt idx="113">
                  <c:v>6464.49</c:v>
                </c:pt>
                <c:pt idx="114">
                  <c:v>6477.24</c:v>
                </c:pt>
                <c:pt idx="115">
                  <c:v>6324.05</c:v>
                </c:pt>
                <c:pt idx="116">
                  <c:v>6331.86</c:v>
                </c:pt>
                <c:pt idx="117">
                  <c:v>6374.91</c:v>
                </c:pt>
                <c:pt idx="118">
                  <c:v>6455.7</c:v>
                </c:pt>
                <c:pt idx="119">
                  <c:v>6382.27</c:v>
                </c:pt>
                <c:pt idx="120">
                  <c:v>6284.73</c:v>
                </c:pt>
                <c:pt idx="121">
                  <c:v>6275.64</c:v>
                </c:pt>
                <c:pt idx="122">
                  <c:v>6251.18</c:v>
                </c:pt>
                <c:pt idx="123">
                  <c:v>6371.78</c:v>
                </c:pt>
                <c:pt idx="124">
                  <c:v>6532.63</c:v>
                </c:pt>
                <c:pt idx="125">
                  <c:v>6421.67</c:v>
                </c:pt>
                <c:pt idx="126">
                  <c:v>6316.53</c:v>
                </c:pt>
                <c:pt idx="127">
                  <c:v>6297.49</c:v>
                </c:pt>
                <c:pt idx="128">
                  <c:v>6306.8</c:v>
                </c:pt>
                <c:pt idx="129">
                  <c:v>6165.04</c:v>
                </c:pt>
                <c:pt idx="130">
                  <c:v>6253.94</c:v>
                </c:pt>
                <c:pt idx="131">
                  <c:v>6194.69</c:v>
                </c:pt>
                <c:pt idx="132">
                  <c:v>6142.32</c:v>
                </c:pt>
                <c:pt idx="133">
                  <c:v>6016.51</c:v>
                </c:pt>
                <c:pt idx="134">
                  <c:v>6010.64</c:v>
                </c:pt>
                <c:pt idx="135">
                  <c:v>6080.56</c:v>
                </c:pt>
                <c:pt idx="136">
                  <c:v>5986.69</c:v>
                </c:pt>
                <c:pt idx="137">
                  <c:v>6107.16</c:v>
                </c:pt>
                <c:pt idx="138">
                  <c:v>6086.4</c:v>
                </c:pt>
                <c:pt idx="139">
                  <c:v>5974.85</c:v>
                </c:pt>
                <c:pt idx="140">
                  <c:v>5876.64</c:v>
                </c:pt>
                <c:pt idx="141">
                  <c:v>5852.61</c:v>
                </c:pt>
                <c:pt idx="142">
                  <c:v>5933.17</c:v>
                </c:pt>
                <c:pt idx="143">
                  <c:v>5941.47</c:v>
                </c:pt>
                <c:pt idx="144">
                  <c:v>6017.85</c:v>
                </c:pt>
                <c:pt idx="145">
                  <c:v>6029.66</c:v>
                </c:pt>
                <c:pt idx="146">
                  <c:v>6049.41</c:v>
                </c:pt>
                <c:pt idx="147">
                  <c:v>6025.16</c:v>
                </c:pt>
                <c:pt idx="148">
                  <c:v>6035.27</c:v>
                </c:pt>
                <c:pt idx="149">
                  <c:v>6161.9</c:v>
                </c:pt>
                <c:pt idx="150">
                  <c:v>6225.86</c:v>
                </c:pt>
                <c:pt idx="151">
                  <c:v>6195.58</c:v>
                </c:pt>
                <c:pt idx="152">
                  <c:v>6141.78</c:v>
                </c:pt>
                <c:pt idx="153">
                  <c:v>6224.24</c:v>
                </c:pt>
                <c:pt idx="154">
                  <c:v>6219.24</c:v>
                </c:pt>
                <c:pt idx="155">
                  <c:v>6278.63</c:v>
                </c:pt>
                <c:pt idx="156">
                  <c:v>6306.36</c:v>
                </c:pt>
                <c:pt idx="157">
                  <c:v>6225.99</c:v>
                </c:pt>
                <c:pt idx="158">
                  <c:v>6247.13</c:v>
                </c:pt>
                <c:pt idx="159">
                  <c:v>6331.14</c:v>
                </c:pt>
                <c:pt idx="160">
                  <c:v>6203.55</c:v>
                </c:pt>
                <c:pt idx="161">
                  <c:v>6133.98</c:v>
                </c:pt>
                <c:pt idx="162">
                  <c:v>6105.54</c:v>
                </c:pt>
                <c:pt idx="163">
                  <c:v>6002.91</c:v>
                </c:pt>
                <c:pt idx="164">
                  <c:v>6026.34</c:v>
                </c:pt>
                <c:pt idx="165">
                  <c:v>5982.55</c:v>
                </c:pt>
                <c:pt idx="166">
                  <c:v>6017.53</c:v>
                </c:pt>
                <c:pt idx="167">
                  <c:v>6071.52</c:v>
                </c:pt>
                <c:pt idx="168">
                  <c:v>6090.16</c:v>
                </c:pt>
                <c:pt idx="169">
                  <c:v>6176.03</c:v>
                </c:pt>
                <c:pt idx="170">
                  <c:v>6305.51</c:v>
                </c:pt>
                <c:pt idx="171">
                  <c:v>6381.5</c:v>
                </c:pt>
                <c:pt idx="172">
                  <c:v>6389.08</c:v>
                </c:pt>
                <c:pt idx="173">
                  <c:v>6714.47</c:v>
                </c:pt>
                <c:pt idx="174">
                  <c:v>6765.6</c:v>
                </c:pt>
                <c:pt idx="175">
                  <c:v>7086.7</c:v>
                </c:pt>
                <c:pt idx="176">
                  <c:v>7299.9</c:v>
                </c:pt>
                <c:pt idx="177">
                  <c:v>7509.79</c:v>
                </c:pt>
                <c:pt idx="178">
                  <c:v>8041.27</c:v>
                </c:pt>
                <c:pt idx="179">
                  <c:v>7914.16</c:v>
                </c:pt>
                <c:pt idx="180">
                  <c:v>8156.5</c:v>
                </c:pt>
                <c:pt idx="181">
                  <c:v>8330.85</c:v>
                </c:pt>
                <c:pt idx="182">
                  <c:v>7483.67</c:v>
                </c:pt>
                <c:pt idx="183">
                  <c:v>7365.59</c:v>
                </c:pt>
                <c:pt idx="184">
                  <c:v>7620.74</c:v>
                </c:pt>
                <c:pt idx="185">
                  <c:v>7579.94</c:v>
                </c:pt>
                <c:pt idx="186">
                  <c:v>7277.83</c:v>
                </c:pt>
                <c:pt idx="187">
                  <c:v>7267.98</c:v>
                </c:pt>
                <c:pt idx="188">
                  <c:v>7179.44</c:v>
                </c:pt>
                <c:pt idx="189">
                  <c:v>7471.95</c:v>
                </c:pt>
                <c:pt idx="190">
                  <c:v>7340.56</c:v>
                </c:pt>
                <c:pt idx="191">
                  <c:v>7363</c:v>
                </c:pt>
                <c:pt idx="192">
                  <c:v>7478.23</c:v>
                </c:pt>
                <c:pt idx="193">
                  <c:v>7359.14</c:v>
                </c:pt>
                <c:pt idx="194">
                  <c:v>7385.26</c:v>
                </c:pt>
                <c:pt idx="195">
                  <c:v>7391.22</c:v>
                </c:pt>
                <c:pt idx="196">
                  <c:v>7417.53</c:v>
                </c:pt>
                <c:pt idx="197">
                  <c:v>7286.5</c:v>
                </c:pt>
                <c:pt idx="198">
                  <c:v>7264.11</c:v>
                </c:pt>
                <c:pt idx="199">
                  <c:v>7342.66</c:v>
                </c:pt>
                <c:pt idx="200">
                  <c:v>7367.65</c:v>
                </c:pt>
                <c:pt idx="201">
                  <c:v>7556.62</c:v>
                </c:pt>
                <c:pt idx="202">
                  <c:v>7363.47</c:v>
                </c:pt>
                <c:pt idx="203">
                  <c:v>7546.95</c:v>
                </c:pt>
                <c:pt idx="204">
                  <c:v>7461.44</c:v>
                </c:pt>
                <c:pt idx="205">
                  <c:v>7355.57</c:v>
                </c:pt>
                <c:pt idx="206">
                  <c:v>7127.14</c:v>
                </c:pt>
                <c:pt idx="207">
                  <c:v>7130.93</c:v>
                </c:pt>
                <c:pt idx="208">
                  <c:v>6973.08</c:v>
                </c:pt>
                <c:pt idx="209">
                  <c:v>6980.06</c:v>
                </c:pt>
                <c:pt idx="210">
                  <c:v>7057.1</c:v>
                </c:pt>
                <c:pt idx="211">
                  <c:v>7082.21</c:v>
                </c:pt>
                <c:pt idx="212">
                  <c:v>7090.86</c:v>
                </c:pt>
                <c:pt idx="213">
                  <c:v>7034.89</c:v>
                </c:pt>
                <c:pt idx="214">
                  <c:v>6887.05</c:v>
                </c:pt>
                <c:pt idx="215">
                  <c:v>6862.2</c:v>
                </c:pt>
                <c:pt idx="216">
                  <c:v>6851.56</c:v>
                </c:pt>
                <c:pt idx="217">
                  <c:v>7027.4</c:v>
                </c:pt>
                <c:pt idx="218">
                  <c:v>6946.68</c:v>
                </c:pt>
                <c:pt idx="219">
                  <c:v>7009.05</c:v>
                </c:pt>
                <c:pt idx="220">
                  <c:v>7072.13</c:v>
                </c:pt>
                <c:pt idx="221">
                  <c:v>7085</c:v>
                </c:pt>
                <c:pt idx="222">
                  <c:v>7014.13</c:v>
                </c:pt>
                <c:pt idx="223">
                  <c:v>7136.55</c:v>
                </c:pt>
                <c:pt idx="224">
                  <c:v>7360.67</c:v>
                </c:pt>
                <c:pt idx="225">
                  <c:v>7306.16</c:v>
                </c:pt>
                <c:pt idx="226">
                  <c:v>7249.38</c:v>
                </c:pt>
                <c:pt idx="227">
                  <c:v>7360.1</c:v>
                </c:pt>
                <c:pt idx="228">
                  <c:v>7186.59</c:v>
                </c:pt>
                <c:pt idx="229">
                  <c:v>7132.69</c:v>
                </c:pt>
                <c:pt idx="230">
                  <c:v>7105.44</c:v>
                </c:pt>
                <c:pt idx="231">
                  <c:v>7180.79</c:v>
                </c:pt>
                <c:pt idx="232">
                  <c:v>7152.13</c:v>
                </c:pt>
                <c:pt idx="233">
                  <c:v>7143.88</c:v>
                </c:pt>
                <c:pt idx="234">
                  <c:v>7213.85</c:v>
                </c:pt>
                <c:pt idx="235">
                  <c:v>7303.92</c:v>
                </c:pt>
                <c:pt idx="236">
                  <c:v>7305.36</c:v>
                </c:pt>
                <c:pt idx="237">
                  <c:v>7280.48</c:v>
                </c:pt>
                <c:pt idx="238">
                  <c:v>7289.89</c:v>
                </c:pt>
                <c:pt idx="239">
                  <c:v>7090.56</c:v>
                </c:pt>
                <c:pt idx="240">
                  <c:v>7159.28</c:v>
                </c:pt>
                <c:pt idx="241">
                  <c:v>7135.48</c:v>
                </c:pt>
                <c:pt idx="242">
                  <c:v>7049.71</c:v>
                </c:pt>
                <c:pt idx="243">
                  <c:v>6990.65</c:v>
                </c:pt>
                <c:pt idx="244">
                  <c:v>6978.97</c:v>
                </c:pt>
                <c:pt idx="245">
                  <c:v>6898.15</c:v>
                </c:pt>
                <c:pt idx="246">
                  <c:v>6843.71</c:v>
                </c:pt>
                <c:pt idx="247">
                  <c:v>6987.36</c:v>
                </c:pt>
                <c:pt idx="248">
                  <c:v>7011.6</c:v>
                </c:pt>
                <c:pt idx="249">
                  <c:v>7098.76</c:v>
                </c:pt>
                <c:pt idx="250">
                  <c:v>7108.81</c:v>
                </c:pt>
                <c:pt idx="251">
                  <c:v>7320.88</c:v>
                </c:pt>
                <c:pt idx="252">
                  <c:v>7177.14</c:v>
                </c:pt>
                <c:pt idx="253">
                  <c:v>7164.22</c:v>
                </c:pt>
                <c:pt idx="254">
                  <c:v>7312.16</c:v>
                </c:pt>
                <c:pt idx="255">
                  <c:v>7382.81</c:v>
                </c:pt>
                <c:pt idx="256">
                  <c:v>7382.13</c:v>
                </c:pt>
                <c:pt idx="257">
                  <c:v>7384.11</c:v>
                </c:pt>
                <c:pt idx="258">
                  <c:v>7643.63</c:v>
                </c:pt>
                <c:pt idx="259">
                  <c:v>7566.27</c:v>
                </c:pt>
                <c:pt idx="260">
                  <c:v>7690.35</c:v>
                </c:pt>
                <c:pt idx="261">
                  <c:v>7784.07</c:v>
                </c:pt>
                <c:pt idx="262">
                  <c:v>7946.81</c:v>
                </c:pt>
                <c:pt idx="263">
                  <c:v>7842.72</c:v>
                </c:pt>
                <c:pt idx="264">
                  <c:v>8058.08</c:v>
                </c:pt>
                <c:pt idx="265">
                  <c:v>8002.63</c:v>
                </c:pt>
                <c:pt idx="266">
                  <c:v>8331.4</c:v>
                </c:pt>
                <c:pt idx="267">
                  <c:v>8475.4</c:v>
                </c:pt>
                <c:pt idx="268">
                  <c:v>8463.1</c:v>
                </c:pt>
                <c:pt idx="269">
                  <c:v>8322.56</c:v>
                </c:pt>
                <c:pt idx="270">
                  <c:v>8666.7199999999993</c:v>
                </c:pt>
                <c:pt idx="271">
                  <c:v>8618.8799999999992</c:v>
                </c:pt>
                <c:pt idx="272">
                  <c:v>8499.19</c:v>
                </c:pt>
                <c:pt idx="273">
                  <c:v>8792.89</c:v>
                </c:pt>
                <c:pt idx="274">
                  <c:v>8734.58</c:v>
                </c:pt>
                <c:pt idx="275">
                  <c:v>8417.43</c:v>
                </c:pt>
                <c:pt idx="276">
                  <c:v>8419.69</c:v>
                </c:pt>
                <c:pt idx="277">
                  <c:v>8367.4699999999993</c:v>
                </c:pt>
                <c:pt idx="278">
                  <c:v>8630.4</c:v>
                </c:pt>
                <c:pt idx="279">
                  <c:v>8938.09</c:v>
                </c:pt>
                <c:pt idx="280">
                  <c:v>8914.0300000000007</c:v>
                </c:pt>
                <c:pt idx="281">
                  <c:v>8725.01</c:v>
                </c:pt>
                <c:pt idx="282">
                  <c:v>8755.3700000000008</c:v>
                </c:pt>
                <c:pt idx="283">
                  <c:v>8682.1299999999992</c:v>
                </c:pt>
                <c:pt idx="284">
                  <c:v>8640.61</c:v>
                </c:pt>
                <c:pt idx="285">
                  <c:v>8877.99</c:v>
                </c:pt>
                <c:pt idx="286">
                  <c:v>8928.4500000000007</c:v>
                </c:pt>
                <c:pt idx="287">
                  <c:v>9177.7999999999993</c:v>
                </c:pt>
                <c:pt idx="288">
                  <c:v>9163.67</c:v>
                </c:pt>
                <c:pt idx="289">
                  <c:v>8950.18</c:v>
                </c:pt>
                <c:pt idx="290">
                  <c:v>8742.44</c:v>
                </c:pt>
                <c:pt idx="291">
                  <c:v>8850.69</c:v>
                </c:pt>
                <c:pt idx="292">
                  <c:v>8616.0499999999993</c:v>
                </c:pt>
                <c:pt idx="293">
                  <c:v>8654.26</c:v>
                </c:pt>
                <c:pt idx="294">
                  <c:v>8677.68</c:v>
                </c:pt>
                <c:pt idx="295">
                  <c:v>8606.51</c:v>
                </c:pt>
                <c:pt idx="296">
                  <c:v>8516.5499999999993</c:v>
                </c:pt>
                <c:pt idx="297">
                  <c:v>8537.34</c:v>
                </c:pt>
                <c:pt idx="298">
                  <c:v>8531.51</c:v>
                </c:pt>
                <c:pt idx="299">
                  <c:v>8420.14</c:v>
                </c:pt>
                <c:pt idx="300">
                  <c:v>7262.72</c:v>
                </c:pt>
                <c:pt idx="301">
                  <c:v>7430.62</c:v>
                </c:pt>
                <c:pt idx="302">
                  <c:v>7535.68</c:v>
                </c:pt>
                <c:pt idx="303">
                  <c:v>7668.38</c:v>
                </c:pt>
                <c:pt idx="304">
                  <c:v>7801.51</c:v>
                </c:pt>
                <c:pt idx="305">
                  <c:v>7965.81</c:v>
                </c:pt>
                <c:pt idx="306">
                  <c:v>7982.88</c:v>
                </c:pt>
                <c:pt idx="307">
                  <c:v>7779.01</c:v>
                </c:pt>
                <c:pt idx="308">
                  <c:v>7897.44</c:v>
                </c:pt>
                <c:pt idx="309">
                  <c:v>7950.79</c:v>
                </c:pt>
                <c:pt idx="310">
                  <c:v>8116.28</c:v>
                </c:pt>
                <c:pt idx="311">
                  <c:v>8056.85</c:v>
                </c:pt>
                <c:pt idx="312">
                  <c:v>8080.54</c:v>
                </c:pt>
                <c:pt idx="313">
                  <c:v>8080.19</c:v>
                </c:pt>
                <c:pt idx="314">
                  <c:v>8067.94</c:v>
                </c:pt>
                <c:pt idx="315">
                  <c:v>8076.26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E-480A-A543-7907E0D5A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0833928"/>
        <c:axId val="830834568"/>
      </c:lineChart>
      <c:dateAx>
        <c:axId val="830833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34568"/>
        <c:crosses val="autoZero"/>
        <c:auto val="1"/>
        <c:lblOffset val="100"/>
        <c:baseTimeUnit val="days"/>
      </c:dateAx>
      <c:valAx>
        <c:axId val="830834568"/>
        <c:scaling>
          <c:orientation val="minMax"/>
          <c:min val="4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3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Hang Seng Tech Index</a:t>
            </a:r>
            <a:r>
              <a:rPr lang="en-GB" sz="1400" b="0" i="0" u="none" strike="noStrike" baseline="0"/>
              <a:t> </a:t>
            </a:r>
            <a:endParaRPr lang="en-US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</c:f>
              <c:strCache>
                <c:ptCount val="1"/>
                <c:pt idx="0">
                  <c:v>Hang Seng Tech Index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Data!$J$2:$J$317</c:f>
              <c:numCache>
                <c:formatCode>General</c:formatCode>
                <c:ptCount val="316"/>
                <c:pt idx="0">
                  <c:v>3714.77</c:v>
                </c:pt>
                <c:pt idx="1">
                  <c:v>3646.39</c:v>
                </c:pt>
                <c:pt idx="2">
                  <c:v>3654.94</c:v>
                </c:pt>
                <c:pt idx="3">
                  <c:v>3592.33</c:v>
                </c:pt>
                <c:pt idx="4">
                  <c:v>3484.75</c:v>
                </c:pt>
                <c:pt idx="5">
                  <c:v>3454.5</c:v>
                </c:pt>
                <c:pt idx="6">
                  <c:v>3428.2</c:v>
                </c:pt>
                <c:pt idx="7">
                  <c:v>3503.02</c:v>
                </c:pt>
                <c:pt idx="8">
                  <c:v>3470.64</c:v>
                </c:pt>
                <c:pt idx="9">
                  <c:v>3325.93</c:v>
                </c:pt>
                <c:pt idx="10">
                  <c:v>3160</c:v>
                </c:pt>
                <c:pt idx="11">
                  <c:v>3176.08</c:v>
                </c:pt>
                <c:pt idx="12">
                  <c:v>3129.92</c:v>
                </c:pt>
                <c:pt idx="13">
                  <c:v>3035.47</c:v>
                </c:pt>
                <c:pt idx="14">
                  <c:v>3147.81</c:v>
                </c:pt>
                <c:pt idx="15">
                  <c:v>3281.16</c:v>
                </c:pt>
                <c:pt idx="16">
                  <c:v>3310.69</c:v>
                </c:pt>
                <c:pt idx="17">
                  <c:v>3186.49</c:v>
                </c:pt>
                <c:pt idx="18">
                  <c:v>3203.59</c:v>
                </c:pt>
                <c:pt idx="19">
                  <c:v>3098.87</c:v>
                </c:pt>
                <c:pt idx="20">
                  <c:v>3005.8</c:v>
                </c:pt>
                <c:pt idx="21">
                  <c:v>3065.95</c:v>
                </c:pt>
                <c:pt idx="22">
                  <c:v>3043.9</c:v>
                </c:pt>
                <c:pt idx="23">
                  <c:v>3038.84</c:v>
                </c:pt>
                <c:pt idx="24">
                  <c:v>3243.81</c:v>
                </c:pt>
                <c:pt idx="25">
                  <c:v>3190.68</c:v>
                </c:pt>
                <c:pt idx="26">
                  <c:v>3168.55</c:v>
                </c:pt>
                <c:pt idx="27">
                  <c:v>3127.22</c:v>
                </c:pt>
                <c:pt idx="28">
                  <c:v>3197.87</c:v>
                </c:pt>
                <c:pt idx="29">
                  <c:v>3223.1</c:v>
                </c:pt>
                <c:pt idx="30">
                  <c:v>3342.73</c:v>
                </c:pt>
                <c:pt idx="31">
                  <c:v>3264.4</c:v>
                </c:pt>
                <c:pt idx="32">
                  <c:v>3351.22</c:v>
                </c:pt>
                <c:pt idx="33">
                  <c:v>3410.02</c:v>
                </c:pt>
                <c:pt idx="34">
                  <c:v>3399.84</c:v>
                </c:pt>
                <c:pt idx="35">
                  <c:v>3393.29</c:v>
                </c:pt>
                <c:pt idx="36">
                  <c:v>3503.17</c:v>
                </c:pt>
                <c:pt idx="37">
                  <c:v>3426.61</c:v>
                </c:pt>
                <c:pt idx="38">
                  <c:v>3431.3</c:v>
                </c:pt>
                <c:pt idx="39">
                  <c:v>3488.13</c:v>
                </c:pt>
                <c:pt idx="40">
                  <c:v>3474.77</c:v>
                </c:pt>
                <c:pt idx="41">
                  <c:v>3323.89</c:v>
                </c:pt>
                <c:pt idx="42">
                  <c:v>3412.57</c:v>
                </c:pt>
                <c:pt idx="43">
                  <c:v>3359.34</c:v>
                </c:pt>
                <c:pt idx="44">
                  <c:v>3385.58</c:v>
                </c:pt>
                <c:pt idx="45">
                  <c:v>3482.29</c:v>
                </c:pt>
                <c:pt idx="46">
                  <c:v>3643.91</c:v>
                </c:pt>
                <c:pt idx="47">
                  <c:v>3656.3</c:v>
                </c:pt>
                <c:pt idx="48">
                  <c:v>3603.83</c:v>
                </c:pt>
                <c:pt idx="49">
                  <c:v>3549.84</c:v>
                </c:pt>
                <c:pt idx="50">
                  <c:v>3594.22</c:v>
                </c:pt>
                <c:pt idx="51">
                  <c:v>3528.47</c:v>
                </c:pt>
                <c:pt idx="52">
                  <c:v>3551.42</c:v>
                </c:pt>
                <c:pt idx="53">
                  <c:v>3582.9</c:v>
                </c:pt>
                <c:pt idx="54">
                  <c:v>3455.88</c:v>
                </c:pt>
                <c:pt idx="55">
                  <c:v>3437.2</c:v>
                </c:pt>
                <c:pt idx="56">
                  <c:v>3471.49</c:v>
                </c:pt>
                <c:pt idx="57">
                  <c:v>3393.43</c:v>
                </c:pt>
                <c:pt idx="58">
                  <c:v>3477.55</c:v>
                </c:pt>
                <c:pt idx="59">
                  <c:v>3543.12</c:v>
                </c:pt>
                <c:pt idx="60">
                  <c:v>3460.87</c:v>
                </c:pt>
                <c:pt idx="61">
                  <c:v>3450.89</c:v>
                </c:pt>
                <c:pt idx="62">
                  <c:v>3444.61</c:v>
                </c:pt>
                <c:pt idx="63">
                  <c:v>3478.24</c:v>
                </c:pt>
                <c:pt idx="64">
                  <c:v>3552.01</c:v>
                </c:pt>
                <c:pt idx="65">
                  <c:v>3538.39</c:v>
                </c:pt>
                <c:pt idx="66">
                  <c:v>3474.47</c:v>
                </c:pt>
                <c:pt idx="67">
                  <c:v>3442.49</c:v>
                </c:pt>
                <c:pt idx="68">
                  <c:v>3337.85</c:v>
                </c:pt>
                <c:pt idx="69">
                  <c:v>3340.22</c:v>
                </c:pt>
                <c:pt idx="70">
                  <c:v>3356.82</c:v>
                </c:pt>
                <c:pt idx="71">
                  <c:v>3278.06</c:v>
                </c:pt>
                <c:pt idx="72">
                  <c:v>3336.35</c:v>
                </c:pt>
                <c:pt idx="73">
                  <c:v>3449.1</c:v>
                </c:pt>
                <c:pt idx="74">
                  <c:v>3573.59</c:v>
                </c:pt>
                <c:pt idx="75">
                  <c:v>3554.3</c:v>
                </c:pt>
                <c:pt idx="76">
                  <c:v>3718.27</c:v>
                </c:pt>
                <c:pt idx="77">
                  <c:v>3713.32</c:v>
                </c:pt>
                <c:pt idx="78">
                  <c:v>3700.67</c:v>
                </c:pt>
                <c:pt idx="79">
                  <c:v>3865.48</c:v>
                </c:pt>
                <c:pt idx="80">
                  <c:v>3971.29</c:v>
                </c:pt>
                <c:pt idx="81">
                  <c:v>4007.78</c:v>
                </c:pt>
                <c:pt idx="82">
                  <c:v>3922.54</c:v>
                </c:pt>
                <c:pt idx="83">
                  <c:v>3872.01</c:v>
                </c:pt>
                <c:pt idx="84">
                  <c:v>3947.41</c:v>
                </c:pt>
                <c:pt idx="85">
                  <c:v>3962.32</c:v>
                </c:pt>
                <c:pt idx="86">
                  <c:v>4018.69</c:v>
                </c:pt>
                <c:pt idx="87">
                  <c:v>4041.45</c:v>
                </c:pt>
                <c:pt idx="88">
                  <c:v>4072.15</c:v>
                </c:pt>
                <c:pt idx="89">
                  <c:v>4112.59</c:v>
                </c:pt>
                <c:pt idx="90">
                  <c:v>4135.38</c:v>
                </c:pt>
                <c:pt idx="91">
                  <c:v>3980.63</c:v>
                </c:pt>
                <c:pt idx="92">
                  <c:v>3992.59</c:v>
                </c:pt>
                <c:pt idx="93">
                  <c:v>3896.19</c:v>
                </c:pt>
                <c:pt idx="94">
                  <c:v>3799.47</c:v>
                </c:pt>
                <c:pt idx="95">
                  <c:v>3854.57</c:v>
                </c:pt>
                <c:pt idx="96">
                  <c:v>3765.24</c:v>
                </c:pt>
                <c:pt idx="97">
                  <c:v>3752.76</c:v>
                </c:pt>
                <c:pt idx="98">
                  <c:v>3690.76</c:v>
                </c:pt>
                <c:pt idx="99">
                  <c:v>3784.04</c:v>
                </c:pt>
                <c:pt idx="100">
                  <c:v>3796.17</c:v>
                </c:pt>
                <c:pt idx="101">
                  <c:v>3807.73</c:v>
                </c:pt>
                <c:pt idx="102">
                  <c:v>3840.66</c:v>
                </c:pt>
                <c:pt idx="103">
                  <c:v>3772.47</c:v>
                </c:pt>
                <c:pt idx="104">
                  <c:v>3755.42</c:v>
                </c:pt>
                <c:pt idx="105">
                  <c:v>3691.28</c:v>
                </c:pt>
                <c:pt idx="106">
                  <c:v>3739.14</c:v>
                </c:pt>
                <c:pt idx="107">
                  <c:v>3707.62</c:v>
                </c:pt>
                <c:pt idx="108">
                  <c:v>3709.35</c:v>
                </c:pt>
                <c:pt idx="109">
                  <c:v>3697.21</c:v>
                </c:pt>
                <c:pt idx="110">
                  <c:v>3767.88</c:v>
                </c:pt>
                <c:pt idx="111">
                  <c:v>3701.4</c:v>
                </c:pt>
                <c:pt idx="112">
                  <c:v>3677.51</c:v>
                </c:pt>
                <c:pt idx="113">
                  <c:v>3655.46</c:v>
                </c:pt>
                <c:pt idx="114">
                  <c:v>3689.68</c:v>
                </c:pt>
                <c:pt idx="115">
                  <c:v>3588.86</c:v>
                </c:pt>
                <c:pt idx="116">
                  <c:v>3554.45</c:v>
                </c:pt>
                <c:pt idx="117">
                  <c:v>3539.13</c:v>
                </c:pt>
                <c:pt idx="118">
                  <c:v>3626.93</c:v>
                </c:pt>
                <c:pt idx="119">
                  <c:v>3596.8</c:v>
                </c:pt>
                <c:pt idx="120">
                  <c:v>3566.63</c:v>
                </c:pt>
                <c:pt idx="121">
                  <c:v>3600.9</c:v>
                </c:pt>
                <c:pt idx="122">
                  <c:v>3600.49</c:v>
                </c:pt>
                <c:pt idx="123">
                  <c:v>3696.49</c:v>
                </c:pt>
                <c:pt idx="124">
                  <c:v>3782.08</c:v>
                </c:pt>
                <c:pt idx="125">
                  <c:v>3672.58</c:v>
                </c:pt>
                <c:pt idx="126">
                  <c:v>3622.84</c:v>
                </c:pt>
                <c:pt idx="127">
                  <c:v>3640.88</c:v>
                </c:pt>
                <c:pt idx="128">
                  <c:v>3613.13</c:v>
                </c:pt>
                <c:pt idx="129">
                  <c:v>3536.54</c:v>
                </c:pt>
                <c:pt idx="130">
                  <c:v>3610.71</c:v>
                </c:pt>
                <c:pt idx="131">
                  <c:v>3545.09</c:v>
                </c:pt>
                <c:pt idx="132">
                  <c:v>3491.2</c:v>
                </c:pt>
                <c:pt idx="133">
                  <c:v>3421.26</c:v>
                </c:pt>
                <c:pt idx="134">
                  <c:v>3443.73</c:v>
                </c:pt>
                <c:pt idx="135">
                  <c:v>3466.6</c:v>
                </c:pt>
                <c:pt idx="136">
                  <c:v>3414.04</c:v>
                </c:pt>
                <c:pt idx="137">
                  <c:v>3516.87</c:v>
                </c:pt>
                <c:pt idx="138">
                  <c:v>3476.58</c:v>
                </c:pt>
                <c:pt idx="139">
                  <c:v>3385.6</c:v>
                </c:pt>
                <c:pt idx="140">
                  <c:v>3339.42</c:v>
                </c:pt>
                <c:pt idx="141">
                  <c:v>3342.52</c:v>
                </c:pt>
                <c:pt idx="142">
                  <c:v>3382.42</c:v>
                </c:pt>
                <c:pt idx="143">
                  <c:v>3366.68</c:v>
                </c:pt>
                <c:pt idx="144">
                  <c:v>3436.8</c:v>
                </c:pt>
                <c:pt idx="145">
                  <c:v>3429.84</c:v>
                </c:pt>
                <c:pt idx="146">
                  <c:v>3429.69</c:v>
                </c:pt>
                <c:pt idx="147">
                  <c:v>3395.7</c:v>
                </c:pt>
                <c:pt idx="148">
                  <c:v>3384.38</c:v>
                </c:pt>
                <c:pt idx="149">
                  <c:v>3459.09</c:v>
                </c:pt>
                <c:pt idx="150">
                  <c:v>3517.09</c:v>
                </c:pt>
                <c:pt idx="151">
                  <c:v>3498.08</c:v>
                </c:pt>
                <c:pt idx="152">
                  <c:v>3434.39</c:v>
                </c:pt>
                <c:pt idx="153">
                  <c:v>3508.61</c:v>
                </c:pt>
                <c:pt idx="154">
                  <c:v>3468.94</c:v>
                </c:pt>
                <c:pt idx="155">
                  <c:v>3502.96</c:v>
                </c:pt>
                <c:pt idx="156">
                  <c:v>3501.29</c:v>
                </c:pt>
                <c:pt idx="157">
                  <c:v>3445.46</c:v>
                </c:pt>
                <c:pt idx="158">
                  <c:v>3461.22</c:v>
                </c:pt>
                <c:pt idx="159">
                  <c:v>3560.61</c:v>
                </c:pt>
                <c:pt idx="160">
                  <c:v>3496.49</c:v>
                </c:pt>
                <c:pt idx="161">
                  <c:v>3482.84</c:v>
                </c:pt>
                <c:pt idx="162">
                  <c:v>3487.8</c:v>
                </c:pt>
                <c:pt idx="163">
                  <c:v>3436.75</c:v>
                </c:pt>
                <c:pt idx="164">
                  <c:v>3450.73</c:v>
                </c:pt>
                <c:pt idx="165">
                  <c:v>3450.92</c:v>
                </c:pt>
                <c:pt idx="166">
                  <c:v>3475.25</c:v>
                </c:pt>
                <c:pt idx="167">
                  <c:v>3479.8</c:v>
                </c:pt>
                <c:pt idx="168">
                  <c:v>3497.45</c:v>
                </c:pt>
                <c:pt idx="169">
                  <c:v>3536.57</c:v>
                </c:pt>
                <c:pt idx="170">
                  <c:v>3651.56</c:v>
                </c:pt>
                <c:pt idx="171">
                  <c:v>3703.84</c:v>
                </c:pt>
                <c:pt idx="172">
                  <c:v>3698.27</c:v>
                </c:pt>
                <c:pt idx="173">
                  <c:v>3915.58</c:v>
                </c:pt>
                <c:pt idx="174">
                  <c:v>3924.45</c:v>
                </c:pt>
                <c:pt idx="175">
                  <c:v>4209.71</c:v>
                </c:pt>
                <c:pt idx="176">
                  <c:v>4453.24</c:v>
                </c:pt>
                <c:pt idx="177">
                  <c:v>4751.8100000000004</c:v>
                </c:pt>
                <c:pt idx="178">
                  <c:v>5157.08</c:v>
                </c:pt>
                <c:pt idx="179">
                  <c:v>4978.6400000000003</c:v>
                </c:pt>
                <c:pt idx="180">
                  <c:v>5227.13</c:v>
                </c:pt>
                <c:pt idx="181">
                  <c:v>5386.48</c:v>
                </c:pt>
                <c:pt idx="182">
                  <c:v>4695.8100000000004</c:v>
                </c:pt>
                <c:pt idx="183">
                  <c:v>4640.75</c:v>
                </c:pt>
                <c:pt idx="184">
                  <c:v>4736.1000000000004</c:v>
                </c:pt>
                <c:pt idx="185">
                  <c:v>4668.18</c:v>
                </c:pt>
                <c:pt idx="186">
                  <c:v>4450.95</c:v>
                </c:pt>
                <c:pt idx="187">
                  <c:v>4402.37</c:v>
                </c:pt>
                <c:pt idx="188">
                  <c:v>4349.7700000000004</c:v>
                </c:pt>
                <c:pt idx="189">
                  <c:v>4600.8500000000004</c:v>
                </c:pt>
                <c:pt idx="190">
                  <c:v>4491.8999999999996</c:v>
                </c:pt>
                <c:pt idx="191">
                  <c:v>4521.63</c:v>
                </c:pt>
                <c:pt idx="192">
                  <c:v>4605.62</c:v>
                </c:pt>
                <c:pt idx="193">
                  <c:v>4483.99</c:v>
                </c:pt>
                <c:pt idx="194">
                  <c:v>4538.03</c:v>
                </c:pt>
                <c:pt idx="195">
                  <c:v>4574.07</c:v>
                </c:pt>
                <c:pt idx="196">
                  <c:v>4623.84</c:v>
                </c:pt>
                <c:pt idx="197">
                  <c:v>4513.68</c:v>
                </c:pt>
                <c:pt idx="198">
                  <c:v>4499.1499999999996</c:v>
                </c:pt>
                <c:pt idx="199">
                  <c:v>4483.91</c:v>
                </c:pt>
                <c:pt idx="200">
                  <c:v>4532.18</c:v>
                </c:pt>
                <c:pt idx="201">
                  <c:v>4693.8500000000004</c:v>
                </c:pt>
                <c:pt idx="202">
                  <c:v>4574.5</c:v>
                </c:pt>
                <c:pt idx="203">
                  <c:v>4677.6400000000003</c:v>
                </c:pt>
                <c:pt idx="204">
                  <c:v>4668.26</c:v>
                </c:pt>
                <c:pt idx="205">
                  <c:v>4651.71</c:v>
                </c:pt>
                <c:pt idx="206">
                  <c:v>4456.8599999999997</c:v>
                </c:pt>
                <c:pt idx="207">
                  <c:v>4455.67</c:v>
                </c:pt>
                <c:pt idx="208">
                  <c:v>4318.32</c:v>
                </c:pt>
                <c:pt idx="209">
                  <c:v>4327.84</c:v>
                </c:pt>
                <c:pt idx="210">
                  <c:v>4341.53</c:v>
                </c:pt>
                <c:pt idx="211">
                  <c:v>4395.04</c:v>
                </c:pt>
                <c:pt idx="212">
                  <c:v>4413.08</c:v>
                </c:pt>
                <c:pt idx="213">
                  <c:v>4358.1499999999996</c:v>
                </c:pt>
                <c:pt idx="214">
                  <c:v>4246.2</c:v>
                </c:pt>
                <c:pt idx="215">
                  <c:v>4235.3100000000004</c:v>
                </c:pt>
                <c:pt idx="216">
                  <c:v>4221.99</c:v>
                </c:pt>
                <c:pt idx="217">
                  <c:v>4374.4399999999996</c:v>
                </c:pt>
                <c:pt idx="218">
                  <c:v>4353.55</c:v>
                </c:pt>
                <c:pt idx="219">
                  <c:v>4405.95</c:v>
                </c:pt>
                <c:pt idx="220">
                  <c:v>4417.99</c:v>
                </c:pt>
                <c:pt idx="221">
                  <c:v>4404.04</c:v>
                </c:pt>
                <c:pt idx="222">
                  <c:v>4370.22</c:v>
                </c:pt>
                <c:pt idx="223">
                  <c:v>4464.6499999999996</c:v>
                </c:pt>
                <c:pt idx="224">
                  <c:v>4656.8</c:v>
                </c:pt>
                <c:pt idx="225">
                  <c:v>4591.9399999999996</c:v>
                </c:pt>
                <c:pt idx="226">
                  <c:v>4531.58</c:v>
                </c:pt>
                <c:pt idx="227">
                  <c:v>4600.82</c:v>
                </c:pt>
                <c:pt idx="228">
                  <c:v>4479.6000000000004</c:v>
                </c:pt>
                <c:pt idx="229">
                  <c:v>4414.7</c:v>
                </c:pt>
                <c:pt idx="230">
                  <c:v>4389.08</c:v>
                </c:pt>
                <c:pt idx="231">
                  <c:v>4468.8500000000004</c:v>
                </c:pt>
                <c:pt idx="232">
                  <c:v>4439.47</c:v>
                </c:pt>
                <c:pt idx="233">
                  <c:v>4444.1899999999996</c:v>
                </c:pt>
                <c:pt idx="234">
                  <c:v>4457.8500000000004</c:v>
                </c:pt>
                <c:pt idx="235">
                  <c:v>4507.6499999999996</c:v>
                </c:pt>
                <c:pt idx="236">
                  <c:v>4538.59</c:v>
                </c:pt>
                <c:pt idx="237">
                  <c:v>4500.6000000000004</c:v>
                </c:pt>
                <c:pt idx="238">
                  <c:v>4468.1099999999997</c:v>
                </c:pt>
                <c:pt idx="239">
                  <c:v>4357.53</c:v>
                </c:pt>
                <c:pt idx="240">
                  <c:v>4403.12</c:v>
                </c:pt>
                <c:pt idx="241">
                  <c:v>4395.08</c:v>
                </c:pt>
                <c:pt idx="242">
                  <c:v>4354.8</c:v>
                </c:pt>
                <c:pt idx="243">
                  <c:v>4307.3999999999996</c:v>
                </c:pt>
                <c:pt idx="244">
                  <c:v>4311.54</c:v>
                </c:pt>
                <c:pt idx="245">
                  <c:v>4260.82</c:v>
                </c:pt>
                <c:pt idx="246">
                  <c:v>4221.92</c:v>
                </c:pt>
                <c:pt idx="247">
                  <c:v>4352.04</c:v>
                </c:pt>
                <c:pt idx="248">
                  <c:v>4363.79</c:v>
                </c:pt>
                <c:pt idx="249">
                  <c:v>4417.37</c:v>
                </c:pt>
                <c:pt idx="250">
                  <c:v>4479.1899999999996</c:v>
                </c:pt>
                <c:pt idx="251">
                  <c:v>4693.72</c:v>
                </c:pt>
                <c:pt idx="252">
                  <c:v>4581.09</c:v>
                </c:pt>
                <c:pt idx="253">
                  <c:v>4515.4799999999996</c:v>
                </c:pt>
                <c:pt idx="254">
                  <c:v>4657.6099999999997</c:v>
                </c:pt>
                <c:pt idx="255">
                  <c:v>4687.34</c:v>
                </c:pt>
                <c:pt idx="256">
                  <c:v>4723.63</c:v>
                </c:pt>
                <c:pt idx="257">
                  <c:v>4737.46</c:v>
                </c:pt>
                <c:pt idx="258">
                  <c:v>4977.38</c:v>
                </c:pt>
                <c:pt idx="259">
                  <c:v>4930.2</c:v>
                </c:pt>
                <c:pt idx="260">
                  <c:v>5059.38</c:v>
                </c:pt>
                <c:pt idx="261">
                  <c:v>5150.3500000000004</c:v>
                </c:pt>
                <c:pt idx="262">
                  <c:v>5286.66</c:v>
                </c:pt>
                <c:pt idx="263">
                  <c:v>5142.3100000000004</c:v>
                </c:pt>
                <c:pt idx="264">
                  <c:v>5281.18</c:v>
                </c:pt>
                <c:pt idx="265">
                  <c:v>5235.28</c:v>
                </c:pt>
                <c:pt idx="266">
                  <c:v>5526.22</c:v>
                </c:pt>
                <c:pt idx="267">
                  <c:v>5639.05</c:v>
                </c:pt>
                <c:pt idx="268">
                  <c:v>5672.24</c:v>
                </c:pt>
                <c:pt idx="269">
                  <c:v>5500.02</c:v>
                </c:pt>
                <c:pt idx="270">
                  <c:v>5859.3</c:v>
                </c:pt>
                <c:pt idx="271">
                  <c:v>5789.52</c:v>
                </c:pt>
                <c:pt idx="272">
                  <c:v>5698.82</c:v>
                </c:pt>
                <c:pt idx="273">
                  <c:v>5953.79</c:v>
                </c:pt>
                <c:pt idx="274">
                  <c:v>5881.01</c:v>
                </c:pt>
                <c:pt idx="275">
                  <c:v>5568.14</c:v>
                </c:pt>
                <c:pt idx="276">
                  <c:v>5535.86</c:v>
                </c:pt>
                <c:pt idx="277">
                  <c:v>5535.64</c:v>
                </c:pt>
                <c:pt idx="278">
                  <c:v>5757.94</c:v>
                </c:pt>
                <c:pt idx="279">
                  <c:v>6068.77</c:v>
                </c:pt>
                <c:pt idx="280">
                  <c:v>6037.44</c:v>
                </c:pt>
                <c:pt idx="281">
                  <c:v>5885.49</c:v>
                </c:pt>
                <c:pt idx="282">
                  <c:v>5967.23</c:v>
                </c:pt>
                <c:pt idx="283">
                  <c:v>5845.36</c:v>
                </c:pt>
                <c:pt idx="284">
                  <c:v>5747.77</c:v>
                </c:pt>
                <c:pt idx="285">
                  <c:v>5880.78</c:v>
                </c:pt>
                <c:pt idx="286">
                  <c:v>5872.81</c:v>
                </c:pt>
                <c:pt idx="287">
                  <c:v>6105.5</c:v>
                </c:pt>
                <c:pt idx="288">
                  <c:v>6041.19</c:v>
                </c:pt>
                <c:pt idx="289">
                  <c:v>5836.28</c:v>
                </c:pt>
                <c:pt idx="290">
                  <c:v>5639.56</c:v>
                </c:pt>
                <c:pt idx="291">
                  <c:v>5736.83</c:v>
                </c:pt>
                <c:pt idx="292">
                  <c:v>5517.52</c:v>
                </c:pt>
                <c:pt idx="293">
                  <c:v>5573.04</c:v>
                </c:pt>
                <c:pt idx="294">
                  <c:v>5589.12</c:v>
                </c:pt>
                <c:pt idx="295">
                  <c:v>5506.47</c:v>
                </c:pt>
                <c:pt idx="296">
                  <c:v>5394.72</c:v>
                </c:pt>
                <c:pt idx="297">
                  <c:v>5407.38</c:v>
                </c:pt>
                <c:pt idx="298">
                  <c:v>5426.44</c:v>
                </c:pt>
                <c:pt idx="299">
                  <c:v>5313.26</c:v>
                </c:pt>
                <c:pt idx="300">
                  <c:v>4401.51</c:v>
                </c:pt>
                <c:pt idx="301">
                  <c:v>4568.38</c:v>
                </c:pt>
                <c:pt idx="302">
                  <c:v>4689.1899999999996</c:v>
                </c:pt>
                <c:pt idx="303">
                  <c:v>4813.74</c:v>
                </c:pt>
                <c:pt idx="304">
                  <c:v>4900.43</c:v>
                </c:pt>
                <c:pt idx="305">
                  <c:v>5015.12</c:v>
                </c:pt>
                <c:pt idx="306">
                  <c:v>4981.6000000000004</c:v>
                </c:pt>
                <c:pt idx="307">
                  <c:v>4796.28</c:v>
                </c:pt>
                <c:pt idx="308">
                  <c:v>4887.37</c:v>
                </c:pt>
                <c:pt idx="309">
                  <c:v>4899.21</c:v>
                </c:pt>
                <c:pt idx="310">
                  <c:v>5049.3999999999996</c:v>
                </c:pt>
                <c:pt idx="311">
                  <c:v>4975.8900000000003</c:v>
                </c:pt>
                <c:pt idx="312">
                  <c:v>4982.96</c:v>
                </c:pt>
                <c:pt idx="313">
                  <c:v>4988.9399999999996</c:v>
                </c:pt>
                <c:pt idx="314">
                  <c:v>5019.7299999999996</c:v>
                </c:pt>
                <c:pt idx="315">
                  <c:v>5087.42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5-4FBD-BCED-9091D4BCC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584568"/>
        <c:axId val="649582328"/>
      </c:lineChart>
      <c:dateAx>
        <c:axId val="649584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2328"/>
        <c:crosses val="autoZero"/>
        <c:auto val="1"/>
        <c:lblOffset val="100"/>
        <c:baseTimeUnit val="days"/>
      </c:dateAx>
      <c:valAx>
        <c:axId val="649582328"/>
        <c:scaling>
          <c:orientation val="minMax"/>
          <c:max val="6500"/>
          <c:min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4568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Hang Seng CCI</a:t>
            </a:r>
            <a:r>
              <a:rPr lang="en-GB" sz="1400" b="0" i="0" u="none" strike="noStrike" baseline="0"/>
              <a:t> </a:t>
            </a:r>
            <a:endParaRPr lang="en-US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Data!$P$1</c:f>
              <c:strCache>
                <c:ptCount val="1"/>
                <c:pt idx="0">
                  <c:v>Hang Seng CCI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Data!$P$2:$P$317</c:f>
              <c:numCache>
                <c:formatCode>General</c:formatCode>
                <c:ptCount val="316"/>
                <c:pt idx="0">
                  <c:v>3286.69</c:v>
                </c:pt>
                <c:pt idx="1">
                  <c:v>3283.44</c:v>
                </c:pt>
                <c:pt idx="2">
                  <c:v>3312.41</c:v>
                </c:pt>
                <c:pt idx="3">
                  <c:v>3313.26</c:v>
                </c:pt>
                <c:pt idx="4">
                  <c:v>3246.31</c:v>
                </c:pt>
                <c:pt idx="5">
                  <c:v>3243.85</c:v>
                </c:pt>
                <c:pt idx="6">
                  <c:v>3235.89</c:v>
                </c:pt>
                <c:pt idx="7">
                  <c:v>3247.91</c:v>
                </c:pt>
                <c:pt idx="8">
                  <c:v>3261.45</c:v>
                </c:pt>
                <c:pt idx="9">
                  <c:v>3211.88</c:v>
                </c:pt>
                <c:pt idx="10">
                  <c:v>3088.66</c:v>
                </c:pt>
                <c:pt idx="11">
                  <c:v>3114.39</c:v>
                </c:pt>
                <c:pt idx="12">
                  <c:v>3091.47</c:v>
                </c:pt>
                <c:pt idx="13">
                  <c:v>2968.48</c:v>
                </c:pt>
                <c:pt idx="14">
                  <c:v>3033.72</c:v>
                </c:pt>
                <c:pt idx="15">
                  <c:v>3158.17</c:v>
                </c:pt>
                <c:pt idx="16">
                  <c:v>3273.7</c:v>
                </c:pt>
                <c:pt idx="17">
                  <c:v>3249.43</c:v>
                </c:pt>
                <c:pt idx="18">
                  <c:v>3297.74</c:v>
                </c:pt>
                <c:pt idx="19">
                  <c:v>3219.88</c:v>
                </c:pt>
                <c:pt idx="20">
                  <c:v>3193.67</c:v>
                </c:pt>
                <c:pt idx="21">
                  <c:v>3181.79</c:v>
                </c:pt>
                <c:pt idx="22">
                  <c:v>3188.69</c:v>
                </c:pt>
                <c:pt idx="23">
                  <c:v>3164.37</c:v>
                </c:pt>
                <c:pt idx="24">
                  <c:v>3271.55</c:v>
                </c:pt>
                <c:pt idx="25">
                  <c:v>3248.14</c:v>
                </c:pt>
                <c:pt idx="26">
                  <c:v>3245.87</c:v>
                </c:pt>
                <c:pt idx="27">
                  <c:v>3196.95</c:v>
                </c:pt>
                <c:pt idx="28">
                  <c:v>3189.56</c:v>
                </c:pt>
                <c:pt idx="29">
                  <c:v>3181.88</c:v>
                </c:pt>
                <c:pt idx="30">
                  <c:v>3284.63</c:v>
                </c:pt>
                <c:pt idx="31">
                  <c:v>3348.9</c:v>
                </c:pt>
                <c:pt idx="32">
                  <c:v>3396.66</c:v>
                </c:pt>
                <c:pt idx="33">
                  <c:v>3500.64</c:v>
                </c:pt>
                <c:pt idx="34">
                  <c:v>3514.97</c:v>
                </c:pt>
                <c:pt idx="35">
                  <c:v>3497.92</c:v>
                </c:pt>
                <c:pt idx="36">
                  <c:v>3481.74</c:v>
                </c:pt>
                <c:pt idx="37">
                  <c:v>3426.61</c:v>
                </c:pt>
                <c:pt idx="38">
                  <c:v>3397.89</c:v>
                </c:pt>
                <c:pt idx="39">
                  <c:v>3393.22</c:v>
                </c:pt>
                <c:pt idx="40">
                  <c:v>3378.68</c:v>
                </c:pt>
                <c:pt idx="41">
                  <c:v>3334.93</c:v>
                </c:pt>
                <c:pt idx="42">
                  <c:v>3390.73</c:v>
                </c:pt>
                <c:pt idx="43">
                  <c:v>3384.24</c:v>
                </c:pt>
                <c:pt idx="44">
                  <c:v>3420.54</c:v>
                </c:pt>
                <c:pt idx="45">
                  <c:v>3416.81</c:v>
                </c:pt>
                <c:pt idx="46">
                  <c:v>3522.89</c:v>
                </c:pt>
                <c:pt idx="47">
                  <c:v>3527.9</c:v>
                </c:pt>
                <c:pt idx="48">
                  <c:v>3540.62</c:v>
                </c:pt>
                <c:pt idx="49">
                  <c:v>3517.77</c:v>
                </c:pt>
                <c:pt idx="50">
                  <c:v>3537.45</c:v>
                </c:pt>
                <c:pt idx="51">
                  <c:v>3489.49</c:v>
                </c:pt>
                <c:pt idx="52">
                  <c:v>3485.52</c:v>
                </c:pt>
                <c:pt idx="53">
                  <c:v>3559.39</c:v>
                </c:pt>
                <c:pt idx="54">
                  <c:v>3485.45</c:v>
                </c:pt>
                <c:pt idx="55">
                  <c:v>3487.47</c:v>
                </c:pt>
                <c:pt idx="56">
                  <c:v>3462.95</c:v>
                </c:pt>
                <c:pt idx="57">
                  <c:v>3396.88</c:v>
                </c:pt>
                <c:pt idx="58">
                  <c:v>3410.83</c:v>
                </c:pt>
                <c:pt idx="59">
                  <c:v>3502.65</c:v>
                </c:pt>
                <c:pt idx="60">
                  <c:v>3472.51</c:v>
                </c:pt>
                <c:pt idx="61">
                  <c:v>3443.74</c:v>
                </c:pt>
                <c:pt idx="62">
                  <c:v>3455.05</c:v>
                </c:pt>
                <c:pt idx="63">
                  <c:v>3470.19</c:v>
                </c:pt>
                <c:pt idx="64">
                  <c:v>3522.49</c:v>
                </c:pt>
                <c:pt idx="65">
                  <c:v>3532.61</c:v>
                </c:pt>
                <c:pt idx="66">
                  <c:v>3461.57</c:v>
                </c:pt>
                <c:pt idx="67">
                  <c:v>3461.2</c:v>
                </c:pt>
                <c:pt idx="68">
                  <c:v>3410.52</c:v>
                </c:pt>
                <c:pt idx="69">
                  <c:v>3431.77</c:v>
                </c:pt>
                <c:pt idx="70">
                  <c:v>3443.08</c:v>
                </c:pt>
                <c:pt idx="71">
                  <c:v>3445.65</c:v>
                </c:pt>
                <c:pt idx="72">
                  <c:v>3463.72</c:v>
                </c:pt>
                <c:pt idx="73">
                  <c:v>3491.02</c:v>
                </c:pt>
                <c:pt idx="74">
                  <c:v>3552.65</c:v>
                </c:pt>
                <c:pt idx="75">
                  <c:v>3605.28</c:v>
                </c:pt>
                <c:pt idx="76">
                  <c:v>3672.68</c:v>
                </c:pt>
                <c:pt idx="77">
                  <c:v>3689.94</c:v>
                </c:pt>
                <c:pt idx="78">
                  <c:v>3697.42</c:v>
                </c:pt>
                <c:pt idx="79">
                  <c:v>3727.94</c:v>
                </c:pt>
                <c:pt idx="80">
                  <c:v>3764.69</c:v>
                </c:pt>
                <c:pt idx="81">
                  <c:v>3767.98</c:v>
                </c:pt>
                <c:pt idx="82">
                  <c:v>3803.85</c:v>
                </c:pt>
                <c:pt idx="83">
                  <c:v>3744.5</c:v>
                </c:pt>
                <c:pt idx="84">
                  <c:v>3816.33</c:v>
                </c:pt>
                <c:pt idx="85">
                  <c:v>3966.09</c:v>
                </c:pt>
                <c:pt idx="86">
                  <c:v>3981.52</c:v>
                </c:pt>
                <c:pt idx="87">
                  <c:v>3955.67</c:v>
                </c:pt>
                <c:pt idx="88">
                  <c:v>3997.28</c:v>
                </c:pt>
                <c:pt idx="89">
                  <c:v>4046</c:v>
                </c:pt>
                <c:pt idx="90">
                  <c:v>4067.24</c:v>
                </c:pt>
                <c:pt idx="91">
                  <c:v>4008.68</c:v>
                </c:pt>
                <c:pt idx="92">
                  <c:v>3997.43</c:v>
                </c:pt>
                <c:pt idx="93">
                  <c:v>3955.43</c:v>
                </c:pt>
                <c:pt idx="94">
                  <c:v>3928.89</c:v>
                </c:pt>
                <c:pt idx="95">
                  <c:v>3999.44</c:v>
                </c:pt>
                <c:pt idx="96">
                  <c:v>3959.43</c:v>
                </c:pt>
                <c:pt idx="97">
                  <c:v>3898.44</c:v>
                </c:pt>
                <c:pt idx="98">
                  <c:v>3868.63</c:v>
                </c:pt>
                <c:pt idx="99">
                  <c:v>3927.74</c:v>
                </c:pt>
                <c:pt idx="100">
                  <c:v>3974.3</c:v>
                </c:pt>
                <c:pt idx="101">
                  <c:v>3920.71</c:v>
                </c:pt>
                <c:pt idx="102">
                  <c:v>3935.43</c:v>
                </c:pt>
                <c:pt idx="103">
                  <c:v>3975.68</c:v>
                </c:pt>
                <c:pt idx="104">
                  <c:v>3891.63</c:v>
                </c:pt>
                <c:pt idx="105">
                  <c:v>3849.14</c:v>
                </c:pt>
                <c:pt idx="106">
                  <c:v>3885.27</c:v>
                </c:pt>
                <c:pt idx="107">
                  <c:v>3892.72</c:v>
                </c:pt>
                <c:pt idx="108">
                  <c:v>3848.11</c:v>
                </c:pt>
                <c:pt idx="109">
                  <c:v>3851.29</c:v>
                </c:pt>
                <c:pt idx="110">
                  <c:v>3944.52</c:v>
                </c:pt>
                <c:pt idx="111">
                  <c:v>3897.34</c:v>
                </c:pt>
                <c:pt idx="112">
                  <c:v>3890.44</c:v>
                </c:pt>
                <c:pt idx="113">
                  <c:v>3924.79</c:v>
                </c:pt>
                <c:pt idx="114">
                  <c:v>3912.66</c:v>
                </c:pt>
                <c:pt idx="115">
                  <c:v>3813.78</c:v>
                </c:pt>
                <c:pt idx="116">
                  <c:v>3867.09</c:v>
                </c:pt>
                <c:pt idx="117">
                  <c:v>3932.61</c:v>
                </c:pt>
                <c:pt idx="118">
                  <c:v>3928.16</c:v>
                </c:pt>
                <c:pt idx="119">
                  <c:v>3881.05</c:v>
                </c:pt>
                <c:pt idx="120">
                  <c:v>3831.45</c:v>
                </c:pt>
                <c:pt idx="121">
                  <c:v>3812.51</c:v>
                </c:pt>
                <c:pt idx="122">
                  <c:v>3738.74</c:v>
                </c:pt>
                <c:pt idx="123">
                  <c:v>3799.4</c:v>
                </c:pt>
                <c:pt idx="124">
                  <c:v>3840.25</c:v>
                </c:pt>
                <c:pt idx="125">
                  <c:v>3805.8</c:v>
                </c:pt>
                <c:pt idx="126">
                  <c:v>3765.11</c:v>
                </c:pt>
                <c:pt idx="127">
                  <c:v>3720.7</c:v>
                </c:pt>
                <c:pt idx="128">
                  <c:v>3762.71</c:v>
                </c:pt>
                <c:pt idx="129">
                  <c:v>3662.77</c:v>
                </c:pt>
                <c:pt idx="130">
                  <c:v>3703.58</c:v>
                </c:pt>
                <c:pt idx="131">
                  <c:v>3671.09</c:v>
                </c:pt>
                <c:pt idx="132">
                  <c:v>3671.99</c:v>
                </c:pt>
                <c:pt idx="133">
                  <c:v>3592.85</c:v>
                </c:pt>
                <c:pt idx="134">
                  <c:v>3574.16</c:v>
                </c:pt>
                <c:pt idx="135">
                  <c:v>3579.61</c:v>
                </c:pt>
                <c:pt idx="136">
                  <c:v>3522.7</c:v>
                </c:pt>
                <c:pt idx="137">
                  <c:v>3569.81</c:v>
                </c:pt>
                <c:pt idx="138">
                  <c:v>3563.46</c:v>
                </c:pt>
                <c:pt idx="139">
                  <c:v>3544.48</c:v>
                </c:pt>
                <c:pt idx="140">
                  <c:v>3463.65</c:v>
                </c:pt>
                <c:pt idx="141">
                  <c:v>3466.73</c:v>
                </c:pt>
                <c:pt idx="142">
                  <c:v>3524.17</c:v>
                </c:pt>
                <c:pt idx="143">
                  <c:v>3523.18</c:v>
                </c:pt>
                <c:pt idx="144">
                  <c:v>3554.56</c:v>
                </c:pt>
                <c:pt idx="145">
                  <c:v>3537.68</c:v>
                </c:pt>
                <c:pt idx="146">
                  <c:v>3556.71</c:v>
                </c:pt>
                <c:pt idx="147">
                  <c:v>3546.65</c:v>
                </c:pt>
                <c:pt idx="148">
                  <c:v>3558.66</c:v>
                </c:pt>
                <c:pt idx="149">
                  <c:v>3585.6</c:v>
                </c:pt>
                <c:pt idx="150">
                  <c:v>3611.02</c:v>
                </c:pt>
                <c:pt idx="151">
                  <c:v>3576.8</c:v>
                </c:pt>
                <c:pt idx="152">
                  <c:v>3564.8</c:v>
                </c:pt>
                <c:pt idx="153">
                  <c:v>3556.4</c:v>
                </c:pt>
                <c:pt idx="154">
                  <c:v>3544.67</c:v>
                </c:pt>
                <c:pt idx="155">
                  <c:v>3558.87</c:v>
                </c:pt>
                <c:pt idx="156">
                  <c:v>3621.12</c:v>
                </c:pt>
                <c:pt idx="157">
                  <c:v>3560.61</c:v>
                </c:pt>
                <c:pt idx="158">
                  <c:v>3576.95</c:v>
                </c:pt>
                <c:pt idx="159">
                  <c:v>3620.96</c:v>
                </c:pt>
                <c:pt idx="160">
                  <c:v>3576.35</c:v>
                </c:pt>
                <c:pt idx="161">
                  <c:v>3513.37</c:v>
                </c:pt>
                <c:pt idx="162">
                  <c:v>3513.59</c:v>
                </c:pt>
                <c:pt idx="163">
                  <c:v>3425.1</c:v>
                </c:pt>
                <c:pt idx="164">
                  <c:v>3390.18</c:v>
                </c:pt>
                <c:pt idx="165">
                  <c:v>3330.97</c:v>
                </c:pt>
                <c:pt idx="166">
                  <c:v>3316.68</c:v>
                </c:pt>
                <c:pt idx="167">
                  <c:v>3355.97</c:v>
                </c:pt>
                <c:pt idx="168">
                  <c:v>3337.99</c:v>
                </c:pt>
                <c:pt idx="169">
                  <c:v>3371.64</c:v>
                </c:pt>
                <c:pt idx="170">
                  <c:v>3457.11</c:v>
                </c:pt>
                <c:pt idx="171">
                  <c:v>3495.61</c:v>
                </c:pt>
                <c:pt idx="172">
                  <c:v>3509.13</c:v>
                </c:pt>
                <c:pt idx="173">
                  <c:v>3654.61</c:v>
                </c:pt>
                <c:pt idx="174">
                  <c:v>3672.49</c:v>
                </c:pt>
                <c:pt idx="175">
                  <c:v>3843.66</c:v>
                </c:pt>
                <c:pt idx="176">
                  <c:v>3965.11</c:v>
                </c:pt>
                <c:pt idx="177">
                  <c:v>4042.52</c:v>
                </c:pt>
                <c:pt idx="178">
                  <c:v>4293.54</c:v>
                </c:pt>
                <c:pt idx="179">
                  <c:v>4201.04</c:v>
                </c:pt>
                <c:pt idx="180">
                  <c:v>4289.79</c:v>
                </c:pt>
                <c:pt idx="181">
                  <c:v>4441.76</c:v>
                </c:pt>
                <c:pt idx="182">
                  <c:v>3999.02</c:v>
                </c:pt>
                <c:pt idx="183">
                  <c:v>3861.8</c:v>
                </c:pt>
                <c:pt idx="184">
                  <c:v>4013.03</c:v>
                </c:pt>
                <c:pt idx="185">
                  <c:v>4053.24</c:v>
                </c:pt>
                <c:pt idx="186">
                  <c:v>3900.69</c:v>
                </c:pt>
                <c:pt idx="187">
                  <c:v>3936.7</c:v>
                </c:pt>
                <c:pt idx="188">
                  <c:v>3848.25</c:v>
                </c:pt>
                <c:pt idx="189">
                  <c:v>3958.08</c:v>
                </c:pt>
                <c:pt idx="190">
                  <c:v>3907.96</c:v>
                </c:pt>
                <c:pt idx="191">
                  <c:v>3922.33</c:v>
                </c:pt>
                <c:pt idx="192">
                  <c:v>3920.78</c:v>
                </c:pt>
                <c:pt idx="193">
                  <c:v>3874.88</c:v>
                </c:pt>
                <c:pt idx="194">
                  <c:v>3850.28</c:v>
                </c:pt>
                <c:pt idx="195">
                  <c:v>3865.6</c:v>
                </c:pt>
                <c:pt idx="196">
                  <c:v>3813.88</c:v>
                </c:pt>
                <c:pt idx="197">
                  <c:v>3759.15</c:v>
                </c:pt>
                <c:pt idx="198">
                  <c:v>3764.77</c:v>
                </c:pt>
                <c:pt idx="199">
                  <c:v>3816</c:v>
                </c:pt>
                <c:pt idx="200">
                  <c:v>3804.79</c:v>
                </c:pt>
                <c:pt idx="201">
                  <c:v>3870.89</c:v>
                </c:pt>
                <c:pt idx="202">
                  <c:v>3796.71</c:v>
                </c:pt>
                <c:pt idx="203">
                  <c:v>3894.8</c:v>
                </c:pt>
                <c:pt idx="204">
                  <c:v>3819.64</c:v>
                </c:pt>
                <c:pt idx="205">
                  <c:v>3750.37</c:v>
                </c:pt>
                <c:pt idx="206">
                  <c:v>3658.64</c:v>
                </c:pt>
                <c:pt idx="207">
                  <c:v>3662.17</c:v>
                </c:pt>
                <c:pt idx="208">
                  <c:v>3580.19</c:v>
                </c:pt>
                <c:pt idx="209">
                  <c:v>3588.23</c:v>
                </c:pt>
                <c:pt idx="210">
                  <c:v>3614.48</c:v>
                </c:pt>
                <c:pt idx="211">
                  <c:v>3625.57</c:v>
                </c:pt>
                <c:pt idx="212">
                  <c:v>3639.8</c:v>
                </c:pt>
                <c:pt idx="213">
                  <c:v>3625.56</c:v>
                </c:pt>
                <c:pt idx="214">
                  <c:v>3547.92</c:v>
                </c:pt>
                <c:pt idx="215">
                  <c:v>3540.8</c:v>
                </c:pt>
                <c:pt idx="216">
                  <c:v>3534.74</c:v>
                </c:pt>
                <c:pt idx="217">
                  <c:v>3591.53</c:v>
                </c:pt>
                <c:pt idx="218">
                  <c:v>3541.29</c:v>
                </c:pt>
                <c:pt idx="219">
                  <c:v>3568.78</c:v>
                </c:pt>
                <c:pt idx="220">
                  <c:v>3621.61</c:v>
                </c:pt>
                <c:pt idx="221">
                  <c:v>3633.02</c:v>
                </c:pt>
                <c:pt idx="222">
                  <c:v>3600.99</c:v>
                </c:pt>
                <c:pt idx="223">
                  <c:v>3652.83</c:v>
                </c:pt>
                <c:pt idx="224">
                  <c:v>3757.66</c:v>
                </c:pt>
                <c:pt idx="225">
                  <c:v>3716.12</c:v>
                </c:pt>
                <c:pt idx="226">
                  <c:v>3722.17</c:v>
                </c:pt>
                <c:pt idx="227">
                  <c:v>3757.46</c:v>
                </c:pt>
                <c:pt idx="228">
                  <c:v>3694.46</c:v>
                </c:pt>
                <c:pt idx="229">
                  <c:v>3695.56</c:v>
                </c:pt>
                <c:pt idx="230">
                  <c:v>3670.97</c:v>
                </c:pt>
                <c:pt idx="231">
                  <c:v>3714.38</c:v>
                </c:pt>
                <c:pt idx="232">
                  <c:v>3688.76</c:v>
                </c:pt>
                <c:pt idx="233">
                  <c:v>3673.14</c:v>
                </c:pt>
                <c:pt idx="234">
                  <c:v>3721.35</c:v>
                </c:pt>
                <c:pt idx="235">
                  <c:v>3751.97</c:v>
                </c:pt>
                <c:pt idx="236">
                  <c:v>3754.48</c:v>
                </c:pt>
                <c:pt idx="237">
                  <c:v>3755.41</c:v>
                </c:pt>
                <c:pt idx="238">
                  <c:v>3780.97</c:v>
                </c:pt>
                <c:pt idx="239">
                  <c:v>3686.19</c:v>
                </c:pt>
                <c:pt idx="240">
                  <c:v>3671.1</c:v>
                </c:pt>
                <c:pt idx="241">
                  <c:v>3653.69</c:v>
                </c:pt>
                <c:pt idx="242">
                  <c:v>3630.59</c:v>
                </c:pt>
                <c:pt idx="243">
                  <c:v>3611.07</c:v>
                </c:pt>
                <c:pt idx="244">
                  <c:v>3598.34</c:v>
                </c:pt>
                <c:pt idx="245">
                  <c:v>3550.98</c:v>
                </c:pt>
                <c:pt idx="246">
                  <c:v>3563.23</c:v>
                </c:pt>
                <c:pt idx="247">
                  <c:v>3596.76</c:v>
                </c:pt>
                <c:pt idx="248">
                  <c:v>3605.09</c:v>
                </c:pt>
                <c:pt idx="249">
                  <c:v>3631.13</c:v>
                </c:pt>
                <c:pt idx="250">
                  <c:v>3641.02</c:v>
                </c:pt>
                <c:pt idx="251">
                  <c:v>3626.56</c:v>
                </c:pt>
                <c:pt idx="252">
                  <c:v>3588.77</c:v>
                </c:pt>
                <c:pt idx="253">
                  <c:v>3571.98</c:v>
                </c:pt>
                <c:pt idx="254">
                  <c:v>3590.72</c:v>
                </c:pt>
                <c:pt idx="255">
                  <c:v>3620.12</c:v>
                </c:pt>
                <c:pt idx="256">
                  <c:v>3603.82</c:v>
                </c:pt>
                <c:pt idx="257">
                  <c:v>3575.93</c:v>
                </c:pt>
                <c:pt idx="258">
                  <c:v>3612.71</c:v>
                </c:pt>
                <c:pt idx="259">
                  <c:v>3580.66</c:v>
                </c:pt>
                <c:pt idx="260">
                  <c:v>3625.5</c:v>
                </c:pt>
                <c:pt idx="261">
                  <c:v>3637.89</c:v>
                </c:pt>
                <c:pt idx="262">
                  <c:v>3653.57</c:v>
                </c:pt>
                <c:pt idx="263">
                  <c:v>3615.27</c:v>
                </c:pt>
                <c:pt idx="264">
                  <c:v>3701.32</c:v>
                </c:pt>
                <c:pt idx="265">
                  <c:v>3668.25</c:v>
                </c:pt>
                <c:pt idx="266">
                  <c:v>3768.82</c:v>
                </c:pt>
                <c:pt idx="267">
                  <c:v>3823.61</c:v>
                </c:pt>
                <c:pt idx="268">
                  <c:v>3826.72</c:v>
                </c:pt>
                <c:pt idx="269">
                  <c:v>3803.25</c:v>
                </c:pt>
                <c:pt idx="270">
                  <c:v>3862.1</c:v>
                </c:pt>
                <c:pt idx="271">
                  <c:v>3858.77</c:v>
                </c:pt>
                <c:pt idx="272">
                  <c:v>3812.27</c:v>
                </c:pt>
                <c:pt idx="273">
                  <c:v>3877.01</c:v>
                </c:pt>
                <c:pt idx="274">
                  <c:v>3881.15</c:v>
                </c:pt>
                <c:pt idx="275">
                  <c:v>3802.29</c:v>
                </c:pt>
                <c:pt idx="276">
                  <c:v>3807.03</c:v>
                </c:pt>
                <c:pt idx="277">
                  <c:v>3797.63</c:v>
                </c:pt>
                <c:pt idx="278">
                  <c:v>3846.5</c:v>
                </c:pt>
                <c:pt idx="279">
                  <c:v>3901.21</c:v>
                </c:pt>
                <c:pt idx="280">
                  <c:v>3917.07</c:v>
                </c:pt>
                <c:pt idx="281">
                  <c:v>3870.42</c:v>
                </c:pt>
                <c:pt idx="282">
                  <c:v>3883.54</c:v>
                </c:pt>
                <c:pt idx="283">
                  <c:v>3869.93</c:v>
                </c:pt>
                <c:pt idx="284">
                  <c:v>3868.49</c:v>
                </c:pt>
                <c:pt idx="285">
                  <c:v>3906.45</c:v>
                </c:pt>
                <c:pt idx="286">
                  <c:v>3945.69</c:v>
                </c:pt>
                <c:pt idx="287">
                  <c:v>4024.91</c:v>
                </c:pt>
                <c:pt idx="288">
                  <c:v>4018.73</c:v>
                </c:pt>
                <c:pt idx="289">
                  <c:v>3956.74</c:v>
                </c:pt>
                <c:pt idx="290">
                  <c:v>3909.24</c:v>
                </c:pt>
                <c:pt idx="291">
                  <c:v>3904.02</c:v>
                </c:pt>
                <c:pt idx="292">
                  <c:v>3847.06</c:v>
                </c:pt>
                <c:pt idx="293">
                  <c:v>3849.68</c:v>
                </c:pt>
                <c:pt idx="294">
                  <c:v>3875.42</c:v>
                </c:pt>
                <c:pt idx="295">
                  <c:v>3850.94</c:v>
                </c:pt>
                <c:pt idx="296">
                  <c:v>3810.81</c:v>
                </c:pt>
                <c:pt idx="297">
                  <c:v>3831.93</c:v>
                </c:pt>
                <c:pt idx="298">
                  <c:v>3862</c:v>
                </c:pt>
                <c:pt idx="299">
                  <c:v>3873.88</c:v>
                </c:pt>
                <c:pt idx="300">
                  <c:v>3469.18</c:v>
                </c:pt>
                <c:pt idx="301">
                  <c:v>3530.28</c:v>
                </c:pt>
                <c:pt idx="302">
                  <c:v>3593.24</c:v>
                </c:pt>
                <c:pt idx="303">
                  <c:v>3643.5</c:v>
                </c:pt>
                <c:pt idx="304">
                  <c:v>3683.96</c:v>
                </c:pt>
                <c:pt idx="305">
                  <c:v>3724.97</c:v>
                </c:pt>
                <c:pt idx="306">
                  <c:v>3725.76</c:v>
                </c:pt>
                <c:pt idx="307">
                  <c:v>3708.09</c:v>
                </c:pt>
                <c:pt idx="308">
                  <c:v>3758.87</c:v>
                </c:pt>
                <c:pt idx="309">
                  <c:v>3794.09</c:v>
                </c:pt>
                <c:pt idx="310">
                  <c:v>3773.46</c:v>
                </c:pt>
                <c:pt idx="311">
                  <c:v>3765.48</c:v>
                </c:pt>
                <c:pt idx="312">
                  <c:v>3760.77</c:v>
                </c:pt>
                <c:pt idx="313">
                  <c:v>3768.92</c:v>
                </c:pt>
                <c:pt idx="314">
                  <c:v>3755.88</c:v>
                </c:pt>
                <c:pt idx="315">
                  <c:v>3770.44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F-4D7D-A9FA-03A94CDD6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19128"/>
        <c:axId val="652223288"/>
      </c:lineChart>
      <c:dateAx>
        <c:axId val="652219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23288"/>
        <c:crosses val="autoZero"/>
        <c:auto val="1"/>
        <c:lblOffset val="100"/>
        <c:baseTimeUnit val="days"/>
      </c:dateAx>
      <c:valAx>
        <c:axId val="652223288"/>
        <c:scaling>
          <c:orientation val="minMax"/>
          <c:max val="4600"/>
          <c:min val="2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Hang Seng Index USD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Data!$F$1</c:f>
              <c:strCache>
                <c:ptCount val="1"/>
                <c:pt idx="0">
                  <c:v>USD Hang Seng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Data!$F$2:$F$317</c:f>
              <c:numCache>
                <c:formatCode>0.00</c:formatCode>
                <c:ptCount val="316"/>
                <c:pt idx="0">
                  <c:v>2148.1095259420381</c:v>
                </c:pt>
                <c:pt idx="1">
                  <c:v>2132.268890340596</c:v>
                </c:pt>
                <c:pt idx="2">
                  <c:v>2131.8861182618052</c:v>
                </c:pt>
                <c:pt idx="3">
                  <c:v>2116.8744879147894</c:v>
                </c:pt>
                <c:pt idx="4">
                  <c:v>2078.32575417921</c:v>
                </c:pt>
                <c:pt idx="5">
                  <c:v>2071.4740842151054</c:v>
                </c:pt>
                <c:pt idx="6">
                  <c:v>2058.712639562098</c:v>
                </c:pt>
                <c:pt idx="7">
                  <c:v>2085.3265110329389</c:v>
                </c:pt>
                <c:pt idx="8">
                  <c:v>2077.0198565419187</c:v>
                </c:pt>
                <c:pt idx="9">
                  <c:v>2027.3345259391772</c:v>
                </c:pt>
                <c:pt idx="10">
                  <c:v>1953.3179900268508</c:v>
                </c:pt>
                <c:pt idx="11">
                  <c:v>1968.0582549099836</c:v>
                </c:pt>
                <c:pt idx="12">
                  <c:v>1958.2590342181004</c:v>
                </c:pt>
                <c:pt idx="13">
                  <c:v>1913.7817232910356</c:v>
                </c:pt>
                <c:pt idx="14">
                  <c:v>1962.9476214219051</c:v>
                </c:pt>
                <c:pt idx="15">
                  <c:v>2033.8296429896261</c:v>
                </c:pt>
                <c:pt idx="16">
                  <c:v>2073.7771182971755</c:v>
                </c:pt>
                <c:pt idx="17">
                  <c:v>2041.3889742014742</c:v>
                </c:pt>
                <c:pt idx="18">
                  <c:v>2057.5970103409441</c:v>
                </c:pt>
                <c:pt idx="19">
                  <c:v>2008.7046062141039</c:v>
                </c:pt>
                <c:pt idx="20">
                  <c:v>1980.6945510360706</c:v>
                </c:pt>
                <c:pt idx="21">
                  <c:v>1990.6657629546266</c:v>
                </c:pt>
                <c:pt idx="22">
                  <c:v>1986.3633457372666</c:v>
                </c:pt>
                <c:pt idx="23">
                  <c:v>1982.996867608515</c:v>
                </c:pt>
                <c:pt idx="24">
                  <c:v>2062.905246471671</c:v>
                </c:pt>
                <c:pt idx="25">
                  <c:v>2056.7969919042321</c:v>
                </c:pt>
                <c:pt idx="26">
                  <c:v>2030.1841196777907</c:v>
                </c:pt>
                <c:pt idx="27">
                  <c:v>2013.7064081742267</c:v>
                </c:pt>
                <c:pt idx="28">
                  <c:v>2031.0787649331046</c:v>
                </c:pt>
                <c:pt idx="29">
                  <c:v>2039.1377744810916</c:v>
                </c:pt>
                <c:pt idx="30">
                  <c:v>2088.8945706505756</c:v>
                </c:pt>
                <c:pt idx="31">
                  <c:v>2077.5007352283042</c:v>
                </c:pt>
                <c:pt idx="32">
                  <c:v>2110.127990384738</c:v>
                </c:pt>
                <c:pt idx="33">
                  <c:v>2140.4400296591753</c:v>
                </c:pt>
                <c:pt idx="34">
                  <c:v>2137.8179401313942</c:v>
                </c:pt>
                <c:pt idx="35">
                  <c:v>2126.1714256499399</c:v>
                </c:pt>
                <c:pt idx="36">
                  <c:v>2146.035965797983</c:v>
                </c:pt>
                <c:pt idx="37">
                  <c:v>2112.5525364401692</c:v>
                </c:pt>
                <c:pt idx="38">
                  <c:v>2109.0639689352133</c:v>
                </c:pt>
                <c:pt idx="39">
                  <c:v>2119.1083860254198</c:v>
                </c:pt>
                <c:pt idx="40">
                  <c:v>2120.9720500466474</c:v>
                </c:pt>
                <c:pt idx="41">
                  <c:v>2065.7770961145193</c:v>
                </c:pt>
                <c:pt idx="42">
                  <c:v>2100.6606859888566</c:v>
                </c:pt>
                <c:pt idx="43">
                  <c:v>2075.2336747349982</c:v>
                </c:pt>
                <c:pt idx="44">
                  <c:v>2091.1461197140775</c:v>
                </c:pt>
                <c:pt idx="45">
                  <c:v>2120.7387235348265</c:v>
                </c:pt>
                <c:pt idx="46">
                  <c:v>2184.8916725250847</c:v>
                </c:pt>
                <c:pt idx="47">
                  <c:v>2183.4916211828768</c:v>
                </c:pt>
                <c:pt idx="48">
                  <c:v>2168.4001943187341</c:v>
                </c:pt>
                <c:pt idx="49">
                  <c:v>2137.8111615419034</c:v>
                </c:pt>
                <c:pt idx="50">
                  <c:v>2140.5156537753219</c:v>
                </c:pt>
                <c:pt idx="51">
                  <c:v>2112.9336571647705</c:v>
                </c:pt>
                <c:pt idx="52">
                  <c:v>2114.7249066830291</c:v>
                </c:pt>
                <c:pt idx="53">
                  <c:v>2155.9655313490844</c:v>
                </c:pt>
                <c:pt idx="54">
                  <c:v>2109.4750434693669</c:v>
                </c:pt>
                <c:pt idx="55">
                  <c:v>2106.1726500971668</c:v>
                </c:pt>
                <c:pt idx="56">
                  <c:v>2124.0998504543886</c:v>
                </c:pt>
                <c:pt idx="57">
                  <c:v>2095.2261659786041</c:v>
                </c:pt>
                <c:pt idx="58">
                  <c:v>2113.5143422986007</c:v>
                </c:pt>
                <c:pt idx="59">
                  <c:v>2162.6393838372228</c:v>
                </c:pt>
                <c:pt idx="60">
                  <c:v>2136.3827966329018</c:v>
                </c:pt>
                <c:pt idx="61">
                  <c:v>2136.3412235095743</c:v>
                </c:pt>
                <c:pt idx="62">
                  <c:v>2136.5812860718115</c:v>
                </c:pt>
                <c:pt idx="63">
                  <c:v>2149.0690130772373</c:v>
                </c:pt>
                <c:pt idx="64">
                  <c:v>2187.4020471194831</c:v>
                </c:pt>
                <c:pt idx="65">
                  <c:v>2181.072736319677</c:v>
                </c:pt>
                <c:pt idx="66">
                  <c:v>2133.6034093373992</c:v>
                </c:pt>
                <c:pt idx="67">
                  <c:v>2120.4889763176047</c:v>
                </c:pt>
                <c:pt idx="68">
                  <c:v>2074.7956994739261</c:v>
                </c:pt>
                <c:pt idx="69">
                  <c:v>2075.5331920002045</c:v>
                </c:pt>
                <c:pt idx="70">
                  <c:v>2092.3830319746653</c:v>
                </c:pt>
                <c:pt idx="71">
                  <c:v>2071.4929584658012</c:v>
                </c:pt>
                <c:pt idx="72">
                  <c:v>2107.2924510241846</c:v>
                </c:pt>
                <c:pt idx="73">
                  <c:v>2148.0541195992087</c:v>
                </c:pt>
                <c:pt idx="74">
                  <c:v>2196.3928188365085</c:v>
                </c:pt>
                <c:pt idx="75">
                  <c:v>2208.1249920155346</c:v>
                </c:pt>
                <c:pt idx="76">
                  <c:v>2254.7871185314821</c:v>
                </c:pt>
                <c:pt idx="77">
                  <c:v>2268.0916596375532</c:v>
                </c:pt>
                <c:pt idx="78">
                  <c:v>2270.4710168083338</c:v>
                </c:pt>
                <c:pt idx="79">
                  <c:v>2330.4529804037015</c:v>
                </c:pt>
                <c:pt idx="80">
                  <c:v>2365.5233339734968</c:v>
                </c:pt>
                <c:pt idx="81">
                  <c:v>2376.2886597938145</c:v>
                </c:pt>
                <c:pt idx="82">
                  <c:v>2362.6980169537032</c:v>
                </c:pt>
                <c:pt idx="83">
                  <c:v>2342.824613022899</c:v>
                </c:pt>
                <c:pt idx="84">
                  <c:v>2372.505631207126</c:v>
                </c:pt>
                <c:pt idx="85">
                  <c:v>2427.1335688322324</c:v>
                </c:pt>
                <c:pt idx="86">
                  <c:v>2446.978250572859</c:v>
                </c:pt>
                <c:pt idx="87">
                  <c:v>2441.8412023760752</c:v>
                </c:pt>
                <c:pt idx="88">
                  <c:v>2483.7883915295083</c:v>
                </c:pt>
                <c:pt idx="89">
                  <c:v>2506.198331218518</c:v>
                </c:pt>
                <c:pt idx="90">
                  <c:v>2518.0129002474901</c:v>
                </c:pt>
                <c:pt idx="91">
                  <c:v>2462.7927835579926</c:v>
                </c:pt>
                <c:pt idx="92">
                  <c:v>2458.5158431312275</c:v>
                </c:pt>
                <c:pt idx="93">
                  <c:v>2416.2154894227319</c:v>
                </c:pt>
                <c:pt idx="94">
                  <c:v>2382.005299335663</c:v>
                </c:pt>
                <c:pt idx="95">
                  <c:v>2409.447730240418</c:v>
                </c:pt>
                <c:pt idx="96">
                  <c:v>2364.7545914122989</c:v>
                </c:pt>
                <c:pt idx="97">
                  <c:v>2332.0315198342137</c:v>
                </c:pt>
                <c:pt idx="98">
                  <c:v>2312.3549950759079</c:v>
                </c:pt>
                <c:pt idx="99">
                  <c:v>2353.4804015602022</c:v>
                </c:pt>
                <c:pt idx="100">
                  <c:v>2360.6043541141389</c:v>
                </c:pt>
                <c:pt idx="101">
                  <c:v>2358.6665983921343</c:v>
                </c:pt>
                <c:pt idx="102">
                  <c:v>2365.9692165851407</c:v>
                </c:pt>
                <c:pt idx="103">
                  <c:v>2351.1802657518115</c:v>
                </c:pt>
                <c:pt idx="104">
                  <c:v>2326.6906465611041</c:v>
                </c:pt>
                <c:pt idx="105">
                  <c:v>2296.9843647958201</c:v>
                </c:pt>
                <c:pt idx="106">
                  <c:v>2319.129076452286</c:v>
                </c:pt>
                <c:pt idx="107">
                  <c:v>2297.1064962998998</c:v>
                </c:pt>
                <c:pt idx="108">
                  <c:v>2296.5288536638454</c:v>
                </c:pt>
                <c:pt idx="109">
                  <c:v>2294.7765495510494</c:v>
                </c:pt>
                <c:pt idx="110">
                  <c:v>2349.3868764655385</c:v>
                </c:pt>
                <c:pt idx="111">
                  <c:v>2309.6608888376445</c:v>
                </c:pt>
                <c:pt idx="112">
                  <c:v>2309.0246557796991</c:v>
                </c:pt>
                <c:pt idx="113">
                  <c:v>2314.5162323109435</c:v>
                </c:pt>
                <c:pt idx="114">
                  <c:v>2316.5191891511186</c:v>
                </c:pt>
                <c:pt idx="115">
                  <c:v>2268.8117100157519</c:v>
                </c:pt>
                <c:pt idx="116">
                  <c:v>2269.2891905737706</c:v>
                </c:pt>
                <c:pt idx="117">
                  <c:v>2274.1879335500553</c:v>
                </c:pt>
                <c:pt idx="118">
                  <c:v>2302.0820261981894</c:v>
                </c:pt>
                <c:pt idx="119">
                  <c:v>2278.2334344481565</c:v>
                </c:pt>
                <c:pt idx="120">
                  <c:v>2243.9126203646797</c:v>
                </c:pt>
                <c:pt idx="121">
                  <c:v>2243.174428428787</c:v>
                </c:pt>
                <c:pt idx="122">
                  <c:v>2236.8605008449836</c:v>
                </c:pt>
                <c:pt idx="123">
                  <c:v>2284.0292542972052</c:v>
                </c:pt>
                <c:pt idx="124">
                  <c:v>2343.1122154906307</c:v>
                </c:pt>
                <c:pt idx="125">
                  <c:v>2307.8422832547653</c:v>
                </c:pt>
                <c:pt idx="126">
                  <c:v>2270.6055638096213</c:v>
                </c:pt>
                <c:pt idx="127">
                  <c:v>2272.215035032214</c:v>
                </c:pt>
                <c:pt idx="128">
                  <c:v>2276.3357703486508</c:v>
                </c:pt>
                <c:pt idx="129">
                  <c:v>2230.1481415090716</c:v>
                </c:pt>
                <c:pt idx="130">
                  <c:v>2258.9540290248619</c:v>
                </c:pt>
                <c:pt idx="131">
                  <c:v>2236.9943528869426</c:v>
                </c:pt>
                <c:pt idx="132">
                  <c:v>2216.9778699861686</c:v>
                </c:pt>
                <c:pt idx="133">
                  <c:v>2178.337005533921</c:v>
                </c:pt>
                <c:pt idx="134">
                  <c:v>2180.374298670356</c:v>
                </c:pt>
                <c:pt idx="135">
                  <c:v>2207.2703526338701</c:v>
                </c:pt>
                <c:pt idx="136">
                  <c:v>2176.1774944964932</c:v>
                </c:pt>
                <c:pt idx="137">
                  <c:v>2220.2508960573473</c:v>
                </c:pt>
                <c:pt idx="138">
                  <c:v>2214.4113017774193</c:v>
                </c:pt>
                <c:pt idx="139">
                  <c:v>2170.7757935999589</c:v>
                </c:pt>
                <c:pt idx="140">
                  <c:v>2143.9763754253067</c:v>
                </c:pt>
                <c:pt idx="141">
                  <c:v>2135.8077594170172</c:v>
                </c:pt>
                <c:pt idx="142">
                  <c:v>2164.2721583914649</c:v>
                </c:pt>
                <c:pt idx="143">
                  <c:v>2167.1195442999001</c:v>
                </c:pt>
                <c:pt idx="144">
                  <c:v>2191.7576146200704</c:v>
                </c:pt>
                <c:pt idx="145">
                  <c:v>2196.3918981362635</c:v>
                </c:pt>
                <c:pt idx="146">
                  <c:v>2205.166857128183</c:v>
                </c:pt>
                <c:pt idx="147">
                  <c:v>2196.2731006160166</c:v>
                </c:pt>
                <c:pt idx="148">
                  <c:v>2194.3797455366303</c:v>
                </c:pt>
                <c:pt idx="149">
                  <c:v>2236.2700948128763</c:v>
                </c:pt>
                <c:pt idx="150">
                  <c:v>2255.8928135793435</c:v>
                </c:pt>
                <c:pt idx="151">
                  <c:v>2248.4694401643555</c:v>
                </c:pt>
                <c:pt idx="152">
                  <c:v>2231.4189666012289</c:v>
                </c:pt>
                <c:pt idx="153">
                  <c:v>2262.6819726800486</c:v>
                </c:pt>
                <c:pt idx="154">
                  <c:v>2259.2939425815221</c:v>
                </c:pt>
                <c:pt idx="155">
                  <c:v>2283.0885465436959</c:v>
                </c:pt>
                <c:pt idx="156">
                  <c:v>2291.3012267500735</c:v>
                </c:pt>
                <c:pt idx="157">
                  <c:v>2268.0592767315757</c:v>
                </c:pt>
                <c:pt idx="158">
                  <c:v>2281.0285347867907</c:v>
                </c:pt>
                <c:pt idx="159">
                  <c:v>2307.0896335911148</c:v>
                </c:pt>
                <c:pt idx="160">
                  <c:v>2263.417792937194</c:v>
                </c:pt>
                <c:pt idx="161">
                  <c:v>2239.0678107404415</c:v>
                </c:pt>
                <c:pt idx="162">
                  <c:v>2238.4575901450016</c:v>
                </c:pt>
                <c:pt idx="163">
                  <c:v>2206.0394591682275</c:v>
                </c:pt>
                <c:pt idx="164">
                  <c:v>2210.4906047585455</c:v>
                </c:pt>
                <c:pt idx="165">
                  <c:v>2194.1838841650315</c:v>
                </c:pt>
                <c:pt idx="166">
                  <c:v>2210.7315509392834</c:v>
                </c:pt>
                <c:pt idx="167">
                  <c:v>2225.9502755350509</c:v>
                </c:pt>
                <c:pt idx="168">
                  <c:v>2233.9774577814251</c:v>
                </c:pt>
                <c:pt idx="169">
                  <c:v>2266.2260833857331</c:v>
                </c:pt>
                <c:pt idx="170">
                  <c:v>2311.0979959457031</c:v>
                </c:pt>
                <c:pt idx="171">
                  <c:v>2342.4640135478408</c:v>
                </c:pt>
                <c:pt idx="172">
                  <c:v>2342.4362628052072</c:v>
                </c:pt>
                <c:pt idx="173">
                  <c:v>2440.412032161114</c:v>
                </c:pt>
                <c:pt idx="174">
                  <c:v>2457.3318774487761</c:v>
                </c:pt>
                <c:pt idx="175">
                  <c:v>2559.5195580962168</c:v>
                </c:pt>
                <c:pt idx="176">
                  <c:v>2652.3415907133399</c:v>
                </c:pt>
                <c:pt idx="177">
                  <c:v>2719.1724244412708</c:v>
                </c:pt>
                <c:pt idx="178">
                  <c:v>2887.5075585060531</c:v>
                </c:pt>
                <c:pt idx="179">
                  <c:v>2848.7246541107361</c:v>
                </c:pt>
                <c:pt idx="180">
                  <c:v>2928.5749246503001</c:v>
                </c:pt>
                <c:pt idx="181">
                  <c:v>2974.3993201308231</c:v>
                </c:pt>
                <c:pt idx="182">
                  <c:v>2694.7718814788109</c:v>
                </c:pt>
                <c:pt idx="183">
                  <c:v>2654.3756752585277</c:v>
                </c:pt>
                <c:pt idx="184">
                  <c:v>2734.8509805940184</c:v>
                </c:pt>
                <c:pt idx="185">
                  <c:v>2714.7249607454501</c:v>
                </c:pt>
                <c:pt idx="186">
                  <c:v>2617.0854853874989</c:v>
                </c:pt>
                <c:pt idx="187">
                  <c:v>2611.8614172417342</c:v>
                </c:pt>
                <c:pt idx="188">
                  <c:v>2584.0164725564632</c:v>
                </c:pt>
                <c:pt idx="189">
                  <c:v>2676.25167232685</c:v>
                </c:pt>
                <c:pt idx="190">
                  <c:v>2635.5804375804378</c:v>
                </c:pt>
                <c:pt idx="191">
                  <c:v>2637.2332076831044</c:v>
                </c:pt>
                <c:pt idx="192">
                  <c:v>2671.1120546570428</c:v>
                </c:pt>
                <c:pt idx="193">
                  <c:v>2637.4919547923691</c:v>
                </c:pt>
                <c:pt idx="194">
                  <c:v>2649.9208504395056</c:v>
                </c:pt>
                <c:pt idx="195">
                  <c:v>2651.1061633698409</c:v>
                </c:pt>
                <c:pt idx="196">
                  <c:v>2663.7594255861236</c:v>
                </c:pt>
                <c:pt idx="197">
                  <c:v>2622.653455153777</c:v>
                </c:pt>
                <c:pt idx="198">
                  <c:v>2614.2037339646681</c:v>
                </c:pt>
                <c:pt idx="199">
                  <c:v>2638.1955254795507</c:v>
                </c:pt>
                <c:pt idx="200">
                  <c:v>2644.693901168846</c:v>
                </c:pt>
                <c:pt idx="201">
                  <c:v>2702.8692374004454</c:v>
                </c:pt>
                <c:pt idx="202">
                  <c:v>2642.3739498501163</c:v>
                </c:pt>
                <c:pt idx="203">
                  <c:v>2694.6514229864069</c:v>
                </c:pt>
                <c:pt idx="204">
                  <c:v>2667.5147350268962</c:v>
                </c:pt>
                <c:pt idx="205">
                  <c:v>2627.4268441700433</c:v>
                </c:pt>
                <c:pt idx="206">
                  <c:v>2552.4564020782964</c:v>
                </c:pt>
                <c:pt idx="207">
                  <c:v>2548.6892348834522</c:v>
                </c:pt>
                <c:pt idx="208">
                  <c:v>2497.983446006735</c:v>
                </c:pt>
                <c:pt idx="209">
                  <c:v>2496.573793245258</c:v>
                </c:pt>
                <c:pt idx="210">
                  <c:v>2514.6253741120859</c:v>
                </c:pt>
                <c:pt idx="211">
                  <c:v>2526.2950305771105</c:v>
                </c:pt>
                <c:pt idx="212">
                  <c:v>2531.7688324703522</c:v>
                </c:pt>
                <c:pt idx="213">
                  <c:v>2518.2899723774653</c:v>
                </c:pt>
                <c:pt idx="214">
                  <c:v>2470.8927607740343</c:v>
                </c:pt>
                <c:pt idx="215">
                  <c:v>2460.2702945748388</c:v>
                </c:pt>
                <c:pt idx="216">
                  <c:v>2461.9259335406441</c:v>
                </c:pt>
                <c:pt idx="217">
                  <c:v>2518.7436559637154</c:v>
                </c:pt>
                <c:pt idx="218">
                  <c:v>2496.0946334943969</c:v>
                </c:pt>
                <c:pt idx="219">
                  <c:v>2512.3094913773166</c:v>
                </c:pt>
                <c:pt idx="220">
                  <c:v>2537.5981494570456</c:v>
                </c:pt>
                <c:pt idx="221">
                  <c:v>2536.7109100954681</c:v>
                </c:pt>
                <c:pt idx="222">
                  <c:v>2512.774266481681</c:v>
                </c:pt>
                <c:pt idx="223">
                  <c:v>2552.7621079143159</c:v>
                </c:pt>
                <c:pt idx="224">
                  <c:v>2624.2225964443187</c:v>
                </c:pt>
                <c:pt idx="225">
                  <c:v>2612.6521056828997</c:v>
                </c:pt>
                <c:pt idx="226">
                  <c:v>2592.5894958901995</c:v>
                </c:pt>
                <c:pt idx="227">
                  <c:v>2623.5497646181152</c:v>
                </c:pt>
                <c:pt idx="228">
                  <c:v>2568.7803874154297</c:v>
                </c:pt>
                <c:pt idx="229">
                  <c:v>2546.0109837815594</c:v>
                </c:pt>
                <c:pt idx="230">
                  <c:v>2534.1497298687932</c:v>
                </c:pt>
                <c:pt idx="231">
                  <c:v>2556.8333933995777</c:v>
                </c:pt>
                <c:pt idx="232">
                  <c:v>2542.019715844744</c:v>
                </c:pt>
                <c:pt idx="233">
                  <c:v>2538.219962674561</c:v>
                </c:pt>
                <c:pt idx="234">
                  <c:v>2557.3157556270098</c:v>
                </c:pt>
                <c:pt idx="235">
                  <c:v>2586.6858003320508</c:v>
                </c:pt>
                <c:pt idx="236">
                  <c:v>2586.5435865744853</c:v>
                </c:pt>
                <c:pt idx="237">
                  <c:v>2582.0582854492513</c:v>
                </c:pt>
                <c:pt idx="238">
                  <c:v>2582.9481220143439</c:v>
                </c:pt>
                <c:pt idx="239">
                  <c:v>2526.27161193146</c:v>
                </c:pt>
                <c:pt idx="240">
                  <c:v>2540.9582470713799</c:v>
                </c:pt>
                <c:pt idx="241">
                  <c:v>2531.311793671814</c:v>
                </c:pt>
                <c:pt idx="242">
                  <c:v>2501.1999536995359</c:v>
                </c:pt>
                <c:pt idx="243">
                  <c:v>2479.1801149587873</c:v>
                </c:pt>
                <c:pt idx="244">
                  <c:v>2473.7262313418441</c:v>
                </c:pt>
                <c:pt idx="245">
                  <c:v>2449.6357211692903</c:v>
                </c:pt>
                <c:pt idx="246">
                  <c:v>2423.7078319828438</c:v>
                </c:pt>
                <c:pt idx="247">
                  <c:v>2468.5684194302448</c:v>
                </c:pt>
                <c:pt idx="248">
                  <c:v>2476.828140651889</c:v>
                </c:pt>
                <c:pt idx="249">
                  <c:v>2507.2097294104051</c:v>
                </c:pt>
                <c:pt idx="250">
                  <c:v>2514.9685373057664</c:v>
                </c:pt>
                <c:pt idx="251">
                  <c:v>2582.4310612774375</c:v>
                </c:pt>
                <c:pt idx="252">
                  <c:v>2540.5929275153821</c:v>
                </c:pt>
                <c:pt idx="253">
                  <c:v>2529.4746032561247</c:v>
                </c:pt>
                <c:pt idx="254">
                  <c:v>2576.1554460021566</c:v>
                </c:pt>
                <c:pt idx="255">
                  <c:v>2593.8139696156363</c:v>
                </c:pt>
                <c:pt idx="256">
                  <c:v>2596.9247955213723</c:v>
                </c:pt>
                <c:pt idx="257">
                  <c:v>2594.3844880465049</c:v>
                </c:pt>
                <c:pt idx="258">
                  <c:v>2669.8634886797054</c:v>
                </c:pt>
                <c:pt idx="259">
                  <c:v>2645.2648207130378</c:v>
                </c:pt>
                <c:pt idx="260">
                  <c:v>2683.1254896420637</c:v>
                </c:pt>
                <c:pt idx="261">
                  <c:v>2712.6973532205479</c:v>
                </c:pt>
                <c:pt idx="262">
                  <c:v>2763.2668258737131</c:v>
                </c:pt>
                <c:pt idx="263">
                  <c:v>2733.0184683701891</c:v>
                </c:pt>
                <c:pt idx="264">
                  <c:v>2806.0027985673387</c:v>
                </c:pt>
                <c:pt idx="265">
                  <c:v>2800.9514393569757</c:v>
                </c:pt>
                <c:pt idx="266">
                  <c:v>2905.9286760360733</c:v>
                </c:pt>
                <c:pt idx="267">
                  <c:v>2955.4067785709694</c:v>
                </c:pt>
                <c:pt idx="268">
                  <c:v>2950.2687411598304</c:v>
                </c:pt>
                <c:pt idx="269">
                  <c:v>2903.3061996064966</c:v>
                </c:pt>
                <c:pt idx="270">
                  <c:v>3021.8057790076582</c:v>
                </c:pt>
                <c:pt idx="271">
                  <c:v>3002.1749475877505</c:v>
                </c:pt>
                <c:pt idx="272">
                  <c:v>2963.0703525991485</c:v>
                </c:pt>
                <c:pt idx="273">
                  <c:v>3059.973758345232</c:v>
                </c:pt>
                <c:pt idx="274">
                  <c:v>3049.642554066912</c:v>
                </c:pt>
                <c:pt idx="275">
                  <c:v>2949.4002545543372</c:v>
                </c:pt>
                <c:pt idx="276">
                  <c:v>2958.3209031992596</c:v>
                </c:pt>
                <c:pt idx="277">
                  <c:v>2952.0768458707571</c:v>
                </c:pt>
                <c:pt idx="278">
                  <c:v>3036.3043226478953</c:v>
                </c:pt>
                <c:pt idx="279">
                  <c:v>3135.6180599338645</c:v>
                </c:pt>
                <c:pt idx="280">
                  <c:v>3118.5312930335517</c:v>
                </c:pt>
                <c:pt idx="281">
                  <c:v>3061.5686627877044</c:v>
                </c:pt>
                <c:pt idx="282">
                  <c:v>3060.6069185627507</c:v>
                </c:pt>
                <c:pt idx="283">
                  <c:v>3037.714793219292</c:v>
                </c:pt>
                <c:pt idx="284">
                  <c:v>3018.9855501370357</c:v>
                </c:pt>
                <c:pt idx="285">
                  <c:v>3082.5416838205019</c:v>
                </c:pt>
                <c:pt idx="286">
                  <c:v>3107.7379496750114</c:v>
                </c:pt>
                <c:pt idx="287">
                  <c:v>3184.4834021958786</c:v>
                </c:pt>
                <c:pt idx="288">
                  <c:v>3187.7617203083378</c:v>
                </c:pt>
                <c:pt idx="289">
                  <c:v>3116.067982399712</c:v>
                </c:pt>
                <c:pt idx="290">
                  <c:v>3047.575675710445</c:v>
                </c:pt>
                <c:pt idx="291">
                  <c:v>3074.9864937871421</c:v>
                </c:pt>
                <c:pt idx="292">
                  <c:v>3002.5917398742072</c:v>
                </c:pt>
                <c:pt idx="293">
                  <c:v>3019.9354432170371</c:v>
                </c:pt>
                <c:pt idx="294">
                  <c:v>3032.4870746199549</c:v>
                </c:pt>
                <c:pt idx="295">
                  <c:v>3011.98282290622</c:v>
                </c:pt>
                <c:pt idx="296">
                  <c:v>2971.5919899231385</c:v>
                </c:pt>
                <c:pt idx="297">
                  <c:v>2982.5392949401739</c:v>
                </c:pt>
                <c:pt idx="298">
                  <c:v>2981.5255522288326</c:v>
                </c:pt>
                <c:pt idx="299">
                  <c:v>2937.7487786063257</c:v>
                </c:pt>
                <c:pt idx="300">
                  <c:v>2552.6932385807713</c:v>
                </c:pt>
                <c:pt idx="301">
                  <c:v>2590.1683224378439</c:v>
                </c:pt>
                <c:pt idx="302">
                  <c:v>2611.1341614266576</c:v>
                </c:pt>
                <c:pt idx="303">
                  <c:v>2665.6587528677851</c:v>
                </c:pt>
                <c:pt idx="304">
                  <c:v>2697.4862640905922</c:v>
                </c:pt>
                <c:pt idx="305">
                  <c:v>2761.3620247289232</c:v>
                </c:pt>
                <c:pt idx="306">
                  <c:v>2767.1990615412383</c:v>
                </c:pt>
                <c:pt idx="307">
                  <c:v>2712.7243213995853</c:v>
                </c:pt>
                <c:pt idx="308">
                  <c:v>2755.7207073764475</c:v>
                </c:pt>
                <c:pt idx="309">
                  <c:v>2779.3299905904796</c:v>
                </c:pt>
                <c:pt idx="310">
                  <c:v>2844.3731395213977</c:v>
                </c:pt>
                <c:pt idx="311">
                  <c:v>2823.8593596947981</c:v>
                </c:pt>
                <c:pt idx="312">
                  <c:v>2833.5189625389953</c:v>
                </c:pt>
                <c:pt idx="313">
                  <c:v>2832.6427475601736</c:v>
                </c:pt>
                <c:pt idx="314">
                  <c:v>2836.498730490147</c:v>
                </c:pt>
                <c:pt idx="315">
                  <c:v>2852.0565784723294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FA-4FA1-A651-F2BF114CD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384248"/>
        <c:axId val="681383288"/>
      </c:lineChart>
      <c:dateAx>
        <c:axId val="68138424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83288"/>
        <c:crosses val="autoZero"/>
        <c:auto val="1"/>
        <c:lblOffset val="100"/>
        <c:baseTimeUnit val="days"/>
      </c:dateAx>
      <c:valAx>
        <c:axId val="681383288"/>
        <c:scaling>
          <c:orientation val="minMax"/>
          <c:max val="3300"/>
          <c:min val="1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384248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1">
          <a:lumMod val="85000"/>
        </a:schemeClr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FTSE China 50 Index USD</a:t>
            </a:r>
            <a:r>
              <a:rPr lang="en-GB" sz="1400" b="0" i="0" u="none" strike="noStrike" baseline="0"/>
              <a:t> </a:t>
            </a:r>
            <a:endParaRPr lang="en-US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</c:f>
              <c:strCache>
                <c:ptCount val="1"/>
                <c:pt idx="0">
                  <c:v>USD FTSE China 50 index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Data!$I$2:$I$317</c:f>
              <c:numCache>
                <c:formatCode>0.00</c:formatCode>
                <c:ptCount val="316"/>
                <c:pt idx="0">
                  <c:v>1380.5693813575588</c:v>
                </c:pt>
                <c:pt idx="1">
                  <c:v>1376.242810846815</c:v>
                </c:pt>
                <c:pt idx="2">
                  <c:v>1382.2889051113586</c:v>
                </c:pt>
                <c:pt idx="3">
                  <c:v>1367.2572716099958</c:v>
                </c:pt>
                <c:pt idx="4">
                  <c:v>1336.1122141804908</c:v>
                </c:pt>
                <c:pt idx="5">
                  <c:v>1325.7916757296211</c:v>
                </c:pt>
                <c:pt idx="6">
                  <c:v>1321.7991840493153</c:v>
                </c:pt>
                <c:pt idx="7">
                  <c:v>1342.513591301567</c:v>
                </c:pt>
                <c:pt idx="8">
                  <c:v>1337.6034061704875</c:v>
                </c:pt>
                <c:pt idx="9">
                  <c:v>1302.7932532583695</c:v>
                </c:pt>
                <c:pt idx="10">
                  <c:v>1251.1008822401229</c:v>
                </c:pt>
                <c:pt idx="11">
                  <c:v>1262.2941387070375</c:v>
                </c:pt>
                <c:pt idx="12">
                  <c:v>1251.9513911096897</c:v>
                </c:pt>
                <c:pt idx="13">
                  <c:v>1221.8967458043389</c:v>
                </c:pt>
                <c:pt idx="14">
                  <c:v>1258.1060867564147</c:v>
                </c:pt>
                <c:pt idx="15">
                  <c:v>1315.081161978587</c:v>
                </c:pt>
                <c:pt idx="16">
                  <c:v>1343.2536839950881</c:v>
                </c:pt>
                <c:pt idx="17">
                  <c:v>1311.2842956592956</c:v>
                </c:pt>
                <c:pt idx="18">
                  <c:v>1324.1821951469233</c:v>
                </c:pt>
                <c:pt idx="19">
                  <c:v>1289.1860777466518</c:v>
                </c:pt>
                <c:pt idx="20">
                  <c:v>1269.6738296239448</c:v>
                </c:pt>
                <c:pt idx="21">
                  <c:v>1279.849352908077</c:v>
                </c:pt>
                <c:pt idx="22">
                  <c:v>1273.1320571348192</c:v>
                </c:pt>
                <c:pt idx="23">
                  <c:v>1275.379402927827</c:v>
                </c:pt>
                <c:pt idx="24">
                  <c:v>1338.815453057885</c:v>
                </c:pt>
                <c:pt idx="25">
                  <c:v>1332.6260727212268</c:v>
                </c:pt>
                <c:pt idx="26">
                  <c:v>1312.3782125047949</c:v>
                </c:pt>
                <c:pt idx="27">
                  <c:v>1299.0741332787704</c:v>
                </c:pt>
                <c:pt idx="28">
                  <c:v>1319.5172801923716</c:v>
                </c:pt>
                <c:pt idx="29">
                  <c:v>1325.4063662987735</c:v>
                </c:pt>
                <c:pt idx="30">
                  <c:v>1361.3016631936898</c:v>
                </c:pt>
                <c:pt idx="31">
                  <c:v>1352.2574705589013</c:v>
                </c:pt>
                <c:pt idx="32">
                  <c:v>1383.0594944315872</c:v>
                </c:pt>
                <c:pt idx="33">
                  <c:v>1409.2544297000843</c:v>
                </c:pt>
                <c:pt idx="34">
                  <c:v>1414.0775582197907</c:v>
                </c:pt>
                <c:pt idx="35">
                  <c:v>1401.3778470819807</c:v>
                </c:pt>
                <c:pt idx="36">
                  <c:v>1418.9708720491815</c:v>
                </c:pt>
                <c:pt idx="37">
                  <c:v>1394.4531739036013</c:v>
                </c:pt>
                <c:pt idx="38">
                  <c:v>1390.2181688125893</c:v>
                </c:pt>
                <c:pt idx="39">
                  <c:v>1401.40512230951</c:v>
                </c:pt>
                <c:pt idx="40">
                  <c:v>1396.7257530640152</c:v>
                </c:pt>
                <c:pt idx="41">
                  <c:v>1356.2001533742332</c:v>
                </c:pt>
                <c:pt idx="42">
                  <c:v>1384.8016664110824</c:v>
                </c:pt>
                <c:pt idx="43">
                  <c:v>1366.983773830987</c:v>
                </c:pt>
                <c:pt idx="44">
                  <c:v>1375.7477334629107</c:v>
                </c:pt>
                <c:pt idx="45">
                  <c:v>1400.4091234530019</c:v>
                </c:pt>
                <c:pt idx="46">
                  <c:v>1447.5516073368697</c:v>
                </c:pt>
                <c:pt idx="47">
                  <c:v>1444.2473125151791</c:v>
                </c:pt>
                <c:pt idx="48">
                  <c:v>1437.604510240086</c:v>
                </c:pt>
                <c:pt idx="49">
                  <c:v>1414.1750303650194</c:v>
                </c:pt>
                <c:pt idx="50">
                  <c:v>1419.468743605484</c:v>
                </c:pt>
                <c:pt idx="51">
                  <c:v>1399.1895692189696</c:v>
                </c:pt>
                <c:pt idx="52">
                  <c:v>1401.9749961650562</c:v>
                </c:pt>
                <c:pt idx="53">
                  <c:v>1428.4954485015855</c:v>
                </c:pt>
                <c:pt idx="54">
                  <c:v>1394.0370256724966</c:v>
                </c:pt>
                <c:pt idx="55">
                  <c:v>1395.2043060243427</c:v>
                </c:pt>
                <c:pt idx="56">
                  <c:v>1412.1259762005188</c:v>
                </c:pt>
                <c:pt idx="57">
                  <c:v>1391.322741855085</c:v>
                </c:pt>
                <c:pt idx="58">
                  <c:v>1410.7008241231713</c:v>
                </c:pt>
                <c:pt idx="59">
                  <c:v>1444.9553588535082</c:v>
                </c:pt>
                <c:pt idx="60">
                  <c:v>1427.5422483937307</c:v>
                </c:pt>
                <c:pt idx="61">
                  <c:v>1423.2451490106409</c:v>
                </c:pt>
                <c:pt idx="62">
                  <c:v>1425.6256703611011</c:v>
                </c:pt>
                <c:pt idx="63">
                  <c:v>1431.7812627707397</c:v>
                </c:pt>
                <c:pt idx="64">
                  <c:v>1461.2846823391276</c:v>
                </c:pt>
                <c:pt idx="65">
                  <c:v>1456.7907220046186</c:v>
                </c:pt>
                <c:pt idx="66">
                  <c:v>1428.6565526393017</c:v>
                </c:pt>
                <c:pt idx="67">
                  <c:v>1423.6083079988759</c:v>
                </c:pt>
                <c:pt idx="68">
                  <c:v>1397.5292405127943</c:v>
                </c:pt>
                <c:pt idx="69">
                  <c:v>1398.5658093024444</c:v>
                </c:pt>
                <c:pt idx="70">
                  <c:v>1413.8216365307999</c:v>
                </c:pt>
                <c:pt idx="71">
                  <c:v>1401.1376259240817</c:v>
                </c:pt>
                <c:pt idx="72">
                  <c:v>1420.5692042626508</c:v>
                </c:pt>
                <c:pt idx="73">
                  <c:v>1450.4920543748801</c:v>
                </c:pt>
                <c:pt idx="74">
                  <c:v>1487.0754379692528</c:v>
                </c:pt>
                <c:pt idx="75">
                  <c:v>1491.2247531203291</c:v>
                </c:pt>
                <c:pt idx="76">
                  <c:v>1524.3194563315153</c:v>
                </c:pt>
                <c:pt idx="77">
                  <c:v>1529.1976586662577</c:v>
                </c:pt>
                <c:pt idx="78">
                  <c:v>1522.9705374832236</c:v>
                </c:pt>
                <c:pt idx="79">
                  <c:v>1558.3549861123554</c:v>
                </c:pt>
                <c:pt idx="80">
                  <c:v>1591.5972088854746</c:v>
                </c:pt>
                <c:pt idx="81">
                  <c:v>1601.9684837942239</c:v>
                </c:pt>
                <c:pt idx="82">
                  <c:v>1586.3858949279531</c:v>
                </c:pt>
                <c:pt idx="83">
                  <c:v>1571.0988870410645</c:v>
                </c:pt>
                <c:pt idx="84">
                  <c:v>1595.5385481724172</c:v>
                </c:pt>
                <c:pt idx="85">
                  <c:v>1633.3653304663901</c:v>
                </c:pt>
                <c:pt idx="86">
                  <c:v>1650.4576468630387</c:v>
                </c:pt>
                <c:pt idx="87">
                  <c:v>1648.6660180253994</c:v>
                </c:pt>
                <c:pt idx="88">
                  <c:v>1686.7187099420603</c:v>
                </c:pt>
                <c:pt idx="89">
                  <c:v>1708.4451621999203</c:v>
                </c:pt>
                <c:pt idx="90">
                  <c:v>1713.7004218868215</c:v>
                </c:pt>
                <c:pt idx="91">
                  <c:v>1676.3325816206243</c:v>
                </c:pt>
                <c:pt idx="92">
                  <c:v>1668.3175798560412</c:v>
                </c:pt>
                <c:pt idx="93">
                  <c:v>1633.5796240331917</c:v>
                </c:pt>
                <c:pt idx="94">
                  <c:v>1608.8117455806871</c:v>
                </c:pt>
                <c:pt idx="95">
                  <c:v>1622.9024246613922</c:v>
                </c:pt>
                <c:pt idx="96">
                  <c:v>1587.9605810456262</c:v>
                </c:pt>
                <c:pt idx="97">
                  <c:v>1562.7978969721003</c:v>
                </c:pt>
                <c:pt idx="98">
                  <c:v>1541.6539833987747</c:v>
                </c:pt>
                <c:pt idx="99">
                  <c:v>1577.203145981201</c:v>
                </c:pt>
                <c:pt idx="100">
                  <c:v>1582.8817529085022</c:v>
                </c:pt>
                <c:pt idx="101">
                  <c:v>1583.2492703159403</c:v>
                </c:pt>
                <c:pt idx="102">
                  <c:v>1586.6366174097882</c:v>
                </c:pt>
                <c:pt idx="103">
                  <c:v>1576.796640979032</c:v>
                </c:pt>
                <c:pt idx="104">
                  <c:v>1562.4876793691835</c:v>
                </c:pt>
                <c:pt idx="105">
                  <c:v>1541.1266054575954</c:v>
                </c:pt>
                <c:pt idx="106">
                  <c:v>1557.1990115363437</c:v>
                </c:pt>
                <c:pt idx="107">
                  <c:v>1547.9873505236471</c:v>
                </c:pt>
                <c:pt idx="108">
                  <c:v>1548.1389482849131</c:v>
                </c:pt>
                <c:pt idx="109">
                  <c:v>1542.6470776600786</c:v>
                </c:pt>
                <c:pt idx="110">
                  <c:v>1584.9006317030357</c:v>
                </c:pt>
                <c:pt idx="111">
                  <c:v>1555.4850942260143</c:v>
                </c:pt>
                <c:pt idx="112">
                  <c:v>1556.299711815562</c:v>
                </c:pt>
                <c:pt idx="113">
                  <c:v>1562.5433822116925</c:v>
                </c:pt>
                <c:pt idx="114">
                  <c:v>1563.4682613873558</c:v>
                </c:pt>
                <c:pt idx="115">
                  <c:v>1526.5268226465353</c:v>
                </c:pt>
                <c:pt idx="116">
                  <c:v>1525.1511270491803</c:v>
                </c:pt>
                <c:pt idx="117">
                  <c:v>1532.4161056646274</c:v>
                </c:pt>
                <c:pt idx="118">
                  <c:v>1551.4718875244887</c:v>
                </c:pt>
                <c:pt idx="119">
                  <c:v>1536.4141355962574</c:v>
                </c:pt>
                <c:pt idx="120">
                  <c:v>1512.6677422659291</c:v>
                </c:pt>
                <c:pt idx="121">
                  <c:v>1511.1792416600529</c:v>
                </c:pt>
                <c:pt idx="122">
                  <c:v>1510.4368310544373</c:v>
                </c:pt>
                <c:pt idx="123">
                  <c:v>1536.7074826446703</c:v>
                </c:pt>
                <c:pt idx="124">
                  <c:v>1576.3311259974639</c:v>
                </c:pt>
                <c:pt idx="125">
                  <c:v>1550.2331420373027</c:v>
                </c:pt>
                <c:pt idx="126">
                  <c:v>1521.6737537783699</c:v>
                </c:pt>
                <c:pt idx="127">
                  <c:v>1520.9604078338948</c:v>
                </c:pt>
                <c:pt idx="128">
                  <c:v>1520.3160010755303</c:v>
                </c:pt>
                <c:pt idx="129">
                  <c:v>1487.0180919578495</c:v>
                </c:pt>
                <c:pt idx="130">
                  <c:v>1510.9695021198654</c:v>
                </c:pt>
                <c:pt idx="131">
                  <c:v>1495.9842751591052</c:v>
                </c:pt>
                <c:pt idx="132">
                  <c:v>1487.9219814558683</c:v>
                </c:pt>
                <c:pt idx="133">
                  <c:v>1457.9281102684977</c:v>
                </c:pt>
                <c:pt idx="134">
                  <c:v>1458.9449952604205</c:v>
                </c:pt>
                <c:pt idx="135">
                  <c:v>1474.6331532177521</c:v>
                </c:pt>
                <c:pt idx="136">
                  <c:v>1455.5726206931859</c:v>
                </c:pt>
                <c:pt idx="137">
                  <c:v>1485.5760368663593</c:v>
                </c:pt>
                <c:pt idx="138">
                  <c:v>1476.9831215529707</c:v>
                </c:pt>
                <c:pt idx="139">
                  <c:v>1450.441956393636</c:v>
                </c:pt>
                <c:pt idx="140">
                  <c:v>1434.0219554471335</c:v>
                </c:pt>
                <c:pt idx="141">
                  <c:v>1425.1770501898798</c:v>
                </c:pt>
                <c:pt idx="142">
                  <c:v>1446.1030467788266</c:v>
                </c:pt>
                <c:pt idx="143">
                  <c:v>1445.4199060888307</c:v>
                </c:pt>
                <c:pt idx="144">
                  <c:v>1466.9932670727796</c:v>
                </c:pt>
                <c:pt idx="145">
                  <c:v>1474.5327822559943</c:v>
                </c:pt>
                <c:pt idx="146">
                  <c:v>1478.8215354194219</c:v>
                </c:pt>
                <c:pt idx="147">
                  <c:v>1468.0082135523614</c:v>
                </c:pt>
                <c:pt idx="148">
                  <c:v>1470.0838805663864</c:v>
                </c:pt>
                <c:pt idx="149">
                  <c:v>1503.6757630576192</c:v>
                </c:pt>
                <c:pt idx="150">
                  <c:v>1521.2087361811948</c:v>
                </c:pt>
                <c:pt idx="151">
                  <c:v>1516.748844375963</c:v>
                </c:pt>
                <c:pt idx="152">
                  <c:v>1498.6950998883713</c:v>
                </c:pt>
                <c:pt idx="153">
                  <c:v>1523.6978131212725</c:v>
                </c:pt>
                <c:pt idx="154">
                  <c:v>1516.6931780280679</c:v>
                </c:pt>
                <c:pt idx="155">
                  <c:v>1530.2415372182816</c:v>
                </c:pt>
                <c:pt idx="156">
                  <c:v>1534.184922639115</c:v>
                </c:pt>
                <c:pt idx="157">
                  <c:v>1514.4243465330035</c:v>
                </c:pt>
                <c:pt idx="158">
                  <c:v>1518.0173132414234</c:v>
                </c:pt>
                <c:pt idx="159">
                  <c:v>1536.978184756262</c:v>
                </c:pt>
                <c:pt idx="160">
                  <c:v>1506.4139717385171</c:v>
                </c:pt>
                <c:pt idx="161">
                  <c:v>1495.5724857952723</c:v>
                </c:pt>
                <c:pt idx="162">
                  <c:v>1489.9473886821506</c:v>
                </c:pt>
                <c:pt idx="163">
                  <c:v>1489.368088872925</c:v>
                </c:pt>
                <c:pt idx="164">
                  <c:v>1464.4314756621561</c:v>
                </c:pt>
                <c:pt idx="165">
                  <c:v>1471.8210149667193</c:v>
                </c:pt>
                <c:pt idx="166">
                  <c:v>1464.5598512534464</c:v>
                </c:pt>
                <c:pt idx="167">
                  <c:v>1476.3308983724207</c:v>
                </c:pt>
                <c:pt idx="168">
                  <c:v>1488.9468757613449</c:v>
                </c:pt>
                <c:pt idx="169">
                  <c:v>1494.8490253698974</c:v>
                </c:pt>
                <c:pt idx="170">
                  <c:v>1513.3830284057376</c:v>
                </c:pt>
                <c:pt idx="171">
                  <c:v>1549.2507633489854</c:v>
                </c:pt>
                <c:pt idx="172">
                  <c:v>1567.9260058024597</c:v>
                </c:pt>
                <c:pt idx="173">
                  <c:v>1572.467826042282</c:v>
                </c:pt>
                <c:pt idx="174">
                  <c:v>1656.8000513841607</c:v>
                </c:pt>
                <c:pt idx="175">
                  <c:v>1671.5575823752326</c:v>
                </c:pt>
                <c:pt idx="176">
                  <c:v>1762.2427335484451</c:v>
                </c:pt>
                <c:pt idx="177">
                  <c:v>1821.5797532198505</c:v>
                </c:pt>
                <c:pt idx="178">
                  <c:v>1880.0365381398997</c:v>
                </c:pt>
                <c:pt idx="179">
                  <c:v>2025.1758431453379</c:v>
                </c:pt>
                <c:pt idx="180">
                  <c:v>1993.2726242304027</c:v>
                </c:pt>
                <c:pt idx="181">
                  <c:v>2058.4442842059179</c:v>
                </c:pt>
                <c:pt idx="182">
                  <c:v>2096.287520764387</c:v>
                </c:pt>
                <c:pt idx="183">
                  <c:v>1875.2186551422546</c:v>
                </c:pt>
                <c:pt idx="184">
                  <c:v>1844.0096257785556</c:v>
                </c:pt>
                <c:pt idx="185">
                  <c:v>1907.1095781101187</c:v>
                </c:pt>
                <c:pt idx="186">
                  <c:v>1892.8231945285231</c:v>
                </c:pt>
                <c:pt idx="187">
                  <c:v>1813.0793593572973</c:v>
                </c:pt>
                <c:pt idx="188">
                  <c:v>1809.2194839456922</c:v>
                </c:pt>
                <c:pt idx="189">
                  <c:v>1785.4919213749101</c:v>
                </c:pt>
                <c:pt idx="190">
                  <c:v>1861.5868725868727</c:v>
                </c:pt>
                <c:pt idx="191">
                  <c:v>1825.6159219853594</c:v>
                </c:pt>
                <c:pt idx="192">
                  <c:v>1829.2289085317998</c:v>
                </c:pt>
                <c:pt idx="193">
                  <c:v>1862.277630461087</c:v>
                </c:pt>
                <c:pt idx="194">
                  <c:v>1832.0356237371461</c:v>
                </c:pt>
                <c:pt idx="195">
                  <c:v>1837.5040218272609</c:v>
                </c:pt>
                <c:pt idx="196">
                  <c:v>1838.0137426975834</c:v>
                </c:pt>
                <c:pt idx="197">
                  <c:v>1850.2444987775061</c:v>
                </c:pt>
                <c:pt idx="198">
                  <c:v>1815.6538298228234</c:v>
                </c:pt>
                <c:pt idx="199">
                  <c:v>1806.3399760707073</c:v>
                </c:pt>
                <c:pt idx="200">
                  <c:v>1827.4903882009539</c:v>
                </c:pt>
                <c:pt idx="201">
                  <c:v>1837.8816536071333</c:v>
                </c:pt>
                <c:pt idx="202">
                  <c:v>1884.37994519279</c:v>
                </c:pt>
                <c:pt idx="203">
                  <c:v>1836.3739245617869</c:v>
                </c:pt>
                <c:pt idx="204">
                  <c:v>1882.21887627725</c:v>
                </c:pt>
                <c:pt idx="205">
                  <c:v>1855.5662743584799</c:v>
                </c:pt>
                <c:pt idx="206">
                  <c:v>1825.6263182262462</c:v>
                </c:pt>
                <c:pt idx="207">
                  <c:v>1769.365767109374</c:v>
                </c:pt>
                <c:pt idx="208">
                  <c:v>1767.2685911112253</c:v>
                </c:pt>
                <c:pt idx="209">
                  <c:v>1728.0200997275483</c:v>
                </c:pt>
                <c:pt idx="210">
                  <c:v>1731.304671744743</c:v>
                </c:pt>
                <c:pt idx="211">
                  <c:v>1752.3356801480036</c:v>
                </c:pt>
                <c:pt idx="212">
                  <c:v>1760.3088743559763</c:v>
                </c:pt>
                <c:pt idx="213">
                  <c:v>1762.7969422496305</c:v>
                </c:pt>
                <c:pt idx="214">
                  <c:v>1749.9164803536091</c:v>
                </c:pt>
                <c:pt idx="215">
                  <c:v>1710.7449801518483</c:v>
                </c:pt>
                <c:pt idx="216">
                  <c:v>1701.9673100151629</c:v>
                </c:pt>
                <c:pt idx="217">
                  <c:v>1701.2797286358555</c:v>
                </c:pt>
                <c:pt idx="218">
                  <c:v>1746.4390356738975</c:v>
                </c:pt>
                <c:pt idx="219">
                  <c:v>1724.6189827546327</c:v>
                </c:pt>
                <c:pt idx="220">
                  <c:v>1740.9419777677824</c:v>
                </c:pt>
                <c:pt idx="221">
                  <c:v>1757.1948038598428</c:v>
                </c:pt>
                <c:pt idx="222">
                  <c:v>1759.2197214942705</c:v>
                </c:pt>
                <c:pt idx="223">
                  <c:v>1741.9552562932884</c:v>
                </c:pt>
                <c:pt idx="224">
                  <c:v>1777.3354244064224</c:v>
                </c:pt>
                <c:pt idx="225">
                  <c:v>1838.5776028401635</c:v>
                </c:pt>
                <c:pt idx="226">
                  <c:v>1823.2013995189154</c:v>
                </c:pt>
                <c:pt idx="227">
                  <c:v>1803.7493890360918</c:v>
                </c:pt>
                <c:pt idx="228">
                  <c:v>1831.29421449335</c:v>
                </c:pt>
                <c:pt idx="229">
                  <c:v>1787.6245964682125</c:v>
                </c:pt>
                <c:pt idx="230">
                  <c:v>1772.9328531000772</c:v>
                </c:pt>
                <c:pt idx="231">
                  <c:v>1765.0671883849045</c:v>
                </c:pt>
                <c:pt idx="232">
                  <c:v>1783.5902913620919</c:v>
                </c:pt>
                <c:pt idx="233">
                  <c:v>1772.2826436707639</c:v>
                </c:pt>
                <c:pt idx="234">
                  <c:v>1762.9170418006431</c:v>
                </c:pt>
                <c:pt idx="235">
                  <c:v>1781.7359296773448</c:v>
                </c:pt>
                <c:pt idx="236">
                  <c:v>1803.2379333874064</c:v>
                </c:pt>
                <c:pt idx="237">
                  <c:v>1800.1301244556676</c:v>
                </c:pt>
                <c:pt idx="238">
                  <c:v>1790.6223040572731</c:v>
                </c:pt>
                <c:pt idx="239">
                  <c:v>1791.1492462376252</c:v>
                </c:pt>
                <c:pt idx="240">
                  <c:v>1742.4691707279437</c:v>
                </c:pt>
                <c:pt idx="241">
                  <c:v>1757.2661001041413</c:v>
                </c:pt>
                <c:pt idx="242">
                  <c:v>1750.7465949866887</c:v>
                </c:pt>
                <c:pt idx="243">
                  <c:v>1725.9107333444776</c:v>
                </c:pt>
                <c:pt idx="244">
                  <c:v>1713.6588627042593</c:v>
                </c:pt>
                <c:pt idx="245">
                  <c:v>1708.6617410857693</c:v>
                </c:pt>
                <c:pt idx="246">
                  <c:v>1686.9210124176543</c:v>
                </c:pt>
                <c:pt idx="247">
                  <c:v>1671.0601351177786</c:v>
                </c:pt>
                <c:pt idx="248">
                  <c:v>1709.8643824005344</c:v>
                </c:pt>
                <c:pt idx="249">
                  <c:v>1717.5761233898827</c:v>
                </c:pt>
                <c:pt idx="250">
                  <c:v>1738.5578528316425</c:v>
                </c:pt>
                <c:pt idx="251">
                  <c:v>1739.7526297537859</c:v>
                </c:pt>
                <c:pt idx="252">
                  <c:v>1798.5035516563694</c:v>
                </c:pt>
                <c:pt idx="253">
                  <c:v>1760.8931231061579</c:v>
                </c:pt>
                <c:pt idx="254">
                  <c:v>1764.1914445642683</c:v>
                </c:pt>
                <c:pt idx="255">
                  <c:v>1800.8861035842247</c:v>
                </c:pt>
                <c:pt idx="256">
                  <c:v>1822.6589283650696</c:v>
                </c:pt>
                <c:pt idx="257">
                  <c:v>1815.8225005453821</c:v>
                </c:pt>
                <c:pt idx="258">
                  <c:v>1877.2643799201221</c:v>
                </c:pt>
                <c:pt idx="259">
                  <c:v>1858.1860680160278</c:v>
                </c:pt>
                <c:pt idx="260">
                  <c:v>1882.8853242233154</c:v>
                </c:pt>
                <c:pt idx="261">
                  <c:v>1902.7391985212948</c:v>
                </c:pt>
                <c:pt idx="262">
                  <c:v>1944.7089335695759</c:v>
                </c:pt>
                <c:pt idx="263">
                  <c:v>1919.6568143023987</c:v>
                </c:pt>
                <c:pt idx="264">
                  <c:v>1967.3016932616149</c:v>
                </c:pt>
                <c:pt idx="265">
                  <c:v>1959.7788962789862</c:v>
                </c:pt>
                <c:pt idx="266">
                  <c:v>2047.4499627450475</c:v>
                </c:pt>
                <c:pt idx="267">
                  <c:v>2075.1315197118788</c:v>
                </c:pt>
                <c:pt idx="268">
                  <c:v>2057.1415712999869</c:v>
                </c:pt>
                <c:pt idx="269">
                  <c:v>2021.2376065738204</c:v>
                </c:pt>
                <c:pt idx="270">
                  <c:v>2107.2076710213014</c:v>
                </c:pt>
                <c:pt idx="271">
                  <c:v>2096.1530051833465</c:v>
                </c:pt>
                <c:pt idx="272">
                  <c:v>2052.7728108879942</c:v>
                </c:pt>
                <c:pt idx="273">
                  <c:v>2133.2458611507736</c:v>
                </c:pt>
                <c:pt idx="274">
                  <c:v>2111.8021446755988</c:v>
                </c:pt>
                <c:pt idx="275">
                  <c:v>2034.0305722330072</c:v>
                </c:pt>
                <c:pt idx="276">
                  <c:v>2038.382110893941</c:v>
                </c:pt>
                <c:pt idx="277">
                  <c:v>2029.2019455953882</c:v>
                </c:pt>
                <c:pt idx="278">
                  <c:v>2090.271146743537</c:v>
                </c:pt>
                <c:pt idx="279">
                  <c:v>2172.8637784840257</c:v>
                </c:pt>
                <c:pt idx="280">
                  <c:v>2165.2823000990975</c:v>
                </c:pt>
                <c:pt idx="281">
                  <c:v>2119.7260697183465</c:v>
                </c:pt>
                <c:pt idx="282">
                  <c:v>2122.3489138268301</c:v>
                </c:pt>
                <c:pt idx="283">
                  <c:v>2111.4633612644961</c:v>
                </c:pt>
                <c:pt idx="284">
                  <c:v>2099.6551591028988</c:v>
                </c:pt>
                <c:pt idx="285">
                  <c:v>2164.3989296006584</c:v>
                </c:pt>
                <c:pt idx="286">
                  <c:v>2176.7629834609693</c:v>
                </c:pt>
                <c:pt idx="287">
                  <c:v>2246.3296906977644</c:v>
                </c:pt>
                <c:pt idx="288">
                  <c:v>2241.1314296009368</c:v>
                </c:pt>
                <c:pt idx="289">
                  <c:v>2181.6882381699816</c:v>
                </c:pt>
                <c:pt idx="290">
                  <c:v>2129.2578441588516</c:v>
                </c:pt>
                <c:pt idx="291">
                  <c:v>2160.5322734172005</c:v>
                </c:pt>
                <c:pt idx="292">
                  <c:v>2103.8831080298919</c:v>
                </c:pt>
                <c:pt idx="293">
                  <c:v>2109.6269338100074</c:v>
                </c:pt>
                <c:pt idx="294">
                  <c:v>2114.2307791239036</c:v>
                </c:pt>
                <c:pt idx="295">
                  <c:v>2100.4795700583713</c:v>
                </c:pt>
                <c:pt idx="296">
                  <c:v>2071.0470167862009</c:v>
                </c:pt>
                <c:pt idx="297">
                  <c:v>2077.8881620378106</c:v>
                </c:pt>
                <c:pt idx="298">
                  <c:v>2077.2683465902519</c:v>
                </c:pt>
                <c:pt idx="299">
                  <c:v>2048.1023399331448</c:v>
                </c:pt>
                <c:pt idx="300">
                  <c:v>1758.5818013285957</c:v>
                </c:pt>
                <c:pt idx="301">
                  <c:v>1806.3429762701394</c:v>
                </c:pt>
                <c:pt idx="302">
                  <c:v>1828.4223275950935</c:v>
                </c:pt>
                <c:pt idx="303">
                  <c:v>1859.3109581625549</c:v>
                </c:pt>
                <c:pt idx="304">
                  <c:v>1886.6884205638817</c:v>
                </c:pt>
                <c:pt idx="305">
                  <c:v>1928.5388275035134</c:v>
                </c:pt>
                <c:pt idx="306">
                  <c:v>1934.4728904014232</c:v>
                </c:pt>
                <c:pt idx="307">
                  <c:v>1882.8646148693044</c:v>
                </c:pt>
                <c:pt idx="308">
                  <c:v>1913.3038807815662</c:v>
                </c:pt>
                <c:pt idx="309">
                  <c:v>1925.2420051301219</c:v>
                </c:pt>
                <c:pt idx="310">
                  <c:v>1968.0906173889512</c:v>
                </c:pt>
                <c:pt idx="311">
                  <c:v>1952.3599010156208</c:v>
                </c:pt>
                <c:pt idx="312">
                  <c:v>1963.6282775156626</c:v>
                </c:pt>
                <c:pt idx="313">
                  <c:v>1963.0912630371163</c:v>
                </c:pt>
                <c:pt idx="314">
                  <c:v>1962.0294113856346</c:v>
                </c:pt>
                <c:pt idx="315">
                  <c:v>1969.4491722110474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C1-4C7D-A491-F3B85D691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588088"/>
        <c:axId val="649595768"/>
      </c:lineChart>
      <c:dateAx>
        <c:axId val="649588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5768"/>
        <c:crosses val="autoZero"/>
        <c:auto val="1"/>
        <c:lblOffset val="100"/>
        <c:baseTimeUnit val="days"/>
      </c:dateAx>
      <c:valAx>
        <c:axId val="649595768"/>
        <c:scaling>
          <c:orientation val="minMax"/>
          <c:max val="25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8088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Hang Seng CEI USD</a:t>
            </a:r>
            <a:r>
              <a:rPr lang="en-GB" sz="1400" b="0" i="0" u="none" strike="noStrike" baseline="0"/>
              <a:t> </a:t>
            </a:r>
            <a:endParaRPr lang="en-US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</c:f>
              <c:strCache>
                <c:ptCount val="1"/>
                <c:pt idx="0">
                  <c:v>USD Hang Seng CEI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Data!$O$2:$O$317</c:f>
              <c:numCache>
                <c:formatCode>0.00</c:formatCode>
                <c:ptCount val="316"/>
                <c:pt idx="0">
                  <c:v>725.80513082976131</c:v>
                </c:pt>
                <c:pt idx="1">
                  <c:v>721.00193418642482</c:v>
                </c:pt>
                <c:pt idx="2">
                  <c:v>723.50892022387006</c:v>
                </c:pt>
                <c:pt idx="3">
                  <c:v>717.8128840639082</c:v>
                </c:pt>
                <c:pt idx="4">
                  <c:v>702.08416063536799</c:v>
                </c:pt>
                <c:pt idx="5">
                  <c:v>697.28367260769994</c:v>
                </c:pt>
                <c:pt idx="6">
                  <c:v>693.33171336854627</c:v>
                </c:pt>
                <c:pt idx="7">
                  <c:v>702.84362008314679</c:v>
                </c:pt>
                <c:pt idx="8">
                  <c:v>700.91675084067447</c:v>
                </c:pt>
                <c:pt idx="9">
                  <c:v>682.76258625095841</c:v>
                </c:pt>
                <c:pt idx="10">
                  <c:v>656.2869198312236</c:v>
                </c:pt>
                <c:pt idx="11">
                  <c:v>661.31981382978722</c:v>
                </c:pt>
                <c:pt idx="12">
                  <c:v>655.86696514230891</c:v>
                </c:pt>
                <c:pt idx="13">
                  <c:v>639.83191772410976</c:v>
                </c:pt>
                <c:pt idx="14">
                  <c:v>657.24823891893277</c:v>
                </c:pt>
                <c:pt idx="15">
                  <c:v>684.73464062320124</c:v>
                </c:pt>
                <c:pt idx="16">
                  <c:v>699.53822144903813</c:v>
                </c:pt>
                <c:pt idx="17">
                  <c:v>685.94389844389843</c:v>
                </c:pt>
                <c:pt idx="18">
                  <c:v>692.24557182348724</c:v>
                </c:pt>
                <c:pt idx="19">
                  <c:v>674.79821430855623</c:v>
                </c:pt>
                <c:pt idx="20">
                  <c:v>664.36940393962652</c:v>
                </c:pt>
                <c:pt idx="21">
                  <c:v>667.99836308762588</c:v>
                </c:pt>
                <c:pt idx="22">
                  <c:v>667.38149128527766</c:v>
                </c:pt>
                <c:pt idx="23">
                  <c:v>667.05363421338609</c:v>
                </c:pt>
                <c:pt idx="24">
                  <c:v>699.75327265289422</c:v>
                </c:pt>
                <c:pt idx="25">
                  <c:v>693.3878167005588</c:v>
                </c:pt>
                <c:pt idx="26">
                  <c:v>685.34458509142053</c:v>
                </c:pt>
                <c:pt idx="27">
                  <c:v>678.64368198268471</c:v>
                </c:pt>
                <c:pt idx="28">
                  <c:v>688.9450257092426</c:v>
                </c:pt>
                <c:pt idx="29">
                  <c:v>691.99800493650321</c:v>
                </c:pt>
                <c:pt idx="30">
                  <c:v>710.64264986001558</c:v>
                </c:pt>
                <c:pt idx="31">
                  <c:v>705.72071553697231</c:v>
                </c:pt>
                <c:pt idx="32">
                  <c:v>721.50008311063937</c:v>
                </c:pt>
                <c:pt idx="33">
                  <c:v>736.16885275242259</c:v>
                </c:pt>
                <c:pt idx="34">
                  <c:v>736.86699557759653</c:v>
                </c:pt>
                <c:pt idx="35">
                  <c:v>731.53199212658808</c:v>
                </c:pt>
                <c:pt idx="36">
                  <c:v>742.18120934037142</c:v>
                </c:pt>
                <c:pt idx="37">
                  <c:v>726.69042782866416</c:v>
                </c:pt>
                <c:pt idx="38">
                  <c:v>725.25546699366441</c:v>
                </c:pt>
                <c:pt idx="39">
                  <c:v>731.79280832854317</c:v>
                </c:pt>
                <c:pt idx="40">
                  <c:v>730.10211254105593</c:v>
                </c:pt>
                <c:pt idx="41">
                  <c:v>710.9828732106339</c:v>
                </c:pt>
                <c:pt idx="42">
                  <c:v>724.96166232172982</c:v>
                </c:pt>
                <c:pt idx="43">
                  <c:v>717.81681946628817</c:v>
                </c:pt>
                <c:pt idx="44">
                  <c:v>723.33797936140559</c:v>
                </c:pt>
                <c:pt idx="45">
                  <c:v>735.00178991510688</c:v>
                </c:pt>
                <c:pt idx="46">
                  <c:v>760.46782130759891</c:v>
                </c:pt>
                <c:pt idx="47">
                  <c:v>758.30659696036207</c:v>
                </c:pt>
                <c:pt idx="48">
                  <c:v>755.14305438367728</c:v>
                </c:pt>
                <c:pt idx="49">
                  <c:v>744.16671993863065</c:v>
                </c:pt>
                <c:pt idx="50">
                  <c:v>747.92178227951706</c:v>
                </c:pt>
                <c:pt idx="51">
                  <c:v>738.87383356768498</c:v>
                </c:pt>
                <c:pt idx="52">
                  <c:v>741.93255611801396</c:v>
                </c:pt>
                <c:pt idx="53">
                  <c:v>754.99514165899564</c:v>
                </c:pt>
                <c:pt idx="54">
                  <c:v>736.12432238928102</c:v>
                </c:pt>
                <c:pt idx="55">
                  <c:v>735.73821213051031</c:v>
                </c:pt>
                <c:pt idx="56">
                  <c:v>744.5863210501426</c:v>
                </c:pt>
                <c:pt idx="57">
                  <c:v>732.13231252955688</c:v>
                </c:pt>
                <c:pt idx="58">
                  <c:v>742.45064843799912</c:v>
                </c:pt>
                <c:pt idx="59">
                  <c:v>761.35443409842765</c:v>
                </c:pt>
                <c:pt idx="60">
                  <c:v>750.44260222003641</c:v>
                </c:pt>
                <c:pt idx="61">
                  <c:v>749.02213762885935</c:v>
                </c:pt>
                <c:pt idx="62">
                  <c:v>749.39603656979421</c:v>
                </c:pt>
                <c:pt idx="63">
                  <c:v>752.87597057621576</c:v>
                </c:pt>
                <c:pt idx="64">
                  <c:v>767.90336166628379</c:v>
                </c:pt>
                <c:pt idx="65">
                  <c:v>766.01768330802895</c:v>
                </c:pt>
                <c:pt idx="66">
                  <c:v>750.20478991489415</c:v>
                </c:pt>
                <c:pt idx="67">
                  <c:v>748.08267123112682</c:v>
                </c:pt>
                <c:pt idx="68">
                  <c:v>733.41079728280295</c:v>
                </c:pt>
                <c:pt idx="69">
                  <c:v>734.29669740236523</c:v>
                </c:pt>
                <c:pt idx="70">
                  <c:v>741.12013484523436</c:v>
                </c:pt>
                <c:pt idx="71">
                  <c:v>733.72530994241652</c:v>
                </c:pt>
                <c:pt idx="72">
                  <c:v>744.21032480377778</c:v>
                </c:pt>
                <c:pt idx="73">
                  <c:v>760.0510562256685</c:v>
                </c:pt>
                <c:pt idx="74">
                  <c:v>778.923846978906</c:v>
                </c:pt>
                <c:pt idx="75">
                  <c:v>781.88612236033566</c:v>
                </c:pt>
                <c:pt idx="76">
                  <c:v>800.90952058556786</c:v>
                </c:pt>
                <c:pt idx="77">
                  <c:v>802.96245175472222</c:v>
                </c:pt>
                <c:pt idx="78">
                  <c:v>801.91090943950917</c:v>
                </c:pt>
                <c:pt idx="79">
                  <c:v>823.92642748345645</c:v>
                </c:pt>
                <c:pt idx="80">
                  <c:v>838.26771653543301</c:v>
                </c:pt>
                <c:pt idx="81">
                  <c:v>840.66025427847842</c:v>
                </c:pt>
                <c:pt idx="82">
                  <c:v>834.47380870187817</c:v>
                </c:pt>
                <c:pt idx="83">
                  <c:v>825.98439298963797</c:v>
                </c:pt>
                <c:pt idx="84">
                  <c:v>839.64753762670216</c:v>
                </c:pt>
                <c:pt idx="85">
                  <c:v>859.93702964214401</c:v>
                </c:pt>
                <c:pt idx="86">
                  <c:v>865.57855524405704</c:v>
                </c:pt>
                <c:pt idx="87">
                  <c:v>863.04409053666529</c:v>
                </c:pt>
                <c:pt idx="88">
                  <c:v>880.81064451622831</c:v>
                </c:pt>
                <c:pt idx="89">
                  <c:v>888.82480357852364</c:v>
                </c:pt>
                <c:pt idx="90">
                  <c:v>893.1420950720028</c:v>
                </c:pt>
                <c:pt idx="91">
                  <c:v>873.99031315668083</c:v>
                </c:pt>
                <c:pt idx="92">
                  <c:v>873.18835011142698</c:v>
                </c:pt>
                <c:pt idx="93">
                  <c:v>858.19033959944682</c:v>
                </c:pt>
                <c:pt idx="94">
                  <c:v>845.49236460453392</c:v>
                </c:pt>
                <c:pt idx="95">
                  <c:v>855.94515707811661</c:v>
                </c:pt>
                <c:pt idx="96">
                  <c:v>839.25001599795212</c:v>
                </c:pt>
                <c:pt idx="97">
                  <c:v>826.74964501810086</c:v>
                </c:pt>
                <c:pt idx="98">
                  <c:v>817.60139153567729</c:v>
                </c:pt>
                <c:pt idx="99">
                  <c:v>835.34624976021485</c:v>
                </c:pt>
                <c:pt idx="100">
                  <c:v>838.86706001305458</c:v>
                </c:pt>
                <c:pt idx="101">
                  <c:v>837.5326437605612</c:v>
                </c:pt>
                <c:pt idx="102">
                  <c:v>839.38074628012396</c:v>
                </c:pt>
                <c:pt idx="103">
                  <c:v>833.40203282214088</c:v>
                </c:pt>
                <c:pt idx="104">
                  <c:v>825.90596638547902</c:v>
                </c:pt>
                <c:pt idx="105">
                  <c:v>814.33163023574446</c:v>
                </c:pt>
                <c:pt idx="106">
                  <c:v>822.24427344080107</c:v>
                </c:pt>
                <c:pt idx="107">
                  <c:v>816.1549688884337</c:v>
                </c:pt>
                <c:pt idx="108">
                  <c:v>816.05613244388667</c:v>
                </c:pt>
                <c:pt idx="109">
                  <c:v>815.68059842963464</c:v>
                </c:pt>
                <c:pt idx="110">
                  <c:v>840.06252963110092</c:v>
                </c:pt>
                <c:pt idx="111">
                  <c:v>825.01505310222012</c:v>
                </c:pt>
                <c:pt idx="112">
                  <c:v>824.99647774575726</c:v>
                </c:pt>
                <c:pt idx="113">
                  <c:v>827.87859384004605</c:v>
                </c:pt>
                <c:pt idx="114">
                  <c:v>829.44769563714124</c:v>
                </c:pt>
                <c:pt idx="115">
                  <c:v>809.87232189737085</c:v>
                </c:pt>
                <c:pt idx="116">
                  <c:v>810.9451844262295</c:v>
                </c:pt>
                <c:pt idx="117">
                  <c:v>815.89448895487237</c:v>
                </c:pt>
                <c:pt idx="118">
                  <c:v>826.62586270919496</c:v>
                </c:pt>
                <c:pt idx="119">
                  <c:v>816.88873529675288</c:v>
                </c:pt>
                <c:pt idx="120">
                  <c:v>804.74416103257522</c:v>
                </c:pt>
                <c:pt idx="121">
                  <c:v>803.3539005094857</c:v>
                </c:pt>
                <c:pt idx="122">
                  <c:v>800.3251907615097</c:v>
                </c:pt>
                <c:pt idx="123">
                  <c:v>816.12060352998435</c:v>
                </c:pt>
                <c:pt idx="124">
                  <c:v>836.73356986410158</c:v>
                </c:pt>
                <c:pt idx="125">
                  <c:v>822.61605861856935</c:v>
                </c:pt>
                <c:pt idx="126">
                  <c:v>809.02325938828835</c:v>
                </c:pt>
                <c:pt idx="127">
                  <c:v>806.63626698774192</c:v>
                </c:pt>
                <c:pt idx="128">
                  <c:v>807.51846967388383</c:v>
                </c:pt>
                <c:pt idx="129">
                  <c:v>789.36761373093816</c:v>
                </c:pt>
                <c:pt idx="130">
                  <c:v>801.05801129740871</c:v>
                </c:pt>
                <c:pt idx="131">
                  <c:v>793.24523324753807</c:v>
                </c:pt>
                <c:pt idx="132">
                  <c:v>786.62978331028125</c:v>
                </c:pt>
                <c:pt idx="133">
                  <c:v>770.71505431440869</c:v>
                </c:pt>
                <c:pt idx="134">
                  <c:v>769.94338124151363</c:v>
                </c:pt>
                <c:pt idx="135">
                  <c:v>778.58075750979538</c:v>
                </c:pt>
                <c:pt idx="136">
                  <c:v>766.22766600112618</c:v>
                </c:pt>
                <c:pt idx="137">
                  <c:v>781.76651305683561</c:v>
                </c:pt>
                <c:pt idx="138">
                  <c:v>778.83987869016073</c:v>
                </c:pt>
                <c:pt idx="139">
                  <c:v>765.39801696087738</c:v>
                </c:pt>
                <c:pt idx="140">
                  <c:v>754.52782949220011</c:v>
                </c:pt>
                <c:pt idx="141">
                  <c:v>750.87370419788556</c:v>
                </c:pt>
                <c:pt idx="142">
                  <c:v>760.818885925318</c:v>
                </c:pt>
                <c:pt idx="143">
                  <c:v>762.25463782618738</c:v>
                </c:pt>
                <c:pt idx="144">
                  <c:v>771.76659185636424</c:v>
                </c:pt>
                <c:pt idx="145">
                  <c:v>773.94619294552547</c:v>
                </c:pt>
                <c:pt idx="146">
                  <c:v>776.75042693339833</c:v>
                </c:pt>
                <c:pt idx="147">
                  <c:v>773.24948665297745</c:v>
                </c:pt>
                <c:pt idx="148">
                  <c:v>774.07013133593273</c:v>
                </c:pt>
                <c:pt idx="149">
                  <c:v>790.56489999101905</c:v>
                </c:pt>
                <c:pt idx="150">
                  <c:v>799.38625887549279</c:v>
                </c:pt>
                <c:pt idx="151">
                  <c:v>795.52901900359529</c:v>
                </c:pt>
                <c:pt idx="152">
                  <c:v>788.04418953770346</c:v>
                </c:pt>
                <c:pt idx="153">
                  <c:v>798.33771564163408</c:v>
                </c:pt>
                <c:pt idx="154">
                  <c:v>797.80896426097445</c:v>
                </c:pt>
                <c:pt idx="155">
                  <c:v>805.37590271809552</c:v>
                </c:pt>
                <c:pt idx="156">
                  <c:v>808.39368806963114</c:v>
                </c:pt>
                <c:pt idx="157">
                  <c:v>798.13221890343175</c:v>
                </c:pt>
                <c:pt idx="158">
                  <c:v>801.17088810516191</c:v>
                </c:pt>
                <c:pt idx="159">
                  <c:v>811.96568042784043</c:v>
                </c:pt>
                <c:pt idx="160">
                  <c:v>795.4696996896879</c:v>
                </c:pt>
                <c:pt idx="161">
                  <c:v>786.74054407633992</c:v>
                </c:pt>
                <c:pt idx="162">
                  <c:v>783.46464776081098</c:v>
                </c:pt>
                <c:pt idx="163">
                  <c:v>770.05798291299993</c:v>
                </c:pt>
                <c:pt idx="164">
                  <c:v>772.95453087924068</c:v>
                </c:pt>
                <c:pt idx="165">
                  <c:v>767.25917945955655</c:v>
                </c:pt>
                <c:pt idx="166">
                  <c:v>771.62659485798554</c:v>
                </c:pt>
                <c:pt idx="167">
                  <c:v>778.10073048827383</c:v>
                </c:pt>
                <c:pt idx="168">
                  <c:v>780.91989690589457</c:v>
                </c:pt>
                <c:pt idx="169">
                  <c:v>792.5404545279556</c:v>
                </c:pt>
                <c:pt idx="170">
                  <c:v>809.00028226116854</c:v>
                </c:pt>
                <c:pt idx="171">
                  <c:v>818.70782336489367</c:v>
                </c:pt>
                <c:pt idx="172">
                  <c:v>820.18537061285269</c:v>
                </c:pt>
                <c:pt idx="173">
                  <c:v>862.39949651930442</c:v>
                </c:pt>
                <c:pt idx="174">
                  <c:v>869.11169631960945</c:v>
                </c:pt>
                <c:pt idx="175">
                  <c:v>910.36033142783731</c:v>
                </c:pt>
                <c:pt idx="176">
                  <c:v>938.42317037113207</c:v>
                </c:pt>
                <c:pt idx="177">
                  <c:v>966.24979091879925</c:v>
                </c:pt>
                <c:pt idx="178">
                  <c:v>1034.5529867356261</c:v>
                </c:pt>
                <c:pt idx="179">
                  <c:v>1019.5243861592766</c:v>
                </c:pt>
                <c:pt idx="180">
                  <c:v>1050.580901105129</c:v>
                </c:pt>
                <c:pt idx="181">
                  <c:v>1072.7060853441837</c:v>
                </c:pt>
                <c:pt idx="182">
                  <c:v>963.68260427263488</c:v>
                </c:pt>
                <c:pt idx="183">
                  <c:v>947.36713484591246</c:v>
                </c:pt>
                <c:pt idx="184">
                  <c:v>980.6892469243835</c:v>
                </c:pt>
                <c:pt idx="185">
                  <c:v>975.5643645911091</c:v>
                </c:pt>
                <c:pt idx="186">
                  <c:v>937.39357796983484</c:v>
                </c:pt>
                <c:pt idx="187">
                  <c:v>935.72716036667009</c:v>
                </c:pt>
                <c:pt idx="188">
                  <c:v>923.93539669261941</c:v>
                </c:pt>
                <c:pt idx="189">
                  <c:v>961.19558505711632</c:v>
                </c:pt>
                <c:pt idx="190">
                  <c:v>944.73101673101678</c:v>
                </c:pt>
                <c:pt idx="191">
                  <c:v>947.26549936317201</c:v>
                </c:pt>
                <c:pt idx="192">
                  <c:v>962.18911233772076</c:v>
                </c:pt>
                <c:pt idx="193">
                  <c:v>947.29294853641579</c:v>
                </c:pt>
                <c:pt idx="194">
                  <c:v>950.47167990115952</c:v>
                </c:pt>
                <c:pt idx="195">
                  <c:v>951.23872279636043</c:v>
                </c:pt>
                <c:pt idx="196">
                  <c:v>954.46508994518365</c:v>
                </c:pt>
                <c:pt idx="197">
                  <c:v>937.65281173594133</c:v>
                </c:pt>
                <c:pt idx="198">
                  <c:v>934.66333843719042</c:v>
                </c:pt>
                <c:pt idx="199">
                  <c:v>944.64871540866341</c:v>
                </c:pt>
                <c:pt idx="200">
                  <c:v>947.37620388586697</c:v>
                </c:pt>
                <c:pt idx="201">
                  <c:v>972.27518945973418</c:v>
                </c:pt>
                <c:pt idx="202">
                  <c:v>947.35034158014594</c:v>
                </c:pt>
                <c:pt idx="203">
                  <c:v>970.55646291747576</c:v>
                </c:pt>
                <c:pt idx="204">
                  <c:v>960.2141404782127</c:v>
                </c:pt>
                <c:pt idx="205">
                  <c:v>946.11486269213458</c:v>
                </c:pt>
                <c:pt idx="206">
                  <c:v>916.60322033026398</c:v>
                </c:pt>
                <c:pt idx="207">
                  <c:v>916.81944998007179</c:v>
                </c:pt>
                <c:pt idx="208">
                  <c:v>896.21365961493973</c:v>
                </c:pt>
                <c:pt idx="209">
                  <c:v>897.04158741582285</c:v>
                </c:pt>
                <c:pt idx="210">
                  <c:v>906.48803483577615</c:v>
                </c:pt>
                <c:pt idx="211">
                  <c:v>909.88874042859345</c:v>
                </c:pt>
                <c:pt idx="212">
                  <c:v>911.05857563181758</c:v>
                </c:pt>
                <c:pt idx="213">
                  <c:v>903.82090319265114</c:v>
                </c:pt>
                <c:pt idx="214">
                  <c:v>884.92920103821348</c:v>
                </c:pt>
                <c:pt idx="215">
                  <c:v>881.56626970362663</c:v>
                </c:pt>
                <c:pt idx="216">
                  <c:v>880.41427873866007</c:v>
                </c:pt>
                <c:pt idx="217">
                  <c:v>902.92821441878993</c:v>
                </c:pt>
                <c:pt idx="218">
                  <c:v>892.70587025804468</c:v>
                </c:pt>
                <c:pt idx="219">
                  <c:v>900.69778200416363</c:v>
                </c:pt>
                <c:pt idx="220">
                  <c:v>908.83891280601426</c:v>
                </c:pt>
                <c:pt idx="221">
                  <c:v>910.35244837909715</c:v>
                </c:pt>
                <c:pt idx="222">
                  <c:v>901.04953496737073</c:v>
                </c:pt>
                <c:pt idx="223">
                  <c:v>917.04681255702189</c:v>
                </c:pt>
                <c:pt idx="224">
                  <c:v>946.21100127264083</c:v>
                </c:pt>
                <c:pt idx="225">
                  <c:v>939.79573460934876</c:v>
                </c:pt>
                <c:pt idx="226">
                  <c:v>932.50408407404075</c:v>
                </c:pt>
                <c:pt idx="227">
                  <c:v>946.68536001852181</c:v>
                </c:pt>
                <c:pt idx="228">
                  <c:v>924.36781313508084</c:v>
                </c:pt>
                <c:pt idx="229">
                  <c:v>917.37598230247841</c:v>
                </c:pt>
                <c:pt idx="230">
                  <c:v>914.00051453563151</c:v>
                </c:pt>
                <c:pt idx="231">
                  <c:v>924.26375946043356</c:v>
                </c:pt>
                <c:pt idx="232">
                  <c:v>920.4326675589416</c:v>
                </c:pt>
                <c:pt idx="233">
                  <c:v>919.47744385095564</c:v>
                </c:pt>
                <c:pt idx="234">
                  <c:v>927.82636655948556</c:v>
                </c:pt>
                <c:pt idx="235">
                  <c:v>940.02754218201005</c:v>
                </c:pt>
                <c:pt idx="236">
                  <c:v>940.52759646209108</c:v>
                </c:pt>
                <c:pt idx="237">
                  <c:v>937.98861088922672</c:v>
                </c:pt>
                <c:pt idx="238">
                  <c:v>938.65676061960005</c:v>
                </c:pt>
                <c:pt idx="239">
                  <c:v>912.82619050684252</c:v>
                </c:pt>
                <c:pt idx="240">
                  <c:v>920.60642689058341</c:v>
                </c:pt>
                <c:pt idx="241">
                  <c:v>917.40444078735902</c:v>
                </c:pt>
                <c:pt idx="242">
                  <c:v>906.6801280979513</c:v>
                </c:pt>
                <c:pt idx="243">
                  <c:v>898.92242210706331</c:v>
                </c:pt>
                <c:pt idx="244">
                  <c:v>897.25897069978532</c:v>
                </c:pt>
                <c:pt idx="245">
                  <c:v>886.36684869900421</c:v>
                </c:pt>
                <c:pt idx="246">
                  <c:v>878.82963286376537</c:v>
                </c:pt>
                <c:pt idx="247">
                  <c:v>897.44920239410203</c:v>
                </c:pt>
                <c:pt idx="248">
                  <c:v>900.47003827087565</c:v>
                </c:pt>
                <c:pt idx="249">
                  <c:v>911.65191929829075</c:v>
                </c:pt>
                <c:pt idx="250">
                  <c:v>912.90740978554004</c:v>
                </c:pt>
                <c:pt idx="251">
                  <c:v>940.27408520530707</c:v>
                </c:pt>
                <c:pt idx="252">
                  <c:v>921.90723304774508</c:v>
                </c:pt>
                <c:pt idx="253">
                  <c:v>919.85773714755283</c:v>
                </c:pt>
                <c:pt idx="254">
                  <c:v>938.75622657012275</c:v>
                </c:pt>
                <c:pt idx="255">
                  <c:v>948.10643516675441</c:v>
                </c:pt>
                <c:pt idx="256">
                  <c:v>947.87303706937507</c:v>
                </c:pt>
                <c:pt idx="257">
                  <c:v>947.56759531356261</c:v>
                </c:pt>
                <c:pt idx="258">
                  <c:v>981.60115065045136</c:v>
                </c:pt>
                <c:pt idx="259">
                  <c:v>971.72891194903934</c:v>
                </c:pt>
                <c:pt idx="260">
                  <c:v>987.67707383481252</c:v>
                </c:pt>
                <c:pt idx="261">
                  <c:v>999.16181038687637</c:v>
                </c:pt>
                <c:pt idx="262">
                  <c:v>1020.3130215956655</c:v>
                </c:pt>
                <c:pt idx="263">
                  <c:v>1006.5479933775686</c:v>
                </c:pt>
                <c:pt idx="264">
                  <c:v>1034.4531881843973</c:v>
                </c:pt>
                <c:pt idx="265">
                  <c:v>1027.5326776405332</c:v>
                </c:pt>
                <c:pt idx="266">
                  <c:v>1070.2962411037743</c:v>
                </c:pt>
                <c:pt idx="267">
                  <c:v>1090.1537076339314</c:v>
                </c:pt>
                <c:pt idx="268">
                  <c:v>1088.2216793107882</c:v>
                </c:pt>
                <c:pt idx="269">
                  <c:v>1070.2467754587656</c:v>
                </c:pt>
                <c:pt idx="270">
                  <c:v>1115.4797606023553</c:v>
                </c:pt>
                <c:pt idx="271">
                  <c:v>1108.5518784807521</c:v>
                </c:pt>
                <c:pt idx="272">
                  <c:v>1093.3262153157441</c:v>
                </c:pt>
                <c:pt idx="273">
                  <c:v>1131.078351921172</c:v>
                </c:pt>
                <c:pt idx="274">
                  <c:v>1123.0719777817781</c:v>
                </c:pt>
                <c:pt idx="275">
                  <c:v>1082.1683401257344</c:v>
                </c:pt>
                <c:pt idx="276">
                  <c:v>1082.6676782224051</c:v>
                </c:pt>
                <c:pt idx="277">
                  <c:v>1076.7004658105361</c:v>
                </c:pt>
                <c:pt idx="278">
                  <c:v>1110.6335336584864</c:v>
                </c:pt>
                <c:pt idx="279">
                  <c:v>1150.0521108094547</c:v>
                </c:pt>
                <c:pt idx="280">
                  <c:v>1147.222043474344</c:v>
                </c:pt>
                <c:pt idx="281">
                  <c:v>1123.1411873744917</c:v>
                </c:pt>
                <c:pt idx="282">
                  <c:v>1126.7592401935551</c:v>
                </c:pt>
                <c:pt idx="283">
                  <c:v>1117.5206909423227</c:v>
                </c:pt>
                <c:pt idx="284">
                  <c:v>1111.8043671268836</c:v>
                </c:pt>
                <c:pt idx="285">
                  <c:v>1142.1868567311651</c:v>
                </c:pt>
                <c:pt idx="286">
                  <c:v>1149.1666130381623</c:v>
                </c:pt>
                <c:pt idx="287">
                  <c:v>1181.3208737176762</c:v>
                </c:pt>
                <c:pt idx="288">
                  <c:v>1179.2592687917434</c:v>
                </c:pt>
                <c:pt idx="289">
                  <c:v>1151.504001235108</c:v>
                </c:pt>
                <c:pt idx="290">
                  <c:v>1124.6754917473918</c:v>
                </c:pt>
                <c:pt idx="291">
                  <c:v>1138.4695531373004</c:v>
                </c:pt>
                <c:pt idx="292">
                  <c:v>1108.2163942017055</c:v>
                </c:pt>
                <c:pt idx="293">
                  <c:v>1112.930646468024</c:v>
                </c:pt>
                <c:pt idx="294">
                  <c:v>1116.0429045451037</c:v>
                </c:pt>
                <c:pt idx="295">
                  <c:v>1106.5481241482166</c:v>
                </c:pt>
                <c:pt idx="296">
                  <c:v>1094.6440965527877</c:v>
                </c:pt>
                <c:pt idx="297">
                  <c:v>1097.2175455281522</c:v>
                </c:pt>
                <c:pt idx="298">
                  <c:v>1096.2991994448801</c:v>
                </c:pt>
                <c:pt idx="299">
                  <c:v>1082.5584983286192</c:v>
                </c:pt>
                <c:pt idx="300">
                  <c:v>935.00180235851496</c:v>
                </c:pt>
                <c:pt idx="301">
                  <c:v>956.22329747258959</c:v>
                </c:pt>
                <c:pt idx="302">
                  <c:v>970.99268116689007</c:v>
                </c:pt>
                <c:pt idx="303">
                  <c:v>988.37161343541356</c:v>
                </c:pt>
                <c:pt idx="304">
                  <c:v>1006.2050197332783</c:v>
                </c:pt>
                <c:pt idx="305">
                  <c:v>1027.0380732584676</c:v>
                </c:pt>
                <c:pt idx="306">
                  <c:v>1029.0664397865264</c:v>
                </c:pt>
                <c:pt idx="307">
                  <c:v>1002.1527124692424</c:v>
                </c:pt>
                <c:pt idx="308">
                  <c:v>1017.2001184971471</c:v>
                </c:pt>
                <c:pt idx="309">
                  <c:v>1024.8372668565758</c:v>
                </c:pt>
                <c:pt idx="310">
                  <c:v>1045.8988930555017</c:v>
                </c:pt>
                <c:pt idx="311">
                  <c:v>1038.4144455328144</c:v>
                </c:pt>
                <c:pt idx="312">
                  <c:v>1041.6557093871659</c:v>
                </c:pt>
                <c:pt idx="313">
                  <c:v>1041.7045908698285</c:v>
                </c:pt>
                <c:pt idx="314">
                  <c:v>1039.8303883282424</c:v>
                </c:pt>
                <c:pt idx="315">
                  <c:v>1041.3456083346227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B-43D9-9002-E7EA4DD65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0833928"/>
        <c:axId val="830834568"/>
      </c:lineChart>
      <c:dateAx>
        <c:axId val="8308339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34568"/>
        <c:crosses val="autoZero"/>
        <c:auto val="1"/>
        <c:lblOffset val="100"/>
        <c:baseTimeUnit val="days"/>
      </c:dateAx>
      <c:valAx>
        <c:axId val="830834568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83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Hang Seng Tech Index USD</a:t>
            </a:r>
            <a:r>
              <a:rPr lang="en-GB" sz="1400" b="0" i="0" u="none" strike="noStrike" baseline="0"/>
              <a:t> </a:t>
            </a:r>
            <a:endParaRPr lang="en-US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Data!$L$1</c:f>
              <c:strCache>
                <c:ptCount val="1"/>
                <c:pt idx="0">
                  <c:v>USD Hang Seng Tech Index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Data!$L$2:$L$317</c:f>
              <c:numCache>
                <c:formatCode>0.00</c:formatCode>
                <c:ptCount val="316"/>
                <c:pt idx="0">
                  <c:v>475.30804171198258</c:v>
                </c:pt>
                <c:pt idx="1">
                  <c:v>467.0727177240646</c:v>
                </c:pt>
                <c:pt idx="2">
                  <c:v>468.09595163996369</c:v>
                </c:pt>
                <c:pt idx="3">
                  <c:v>459.89476648914376</c:v>
                </c:pt>
                <c:pt idx="4">
                  <c:v>446.39082815602382</c:v>
                </c:pt>
                <c:pt idx="5">
                  <c:v>441.99495886484897</c:v>
                </c:pt>
                <c:pt idx="6">
                  <c:v>438.43920655829953</c:v>
                </c:pt>
                <c:pt idx="7">
                  <c:v>448.09977614326829</c:v>
                </c:pt>
                <c:pt idx="8">
                  <c:v>443.75343621741183</c:v>
                </c:pt>
                <c:pt idx="9">
                  <c:v>424.98466649629438</c:v>
                </c:pt>
                <c:pt idx="10">
                  <c:v>404.04040404040404</c:v>
                </c:pt>
                <c:pt idx="11">
                  <c:v>406.10679214402614</c:v>
                </c:pt>
                <c:pt idx="12">
                  <c:v>400.37352094659417</c:v>
                </c:pt>
                <c:pt idx="13">
                  <c:v>388.28668645108473</c:v>
                </c:pt>
                <c:pt idx="14">
                  <c:v>402.43546964292563</c:v>
                </c:pt>
                <c:pt idx="15">
                  <c:v>419.70912160865726</c:v>
                </c:pt>
                <c:pt idx="16">
                  <c:v>423.49186451084734</c:v>
                </c:pt>
                <c:pt idx="17">
                  <c:v>407.77154995904993</c:v>
                </c:pt>
                <c:pt idx="18">
                  <c:v>410.00179174772194</c:v>
                </c:pt>
                <c:pt idx="19">
                  <c:v>396.39152180308781</c:v>
                </c:pt>
                <c:pt idx="20">
                  <c:v>384.47173190074193</c:v>
                </c:pt>
                <c:pt idx="21">
                  <c:v>392.08527290398484</c:v>
                </c:pt>
                <c:pt idx="22">
                  <c:v>389.24054679607679</c:v>
                </c:pt>
                <c:pt idx="23">
                  <c:v>388.52394042063543</c:v>
                </c:pt>
                <c:pt idx="24">
                  <c:v>414.68219472284721</c:v>
                </c:pt>
                <c:pt idx="25">
                  <c:v>408.07274680581662</c:v>
                </c:pt>
                <c:pt idx="26">
                  <c:v>405.13361462728557</c:v>
                </c:pt>
                <c:pt idx="27">
                  <c:v>399.91559778508122</c:v>
                </c:pt>
                <c:pt idx="28">
                  <c:v>409.02893249085463</c:v>
                </c:pt>
                <c:pt idx="29">
                  <c:v>412.19802284091924</c:v>
                </c:pt>
                <c:pt idx="30">
                  <c:v>427.33339299183103</c:v>
                </c:pt>
                <c:pt idx="31">
                  <c:v>417.40509161583998</c:v>
                </c:pt>
                <c:pt idx="32">
                  <c:v>428.495441701083</c:v>
                </c:pt>
                <c:pt idx="33">
                  <c:v>435.94129528777074</c:v>
                </c:pt>
                <c:pt idx="34">
                  <c:v>434.55098545463841</c:v>
                </c:pt>
                <c:pt idx="35">
                  <c:v>433.71379636493771</c:v>
                </c:pt>
                <c:pt idx="36">
                  <c:v>447.74095423115762</c:v>
                </c:pt>
                <c:pt idx="37">
                  <c:v>437.74320060297146</c:v>
                </c:pt>
                <c:pt idx="38">
                  <c:v>438.29194768035973</c:v>
                </c:pt>
                <c:pt idx="39">
                  <c:v>445.56811649741331</c:v>
                </c:pt>
                <c:pt idx="40">
                  <c:v>444.07708921747798</c:v>
                </c:pt>
                <c:pt idx="41">
                  <c:v>424.83256646216768</c:v>
                </c:pt>
                <c:pt idx="42">
                  <c:v>436.10003578183307</c:v>
                </c:pt>
                <c:pt idx="43">
                  <c:v>429.54466991445776</c:v>
                </c:pt>
                <c:pt idx="44">
                  <c:v>432.92201066455254</c:v>
                </c:pt>
                <c:pt idx="45">
                  <c:v>445.2145341106679</c:v>
                </c:pt>
                <c:pt idx="46">
                  <c:v>465.76468332587712</c:v>
                </c:pt>
                <c:pt idx="47">
                  <c:v>467.36032109212232</c:v>
                </c:pt>
                <c:pt idx="48">
                  <c:v>460.71821226764848</c:v>
                </c:pt>
                <c:pt idx="49">
                  <c:v>453.85667710797162</c:v>
                </c:pt>
                <c:pt idx="50">
                  <c:v>459.66595048086754</c:v>
                </c:pt>
                <c:pt idx="51">
                  <c:v>451.03796497507346</c:v>
                </c:pt>
                <c:pt idx="52">
                  <c:v>453.9832285115304</c:v>
                </c:pt>
                <c:pt idx="53">
                  <c:v>458.0776311752071</c:v>
                </c:pt>
                <c:pt idx="54">
                  <c:v>441.83798711261124</c:v>
                </c:pt>
                <c:pt idx="55">
                  <c:v>439.44972895571237</c:v>
                </c:pt>
                <c:pt idx="56">
                  <c:v>443.71461073405163</c:v>
                </c:pt>
                <c:pt idx="57">
                  <c:v>433.72614680657983</c:v>
                </c:pt>
                <c:pt idx="58">
                  <c:v>444.33016035264808</c:v>
                </c:pt>
                <c:pt idx="59">
                  <c:v>452.55776526037471</c:v>
                </c:pt>
                <c:pt idx="60">
                  <c:v>442.07467395608461</c:v>
                </c:pt>
                <c:pt idx="61">
                  <c:v>440.82240077666927</c:v>
                </c:pt>
                <c:pt idx="62">
                  <c:v>439.83477194953781</c:v>
                </c:pt>
                <c:pt idx="63">
                  <c:v>444.19697588884344</c:v>
                </c:pt>
                <c:pt idx="64">
                  <c:v>453.32848354902114</c:v>
                </c:pt>
                <c:pt idx="65">
                  <c:v>451.44617818548335</c:v>
                </c:pt>
                <c:pt idx="66">
                  <c:v>443.32486953415076</c:v>
                </c:pt>
                <c:pt idx="67">
                  <c:v>439.73251922438237</c:v>
                </c:pt>
                <c:pt idx="68">
                  <c:v>426.20281934725983</c:v>
                </c:pt>
                <c:pt idx="69">
                  <c:v>426.58169650839056</c:v>
                </c:pt>
                <c:pt idx="70">
                  <c:v>428.64695065890288</c:v>
                </c:pt>
                <c:pt idx="71">
                  <c:v>418.54164272672722</c:v>
                </c:pt>
                <c:pt idx="72">
                  <c:v>425.7992470167826</c:v>
                </c:pt>
                <c:pt idx="73">
                  <c:v>440.24506988320888</c:v>
                </c:pt>
                <c:pt idx="74">
                  <c:v>456.30394810766643</c:v>
                </c:pt>
                <c:pt idx="75">
                  <c:v>454.0669673084048</c:v>
                </c:pt>
                <c:pt idx="76">
                  <c:v>474.97796456446486</c:v>
                </c:pt>
                <c:pt idx="77">
                  <c:v>474.56994606753062</c:v>
                </c:pt>
                <c:pt idx="78">
                  <c:v>473.0197481945421</c:v>
                </c:pt>
                <c:pt idx="79">
                  <c:v>494.76877391938763</c:v>
                </c:pt>
                <c:pt idx="80">
                  <c:v>508.45528455284551</c:v>
                </c:pt>
                <c:pt idx="81">
                  <c:v>512.62183111202069</c:v>
                </c:pt>
                <c:pt idx="82">
                  <c:v>501.5202076381164</c:v>
                </c:pt>
                <c:pt idx="83">
                  <c:v>495.33196878597931</c:v>
                </c:pt>
                <c:pt idx="84">
                  <c:v>505.19734821337153</c:v>
                </c:pt>
                <c:pt idx="85">
                  <c:v>507.131521015717</c:v>
                </c:pt>
                <c:pt idx="86">
                  <c:v>514.44499916791483</c:v>
                </c:pt>
                <c:pt idx="87">
                  <c:v>517.39169397787782</c:v>
                </c:pt>
                <c:pt idx="88">
                  <c:v>521.9902066348767</c:v>
                </c:pt>
                <c:pt idx="89">
                  <c:v>527.11321310929111</c:v>
                </c:pt>
                <c:pt idx="90">
                  <c:v>530.29249964735902</c:v>
                </c:pt>
                <c:pt idx="91">
                  <c:v>510.04945927938087</c:v>
                </c:pt>
                <c:pt idx="92">
                  <c:v>511.359153666846</c:v>
                </c:pt>
                <c:pt idx="93">
                  <c:v>498.92306510269941</c:v>
                </c:pt>
                <c:pt idx="94">
                  <c:v>486.34461042202679</c:v>
                </c:pt>
                <c:pt idx="95">
                  <c:v>493.45443838492463</c:v>
                </c:pt>
                <c:pt idx="96">
                  <c:v>481.88903820310998</c:v>
                </c:pt>
                <c:pt idx="97">
                  <c:v>480.05833216072045</c:v>
                </c:pt>
                <c:pt idx="98">
                  <c:v>472.04266693951683</c:v>
                </c:pt>
                <c:pt idx="99">
                  <c:v>483.92352452202829</c:v>
                </c:pt>
                <c:pt idx="100">
                  <c:v>485.86000793518747</c:v>
                </c:pt>
                <c:pt idx="101">
                  <c:v>487.44559373239798</c:v>
                </c:pt>
                <c:pt idx="102">
                  <c:v>491.79962609163312</c:v>
                </c:pt>
                <c:pt idx="103">
                  <c:v>482.91942958089044</c:v>
                </c:pt>
                <c:pt idx="104">
                  <c:v>480.71837278068637</c:v>
                </c:pt>
                <c:pt idx="105">
                  <c:v>472.67744868298053</c:v>
                </c:pt>
                <c:pt idx="106">
                  <c:v>478.75699414860242</c:v>
                </c:pt>
                <c:pt idx="107">
                  <c:v>474.69080480372827</c:v>
                </c:pt>
                <c:pt idx="108">
                  <c:v>474.94270239817666</c:v>
                </c:pt>
                <c:pt idx="109">
                  <c:v>473.57021173034803</c:v>
                </c:pt>
                <c:pt idx="110">
                  <c:v>482.79538203298188</c:v>
                </c:pt>
                <c:pt idx="111">
                  <c:v>474.19193666167035</c:v>
                </c:pt>
                <c:pt idx="112">
                  <c:v>471.02273455011209</c:v>
                </c:pt>
                <c:pt idx="113">
                  <c:v>468.13856694627646</c:v>
                </c:pt>
                <c:pt idx="114">
                  <c:v>472.48466532635001</c:v>
                </c:pt>
                <c:pt idx="115">
                  <c:v>459.5976282863985</c:v>
                </c:pt>
                <c:pt idx="116">
                  <c:v>455.23181352459017</c:v>
                </c:pt>
                <c:pt idx="117">
                  <c:v>452.95645941587532</c:v>
                </c:pt>
                <c:pt idx="118">
                  <c:v>464.41348579330827</c:v>
                </c:pt>
                <c:pt idx="119">
                  <c:v>460.36682921834404</c:v>
                </c:pt>
                <c:pt idx="120">
                  <c:v>456.69816635935263</c:v>
                </c:pt>
                <c:pt idx="121">
                  <c:v>460.95650170255254</c:v>
                </c:pt>
                <c:pt idx="122">
                  <c:v>460.96302555436057</c:v>
                </c:pt>
                <c:pt idx="123">
                  <c:v>473.45979455388471</c:v>
                </c:pt>
                <c:pt idx="124">
                  <c:v>484.4286757265636</c:v>
                </c:pt>
                <c:pt idx="125">
                  <c:v>470.45757327321172</c:v>
                </c:pt>
                <c:pt idx="126">
                  <c:v>464.01454992571342</c:v>
                </c:pt>
                <c:pt idx="127">
                  <c:v>466.35498456533156</c:v>
                </c:pt>
                <c:pt idx="128">
                  <c:v>462.62275771116884</c:v>
                </c:pt>
                <c:pt idx="129">
                  <c:v>452.81622514436435</c:v>
                </c:pt>
                <c:pt idx="130">
                  <c:v>462.49055347055884</c:v>
                </c:pt>
                <c:pt idx="131">
                  <c:v>453.9574609760158</c:v>
                </c:pt>
                <c:pt idx="132">
                  <c:v>447.10824240561448</c:v>
                </c:pt>
                <c:pt idx="133">
                  <c:v>438.26347612215619</c:v>
                </c:pt>
                <c:pt idx="134">
                  <c:v>441.13058181538696</c:v>
                </c:pt>
                <c:pt idx="135">
                  <c:v>443.87820430740862</c:v>
                </c:pt>
                <c:pt idx="136">
                  <c:v>436.95796856601646</c:v>
                </c:pt>
                <c:pt idx="137">
                  <c:v>450.1881720430107</c:v>
                </c:pt>
                <c:pt idx="138">
                  <c:v>444.87696264731852</c:v>
                </c:pt>
                <c:pt idx="139">
                  <c:v>433.70654095462584</c:v>
                </c:pt>
                <c:pt idx="140">
                  <c:v>428.76291968928547</c:v>
                </c:pt>
                <c:pt idx="141">
                  <c:v>428.83608744739809</c:v>
                </c:pt>
                <c:pt idx="142">
                  <c:v>433.73256052523595</c:v>
                </c:pt>
                <c:pt idx="143">
                  <c:v>431.92466579426781</c:v>
                </c:pt>
                <c:pt idx="144">
                  <c:v>440.75665277332479</c:v>
                </c:pt>
                <c:pt idx="145">
                  <c:v>440.24233711557224</c:v>
                </c:pt>
                <c:pt idx="146">
                  <c:v>440.37570139058306</c:v>
                </c:pt>
                <c:pt idx="147">
                  <c:v>435.79312114989733</c:v>
                </c:pt>
                <c:pt idx="148">
                  <c:v>434.07295300636162</c:v>
                </c:pt>
                <c:pt idx="149">
                  <c:v>443.79739040067744</c:v>
                </c:pt>
                <c:pt idx="150">
                  <c:v>451.58635388980912</c:v>
                </c:pt>
                <c:pt idx="151">
                  <c:v>449.16281458654339</c:v>
                </c:pt>
                <c:pt idx="152">
                  <c:v>440.66232983050412</c:v>
                </c:pt>
                <c:pt idx="153">
                  <c:v>450.02372859616497</c:v>
                </c:pt>
                <c:pt idx="154">
                  <c:v>444.99833234984737</c:v>
                </c:pt>
                <c:pt idx="155">
                  <c:v>449.3336240844547</c:v>
                </c:pt>
                <c:pt idx="156">
                  <c:v>448.82003819974108</c:v>
                </c:pt>
                <c:pt idx="157">
                  <c:v>441.68600253823377</c:v>
                </c:pt>
                <c:pt idx="158">
                  <c:v>443.88842577749273</c:v>
                </c:pt>
                <c:pt idx="159">
                  <c:v>456.6465314916702</c:v>
                </c:pt>
                <c:pt idx="160">
                  <c:v>448.34842151155328</c:v>
                </c:pt>
                <c:pt idx="161">
                  <c:v>446.70694011568997</c:v>
                </c:pt>
                <c:pt idx="162">
                  <c:v>447.5554985243167</c:v>
                </c:pt>
                <c:pt idx="163">
                  <c:v>440.86897401031376</c:v>
                </c:pt>
                <c:pt idx="164">
                  <c:v>442.59988456358622</c:v>
                </c:pt>
                <c:pt idx="165">
                  <c:v>442.57884139381582</c:v>
                </c:pt>
                <c:pt idx="166">
                  <c:v>445.63056998140672</c:v>
                </c:pt>
                <c:pt idx="167">
                  <c:v>445.95668332692554</c:v>
                </c:pt>
                <c:pt idx="168">
                  <c:v>448.46576993601496</c:v>
                </c:pt>
                <c:pt idx="169">
                  <c:v>453.83114966571281</c:v>
                </c:pt>
                <c:pt idx="170">
                  <c:v>468.49708757794258</c:v>
                </c:pt>
                <c:pt idx="171">
                  <c:v>475.18025299566369</c:v>
                </c:pt>
                <c:pt idx="172">
                  <c:v>474.75801689388692</c:v>
                </c:pt>
                <c:pt idx="173">
                  <c:v>502.91299545326103</c:v>
                </c:pt>
                <c:pt idx="174">
                  <c:v>504.13642494701003</c:v>
                </c:pt>
                <c:pt idx="175">
                  <c:v>540.78103924465279</c:v>
                </c:pt>
                <c:pt idx="176">
                  <c:v>572.47682834333898</c:v>
                </c:pt>
                <c:pt idx="177">
                  <c:v>611.39331712149874</c:v>
                </c:pt>
                <c:pt idx="178">
                  <c:v>663.48630463030861</c:v>
                </c:pt>
                <c:pt idx="179">
                  <c:v>641.36243011362183</c:v>
                </c:pt>
                <c:pt idx="180">
                  <c:v>673.26953296066358</c:v>
                </c:pt>
                <c:pt idx="181">
                  <c:v>693.57987175195069</c:v>
                </c:pt>
                <c:pt idx="182">
                  <c:v>604.68599096024832</c:v>
                </c:pt>
                <c:pt idx="183">
                  <c:v>596.89638318670575</c:v>
                </c:pt>
                <c:pt idx="184">
                  <c:v>609.47392803829723</c:v>
                </c:pt>
                <c:pt idx="185">
                  <c:v>600.81083168163923</c:v>
                </c:pt>
                <c:pt idx="186">
                  <c:v>573.28790942696321</c:v>
                </c:pt>
                <c:pt idx="187">
                  <c:v>566.78983417447728</c:v>
                </c:pt>
                <c:pt idx="188">
                  <c:v>559.77993694099484</c:v>
                </c:pt>
                <c:pt idx="189">
                  <c:v>591.85576824122677</c:v>
                </c:pt>
                <c:pt idx="190">
                  <c:v>578.10810810810813</c:v>
                </c:pt>
                <c:pt idx="191">
                  <c:v>581.71724838863236</c:v>
                </c:pt>
                <c:pt idx="192">
                  <c:v>592.58372897929769</c:v>
                </c:pt>
                <c:pt idx="193">
                  <c:v>577.19408902504949</c:v>
                </c:pt>
                <c:pt idx="194">
                  <c:v>584.037528474537</c:v>
                </c:pt>
                <c:pt idx="195">
                  <c:v>588.67582141799971</c:v>
                </c:pt>
                <c:pt idx="196">
                  <c:v>594.98159919705586</c:v>
                </c:pt>
                <c:pt idx="197">
                  <c:v>580.8364431862052</c:v>
                </c:pt>
                <c:pt idx="198">
                  <c:v>578.89962557418391</c:v>
                </c:pt>
                <c:pt idx="199">
                  <c:v>576.86449073061533</c:v>
                </c:pt>
                <c:pt idx="200">
                  <c:v>582.7746274222377</c:v>
                </c:pt>
                <c:pt idx="201">
                  <c:v>603.93587318742686</c:v>
                </c:pt>
                <c:pt idx="202">
                  <c:v>588.53422877507171</c:v>
                </c:pt>
                <c:pt idx="203">
                  <c:v>601.55608997029287</c:v>
                </c:pt>
                <c:pt idx="204">
                  <c:v>600.75927212827844</c:v>
                </c:pt>
                <c:pt idx="205">
                  <c:v>598.32915300019295</c:v>
                </c:pt>
                <c:pt idx="206">
                  <c:v>573.18534904058845</c:v>
                </c:pt>
                <c:pt idx="207">
                  <c:v>572.86285501227837</c:v>
                </c:pt>
                <c:pt idx="208">
                  <c:v>555.01118165694163</c:v>
                </c:pt>
                <c:pt idx="209">
                  <c:v>556.19184701588449</c:v>
                </c:pt>
                <c:pt idx="210">
                  <c:v>557.67170620801267</c:v>
                </c:pt>
                <c:pt idx="211">
                  <c:v>564.65388766123647</c:v>
                </c:pt>
                <c:pt idx="212">
                  <c:v>567.00800452261956</c:v>
                </c:pt>
                <c:pt idx="213">
                  <c:v>559.92162908717148</c:v>
                </c:pt>
                <c:pt idx="214">
                  <c:v>545.60172692930382</c:v>
                </c:pt>
                <c:pt idx="215">
                  <c:v>544.09758353566895</c:v>
                </c:pt>
                <c:pt idx="216">
                  <c:v>542.51882501092234</c:v>
                </c:pt>
                <c:pt idx="217">
                  <c:v>562.05784476223516</c:v>
                </c:pt>
                <c:pt idx="218">
                  <c:v>559.46720468798196</c:v>
                </c:pt>
                <c:pt idx="219">
                  <c:v>566.1864864170243</c:v>
                </c:pt>
                <c:pt idx="220">
                  <c:v>567.75557411810053</c:v>
                </c:pt>
                <c:pt idx="221">
                  <c:v>565.87559587289752</c:v>
                </c:pt>
                <c:pt idx="222">
                  <c:v>561.40743024510562</c:v>
                </c:pt>
                <c:pt idx="223">
                  <c:v>573.70761105614167</c:v>
                </c:pt>
                <c:pt idx="224">
                  <c:v>598.62966152896865</c:v>
                </c:pt>
                <c:pt idx="225">
                  <c:v>590.66399115021477</c:v>
                </c:pt>
                <c:pt idx="226">
                  <c:v>582.90734618798319</c:v>
                </c:pt>
                <c:pt idx="227">
                  <c:v>591.77578267692218</c:v>
                </c:pt>
                <c:pt idx="228">
                  <c:v>576.18398374192884</c:v>
                </c:pt>
                <c:pt idx="229">
                  <c:v>567.79977106403771</c:v>
                </c:pt>
                <c:pt idx="230">
                  <c:v>564.58451247748906</c:v>
                </c:pt>
                <c:pt idx="231">
                  <c:v>575.20079287442729</c:v>
                </c:pt>
                <c:pt idx="232">
                  <c:v>571.33094821373413</c:v>
                </c:pt>
                <c:pt idx="233">
                  <c:v>572.00463350279938</c:v>
                </c:pt>
                <c:pt idx="234">
                  <c:v>573.35691318327974</c:v>
                </c:pt>
                <c:pt idx="235">
                  <c:v>580.14260157788385</c:v>
                </c:pt>
                <c:pt idx="236">
                  <c:v>584.3201627335111</c:v>
                </c:pt>
                <c:pt idx="237">
                  <c:v>579.83972789816801</c:v>
                </c:pt>
                <c:pt idx="238">
                  <c:v>575.32029409113727</c:v>
                </c:pt>
                <c:pt idx="239">
                  <c:v>560.98072788598938</c:v>
                </c:pt>
                <c:pt idx="240">
                  <c:v>566.19388686718014</c:v>
                </c:pt>
                <c:pt idx="241">
                  <c:v>565.07283456974244</c:v>
                </c:pt>
                <c:pt idx="242">
                  <c:v>560.08128303731053</c:v>
                </c:pt>
                <c:pt idx="243">
                  <c:v>553.885324109198</c:v>
                </c:pt>
                <c:pt idx="244">
                  <c:v>554.31789254445175</c:v>
                </c:pt>
                <c:pt idx="245">
                  <c:v>547.48731127529709</c:v>
                </c:pt>
                <c:pt idx="246">
                  <c:v>542.15453366378586</c:v>
                </c:pt>
                <c:pt idx="247">
                  <c:v>558.97146086465102</c:v>
                </c:pt>
                <c:pt idx="248">
                  <c:v>560.42303444378808</c:v>
                </c:pt>
                <c:pt idx="249">
                  <c:v>567.29680095547542</c:v>
                </c:pt>
                <c:pt idx="250">
                  <c:v>575.21381790163093</c:v>
                </c:pt>
                <c:pt idx="251">
                  <c:v>602.84873938786791</c:v>
                </c:pt>
                <c:pt idx="252">
                  <c:v>588.4433083711192</c:v>
                </c:pt>
                <c:pt idx="253">
                  <c:v>579.76991423142101</c:v>
                </c:pt>
                <c:pt idx="254">
                  <c:v>597.95742823396495</c:v>
                </c:pt>
                <c:pt idx="255">
                  <c:v>601.95199630148068</c:v>
                </c:pt>
                <c:pt idx="256">
                  <c:v>606.51891989060232</c:v>
                </c:pt>
                <c:pt idx="257">
                  <c:v>607.93563206590784</c:v>
                </c:pt>
                <c:pt idx="258">
                  <c:v>639.19916783315568</c:v>
                </c:pt>
                <c:pt idx="259">
                  <c:v>633.18093085379633</c:v>
                </c:pt>
                <c:pt idx="260">
                  <c:v>649.77974134055978</c:v>
                </c:pt>
                <c:pt idx="261">
                  <c:v>661.09798988524631</c:v>
                </c:pt>
                <c:pt idx="262">
                  <c:v>678.76897003312536</c:v>
                </c:pt>
                <c:pt idx="263">
                  <c:v>659.97279156025013</c:v>
                </c:pt>
                <c:pt idx="264">
                  <c:v>677.9696265581473</c:v>
                </c:pt>
                <c:pt idx="265">
                  <c:v>672.20667163144242</c:v>
                </c:pt>
                <c:pt idx="266">
                  <c:v>709.92780247167343</c:v>
                </c:pt>
                <c:pt idx="267">
                  <c:v>725.3263875490386</c:v>
                </c:pt>
                <c:pt idx="268">
                  <c:v>729.36093609360933</c:v>
                </c:pt>
                <c:pt idx="269">
                  <c:v>707.27981173565843</c:v>
                </c:pt>
                <c:pt idx="270">
                  <c:v>754.14119312697085</c:v>
                </c:pt>
                <c:pt idx="271">
                  <c:v>744.64237482154124</c:v>
                </c:pt>
                <c:pt idx="272">
                  <c:v>733.08977706883468</c:v>
                </c:pt>
                <c:pt idx="273">
                  <c:v>765.86912617862333</c:v>
                </c:pt>
                <c:pt idx="274">
                  <c:v>756.16658523413992</c:v>
                </c:pt>
                <c:pt idx="275">
                  <c:v>715.85564969209213</c:v>
                </c:pt>
                <c:pt idx="276">
                  <c:v>711.84291739532966</c:v>
                </c:pt>
                <c:pt idx="277">
                  <c:v>712.3092364310163</c:v>
                </c:pt>
                <c:pt idx="278">
                  <c:v>740.98086401482487</c:v>
                </c:pt>
                <c:pt idx="279">
                  <c:v>780.86053603365986</c:v>
                </c:pt>
                <c:pt idx="280">
                  <c:v>777.00930489955078</c:v>
                </c:pt>
                <c:pt idx="281">
                  <c:v>757.61932959167916</c:v>
                </c:pt>
                <c:pt idx="282">
                  <c:v>767.94373520024703</c:v>
                </c:pt>
                <c:pt idx="283">
                  <c:v>752.38573322521268</c:v>
                </c:pt>
                <c:pt idx="284">
                  <c:v>739.57692654116863</c:v>
                </c:pt>
                <c:pt idx="285">
                  <c:v>756.58449979415388</c:v>
                </c:pt>
                <c:pt idx="286">
                  <c:v>755.88004376085985</c:v>
                </c:pt>
                <c:pt idx="287">
                  <c:v>785.86966315274617</c:v>
                </c:pt>
                <c:pt idx="288">
                  <c:v>777.43189159277802</c:v>
                </c:pt>
                <c:pt idx="289">
                  <c:v>750.87872783881846</c:v>
                </c:pt>
                <c:pt idx="290">
                  <c:v>725.5039687134165</c:v>
                </c:pt>
                <c:pt idx="291">
                  <c:v>737.93187723495657</c:v>
                </c:pt>
                <c:pt idx="292">
                  <c:v>709.67625760479507</c:v>
                </c:pt>
                <c:pt idx="293">
                  <c:v>716.68831419349033</c:v>
                </c:pt>
                <c:pt idx="294">
                  <c:v>718.82089667412606</c:v>
                </c:pt>
                <c:pt idx="295">
                  <c:v>707.97269150659577</c:v>
                </c:pt>
                <c:pt idx="296">
                  <c:v>693.39091540063248</c:v>
                </c:pt>
                <c:pt idx="297">
                  <c:v>694.9555963963038</c:v>
                </c:pt>
                <c:pt idx="298">
                  <c:v>697.29764459464661</c:v>
                </c:pt>
                <c:pt idx="299">
                  <c:v>683.1139110311135</c:v>
                </c:pt>
                <c:pt idx="300">
                  <c:v>566.64993048045733</c:v>
                </c:pt>
                <c:pt idx="301">
                  <c:v>587.89056467802538</c:v>
                </c:pt>
                <c:pt idx="302">
                  <c:v>604.21477167302339</c:v>
                </c:pt>
                <c:pt idx="303">
                  <c:v>620.43925450467862</c:v>
                </c:pt>
                <c:pt idx="304">
                  <c:v>632.03626795986281</c:v>
                </c:pt>
                <c:pt idx="305">
                  <c:v>646.60331867820162</c:v>
                </c:pt>
                <c:pt idx="306">
                  <c:v>642.17392425297146</c:v>
                </c:pt>
                <c:pt idx="307">
                  <c:v>617.89418084845988</c:v>
                </c:pt>
                <c:pt idx="308">
                  <c:v>629.49934955370372</c:v>
                </c:pt>
                <c:pt idx="309">
                  <c:v>631.49611373918879</c:v>
                </c:pt>
                <c:pt idx="310">
                  <c:v>650.687491140578</c:v>
                </c:pt>
                <c:pt idx="311">
                  <c:v>641.32211166675268</c:v>
                </c:pt>
                <c:pt idx="312">
                  <c:v>642.34924072498518</c:v>
                </c:pt>
                <c:pt idx="313">
                  <c:v>643.17815565897865</c:v>
                </c:pt>
                <c:pt idx="314">
                  <c:v>646.9641315134877</c:v>
                </c:pt>
                <c:pt idx="315">
                  <c:v>655.96730104698543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D9-4ECB-9196-088DD0079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9584568"/>
        <c:axId val="649582328"/>
      </c:lineChart>
      <c:dateAx>
        <c:axId val="649584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2328"/>
        <c:crosses val="autoZero"/>
        <c:auto val="1"/>
        <c:lblOffset val="100"/>
        <c:baseTimeUnit val="days"/>
      </c:dateAx>
      <c:valAx>
        <c:axId val="649582328"/>
        <c:scaling>
          <c:orientation val="minMax"/>
          <c:max val="900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84568"/>
        <c:crosses val="autoZero"/>
        <c:crossBetween val="between"/>
        <c:majorUnit val="1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Hang Seng CCI USD</a:t>
            </a:r>
            <a:r>
              <a:rPr lang="en-GB" sz="1400" b="0" i="0" u="none" strike="noStrike" baseline="0"/>
              <a:t> </a:t>
            </a:r>
            <a:endParaRPr lang="en-US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Data!$R$1</c:f>
              <c:strCache>
                <c:ptCount val="1"/>
                <c:pt idx="0">
                  <c:v>USD Hang Seng CCI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Data!$B$2:$B$501</c:f>
              <c:numCache>
                <c:formatCode>m/d/yyyy</c:formatCode>
                <c:ptCount val="500"/>
                <c:pt idx="0">
                  <c:v>45293</c:v>
                </c:pt>
                <c:pt idx="1">
                  <c:v>45294</c:v>
                </c:pt>
                <c:pt idx="2">
                  <c:v>45295</c:v>
                </c:pt>
                <c:pt idx="3">
                  <c:v>45296</c:v>
                </c:pt>
                <c:pt idx="4">
                  <c:v>45299</c:v>
                </c:pt>
                <c:pt idx="5">
                  <c:v>45300</c:v>
                </c:pt>
                <c:pt idx="6">
                  <c:v>45301</c:v>
                </c:pt>
                <c:pt idx="7">
                  <c:v>45302</c:v>
                </c:pt>
                <c:pt idx="8">
                  <c:v>45303</c:v>
                </c:pt>
                <c:pt idx="9">
                  <c:v>45307</c:v>
                </c:pt>
                <c:pt idx="10">
                  <c:v>45308</c:v>
                </c:pt>
                <c:pt idx="11">
                  <c:v>45309</c:v>
                </c:pt>
                <c:pt idx="12">
                  <c:v>45310</c:v>
                </c:pt>
                <c:pt idx="13">
                  <c:v>45313</c:v>
                </c:pt>
                <c:pt idx="14">
                  <c:v>45314</c:v>
                </c:pt>
                <c:pt idx="15">
                  <c:v>45315</c:v>
                </c:pt>
                <c:pt idx="16">
                  <c:v>45316</c:v>
                </c:pt>
                <c:pt idx="17">
                  <c:v>45317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45327</c:v>
                </c:pt>
                <c:pt idx="24">
                  <c:v>45328</c:v>
                </c:pt>
                <c:pt idx="25">
                  <c:v>45329</c:v>
                </c:pt>
                <c:pt idx="26">
                  <c:v>45330</c:v>
                </c:pt>
                <c:pt idx="27">
                  <c:v>45331</c:v>
                </c:pt>
                <c:pt idx="28">
                  <c:v>45336</c:v>
                </c:pt>
                <c:pt idx="29">
                  <c:v>45337</c:v>
                </c:pt>
                <c:pt idx="30">
                  <c:v>45338</c:v>
                </c:pt>
                <c:pt idx="31">
                  <c:v>45342</c:v>
                </c:pt>
                <c:pt idx="32">
                  <c:v>45343</c:v>
                </c:pt>
                <c:pt idx="33">
                  <c:v>45344</c:v>
                </c:pt>
                <c:pt idx="34">
                  <c:v>45345</c:v>
                </c:pt>
                <c:pt idx="35">
                  <c:v>45348</c:v>
                </c:pt>
                <c:pt idx="36">
                  <c:v>45349</c:v>
                </c:pt>
                <c:pt idx="37">
                  <c:v>45350</c:v>
                </c:pt>
                <c:pt idx="38">
                  <c:v>45351</c:v>
                </c:pt>
                <c:pt idx="39">
                  <c:v>45352</c:v>
                </c:pt>
                <c:pt idx="40">
                  <c:v>45355</c:v>
                </c:pt>
                <c:pt idx="41">
                  <c:v>45356</c:v>
                </c:pt>
                <c:pt idx="42">
                  <c:v>45357</c:v>
                </c:pt>
                <c:pt idx="43">
                  <c:v>45358</c:v>
                </c:pt>
                <c:pt idx="44">
                  <c:v>45359</c:v>
                </c:pt>
                <c:pt idx="45">
                  <c:v>45362</c:v>
                </c:pt>
                <c:pt idx="46">
                  <c:v>45363</c:v>
                </c:pt>
                <c:pt idx="47">
                  <c:v>45364</c:v>
                </c:pt>
                <c:pt idx="48">
                  <c:v>45365</c:v>
                </c:pt>
                <c:pt idx="49">
                  <c:v>45366</c:v>
                </c:pt>
                <c:pt idx="50">
                  <c:v>45369</c:v>
                </c:pt>
                <c:pt idx="51">
                  <c:v>45370</c:v>
                </c:pt>
                <c:pt idx="52">
                  <c:v>45371</c:v>
                </c:pt>
                <c:pt idx="53">
                  <c:v>45372</c:v>
                </c:pt>
                <c:pt idx="54">
                  <c:v>45373</c:v>
                </c:pt>
                <c:pt idx="55">
                  <c:v>45376</c:v>
                </c:pt>
                <c:pt idx="56">
                  <c:v>45377</c:v>
                </c:pt>
                <c:pt idx="57">
                  <c:v>45378</c:v>
                </c:pt>
                <c:pt idx="58">
                  <c:v>45379</c:v>
                </c:pt>
                <c:pt idx="59">
                  <c:v>45384</c:v>
                </c:pt>
                <c:pt idx="60">
                  <c:v>45385</c:v>
                </c:pt>
                <c:pt idx="61">
                  <c:v>45387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45428</c:v>
                </c:pt>
                <c:pt idx="89">
                  <c:v>45429</c:v>
                </c:pt>
                <c:pt idx="90">
                  <c:v>45432</c:v>
                </c:pt>
                <c:pt idx="91">
                  <c:v>45433</c:v>
                </c:pt>
                <c:pt idx="92">
                  <c:v>45434</c:v>
                </c:pt>
                <c:pt idx="93">
                  <c:v>45435</c:v>
                </c:pt>
                <c:pt idx="94">
                  <c:v>45436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45463</c:v>
                </c:pt>
                <c:pt idx="111">
                  <c:v>45464</c:v>
                </c:pt>
                <c:pt idx="112">
                  <c:v>45467</c:v>
                </c:pt>
                <c:pt idx="113">
                  <c:v>45468</c:v>
                </c:pt>
                <c:pt idx="114">
                  <c:v>45469</c:v>
                </c:pt>
                <c:pt idx="115">
                  <c:v>45470</c:v>
                </c:pt>
                <c:pt idx="116">
                  <c:v>45471</c:v>
                </c:pt>
                <c:pt idx="117">
                  <c:v>45475</c:v>
                </c:pt>
                <c:pt idx="118">
                  <c:v>45476</c:v>
                </c:pt>
                <c:pt idx="119">
                  <c:v>45478</c:v>
                </c:pt>
                <c:pt idx="120">
                  <c:v>45481</c:v>
                </c:pt>
                <c:pt idx="121">
                  <c:v>45482</c:v>
                </c:pt>
                <c:pt idx="122">
                  <c:v>45483</c:v>
                </c:pt>
                <c:pt idx="123">
                  <c:v>45484</c:v>
                </c:pt>
                <c:pt idx="124">
                  <c:v>45485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45495</c:v>
                </c:pt>
                <c:pt idx="131">
                  <c:v>45496</c:v>
                </c:pt>
                <c:pt idx="132">
                  <c:v>45497</c:v>
                </c:pt>
                <c:pt idx="133">
                  <c:v>45498</c:v>
                </c:pt>
                <c:pt idx="134">
                  <c:v>45499</c:v>
                </c:pt>
                <c:pt idx="135">
                  <c:v>45502</c:v>
                </c:pt>
                <c:pt idx="136">
                  <c:v>45503</c:v>
                </c:pt>
                <c:pt idx="137">
                  <c:v>45504</c:v>
                </c:pt>
                <c:pt idx="138">
                  <c:v>45505</c:v>
                </c:pt>
                <c:pt idx="139">
                  <c:v>45506</c:v>
                </c:pt>
                <c:pt idx="140">
                  <c:v>45509</c:v>
                </c:pt>
                <c:pt idx="141">
                  <c:v>45510</c:v>
                </c:pt>
                <c:pt idx="142">
                  <c:v>45511</c:v>
                </c:pt>
                <c:pt idx="143">
                  <c:v>45512</c:v>
                </c:pt>
                <c:pt idx="144">
                  <c:v>45513</c:v>
                </c:pt>
                <c:pt idx="145">
                  <c:v>45516</c:v>
                </c:pt>
                <c:pt idx="146">
                  <c:v>45517</c:v>
                </c:pt>
                <c:pt idx="147">
                  <c:v>45518</c:v>
                </c:pt>
                <c:pt idx="148">
                  <c:v>45519</c:v>
                </c:pt>
                <c:pt idx="149">
                  <c:v>45520</c:v>
                </c:pt>
                <c:pt idx="150">
                  <c:v>45523</c:v>
                </c:pt>
                <c:pt idx="151">
                  <c:v>45524</c:v>
                </c:pt>
                <c:pt idx="152">
                  <c:v>45525</c:v>
                </c:pt>
                <c:pt idx="153">
                  <c:v>45526</c:v>
                </c:pt>
                <c:pt idx="154">
                  <c:v>45527</c:v>
                </c:pt>
                <c:pt idx="155">
                  <c:v>45530</c:v>
                </c:pt>
                <c:pt idx="156">
                  <c:v>45531</c:v>
                </c:pt>
                <c:pt idx="157">
                  <c:v>45532</c:v>
                </c:pt>
                <c:pt idx="158">
                  <c:v>45533</c:v>
                </c:pt>
                <c:pt idx="159">
                  <c:v>45534</c:v>
                </c:pt>
                <c:pt idx="160">
                  <c:v>45538</c:v>
                </c:pt>
                <c:pt idx="161">
                  <c:v>45539</c:v>
                </c:pt>
                <c:pt idx="162">
                  <c:v>45540</c:v>
                </c:pt>
                <c:pt idx="163">
                  <c:v>45541</c:v>
                </c:pt>
                <c:pt idx="164">
                  <c:v>45544</c:v>
                </c:pt>
                <c:pt idx="165">
                  <c:v>45545</c:v>
                </c:pt>
                <c:pt idx="166">
                  <c:v>45546</c:v>
                </c:pt>
                <c:pt idx="167">
                  <c:v>45547</c:v>
                </c:pt>
                <c:pt idx="168">
                  <c:v>45548</c:v>
                </c:pt>
                <c:pt idx="169">
                  <c:v>45551</c:v>
                </c:pt>
                <c:pt idx="170">
                  <c:v>45552</c:v>
                </c:pt>
                <c:pt idx="171">
                  <c:v>45554</c:v>
                </c:pt>
                <c:pt idx="172">
                  <c:v>45555</c:v>
                </c:pt>
                <c:pt idx="173">
                  <c:v>45558</c:v>
                </c:pt>
                <c:pt idx="174">
                  <c:v>45559</c:v>
                </c:pt>
                <c:pt idx="175">
                  <c:v>45560</c:v>
                </c:pt>
                <c:pt idx="176">
                  <c:v>45561</c:v>
                </c:pt>
                <c:pt idx="177">
                  <c:v>45562</c:v>
                </c:pt>
                <c:pt idx="178">
                  <c:v>45565</c:v>
                </c:pt>
                <c:pt idx="179">
                  <c:v>45567</c:v>
                </c:pt>
                <c:pt idx="180">
                  <c:v>45568</c:v>
                </c:pt>
                <c:pt idx="181">
                  <c:v>45569</c:v>
                </c:pt>
                <c:pt idx="182">
                  <c:v>45572</c:v>
                </c:pt>
                <c:pt idx="183">
                  <c:v>45573</c:v>
                </c:pt>
                <c:pt idx="184">
                  <c:v>45574</c:v>
                </c:pt>
                <c:pt idx="185">
                  <c:v>45575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  <c:pt idx="216">
                  <c:v>45621</c:v>
                </c:pt>
                <c:pt idx="217">
                  <c:v>45622</c:v>
                </c:pt>
                <c:pt idx="218">
                  <c:v>45623</c:v>
                </c:pt>
                <c:pt idx="219">
                  <c:v>45625</c:v>
                </c:pt>
                <c:pt idx="220">
                  <c:v>45628</c:v>
                </c:pt>
                <c:pt idx="221">
                  <c:v>45629</c:v>
                </c:pt>
                <c:pt idx="222">
                  <c:v>45630</c:v>
                </c:pt>
                <c:pt idx="223">
                  <c:v>45631</c:v>
                </c:pt>
                <c:pt idx="224">
                  <c:v>45632</c:v>
                </c:pt>
                <c:pt idx="225">
                  <c:v>45635</c:v>
                </c:pt>
                <c:pt idx="226">
                  <c:v>45636</c:v>
                </c:pt>
                <c:pt idx="227">
                  <c:v>45637</c:v>
                </c:pt>
                <c:pt idx="228">
                  <c:v>45638</c:v>
                </c:pt>
                <c:pt idx="229">
                  <c:v>45639</c:v>
                </c:pt>
                <c:pt idx="230">
                  <c:v>45642</c:v>
                </c:pt>
                <c:pt idx="231">
                  <c:v>45643</c:v>
                </c:pt>
                <c:pt idx="232">
                  <c:v>45644</c:v>
                </c:pt>
                <c:pt idx="233">
                  <c:v>45645</c:v>
                </c:pt>
                <c:pt idx="234">
                  <c:v>45646</c:v>
                </c:pt>
                <c:pt idx="235">
                  <c:v>45649</c:v>
                </c:pt>
                <c:pt idx="236">
                  <c:v>45650</c:v>
                </c:pt>
                <c:pt idx="237">
                  <c:v>45652</c:v>
                </c:pt>
                <c:pt idx="238">
                  <c:v>45653</c:v>
                </c:pt>
                <c:pt idx="239">
                  <c:v>45656</c:v>
                </c:pt>
                <c:pt idx="240">
                  <c:v>45657</c:v>
                </c:pt>
                <c:pt idx="241">
                  <c:v>45659</c:v>
                </c:pt>
                <c:pt idx="242">
                  <c:v>45660</c:v>
                </c:pt>
                <c:pt idx="243">
                  <c:v>45663</c:v>
                </c:pt>
                <c:pt idx="244">
                  <c:v>45664</c:v>
                </c:pt>
                <c:pt idx="245">
                  <c:v>45665</c:v>
                </c:pt>
                <c:pt idx="246">
                  <c:v>45667</c:v>
                </c:pt>
                <c:pt idx="247">
                  <c:v>45670</c:v>
                </c:pt>
                <c:pt idx="248">
                  <c:v>45671</c:v>
                </c:pt>
                <c:pt idx="249">
                  <c:v>45672</c:v>
                </c:pt>
                <c:pt idx="250">
                  <c:v>45673</c:v>
                </c:pt>
                <c:pt idx="251">
                  <c:v>45674</c:v>
                </c:pt>
                <c:pt idx="252">
                  <c:v>45678</c:v>
                </c:pt>
                <c:pt idx="253">
                  <c:v>45679</c:v>
                </c:pt>
                <c:pt idx="254">
                  <c:v>45680</c:v>
                </c:pt>
                <c:pt idx="255">
                  <c:v>45681</c:v>
                </c:pt>
                <c:pt idx="256">
                  <c:v>45684</c:v>
                </c:pt>
                <c:pt idx="257">
                  <c:v>45691</c:v>
                </c:pt>
                <c:pt idx="258">
                  <c:v>45692</c:v>
                </c:pt>
                <c:pt idx="259">
                  <c:v>45693</c:v>
                </c:pt>
                <c:pt idx="260">
                  <c:v>45694</c:v>
                </c:pt>
                <c:pt idx="261">
                  <c:v>45695</c:v>
                </c:pt>
                <c:pt idx="262">
                  <c:v>45698</c:v>
                </c:pt>
                <c:pt idx="263">
                  <c:v>45699</c:v>
                </c:pt>
                <c:pt idx="264">
                  <c:v>45700</c:v>
                </c:pt>
                <c:pt idx="265">
                  <c:v>45701</c:v>
                </c:pt>
                <c:pt idx="266">
                  <c:v>45702</c:v>
                </c:pt>
                <c:pt idx="267">
                  <c:v>45706</c:v>
                </c:pt>
                <c:pt idx="268">
                  <c:v>45707</c:v>
                </c:pt>
                <c:pt idx="269">
                  <c:v>45708</c:v>
                </c:pt>
                <c:pt idx="270">
                  <c:v>45709</c:v>
                </c:pt>
                <c:pt idx="271">
                  <c:v>45712</c:v>
                </c:pt>
                <c:pt idx="272">
                  <c:v>45713</c:v>
                </c:pt>
                <c:pt idx="273">
                  <c:v>45714</c:v>
                </c:pt>
                <c:pt idx="274">
                  <c:v>45715</c:v>
                </c:pt>
                <c:pt idx="275">
                  <c:v>45716</c:v>
                </c:pt>
                <c:pt idx="276">
                  <c:v>45719</c:v>
                </c:pt>
                <c:pt idx="277">
                  <c:v>45720</c:v>
                </c:pt>
                <c:pt idx="278">
                  <c:v>45721</c:v>
                </c:pt>
                <c:pt idx="279">
                  <c:v>45722</c:v>
                </c:pt>
                <c:pt idx="280">
                  <c:v>45723</c:v>
                </c:pt>
                <c:pt idx="281">
                  <c:v>45726</c:v>
                </c:pt>
                <c:pt idx="282">
                  <c:v>45727</c:v>
                </c:pt>
                <c:pt idx="283">
                  <c:v>45728</c:v>
                </c:pt>
                <c:pt idx="284">
                  <c:v>45729</c:v>
                </c:pt>
                <c:pt idx="285">
                  <c:v>45730</c:v>
                </c:pt>
                <c:pt idx="286">
                  <c:v>45733</c:v>
                </c:pt>
                <c:pt idx="287">
                  <c:v>45734</c:v>
                </c:pt>
                <c:pt idx="288">
                  <c:v>45735</c:v>
                </c:pt>
                <c:pt idx="289">
                  <c:v>45736</c:v>
                </c:pt>
                <c:pt idx="290">
                  <c:v>45737</c:v>
                </c:pt>
                <c:pt idx="291">
                  <c:v>45740</c:v>
                </c:pt>
                <c:pt idx="292">
                  <c:v>45741</c:v>
                </c:pt>
                <c:pt idx="293">
                  <c:v>45742</c:v>
                </c:pt>
                <c:pt idx="294">
                  <c:v>45743</c:v>
                </c:pt>
                <c:pt idx="295">
                  <c:v>45744</c:v>
                </c:pt>
                <c:pt idx="296">
                  <c:v>45747</c:v>
                </c:pt>
                <c:pt idx="297">
                  <c:v>45748</c:v>
                </c:pt>
                <c:pt idx="298">
                  <c:v>45749</c:v>
                </c:pt>
                <c:pt idx="299">
                  <c:v>45750</c:v>
                </c:pt>
                <c:pt idx="300">
                  <c:v>45754</c:v>
                </c:pt>
                <c:pt idx="301">
                  <c:v>45755</c:v>
                </c:pt>
                <c:pt idx="302">
                  <c:v>45756</c:v>
                </c:pt>
                <c:pt idx="303">
                  <c:v>45757</c:v>
                </c:pt>
                <c:pt idx="304">
                  <c:v>45758</c:v>
                </c:pt>
                <c:pt idx="305">
                  <c:v>45761</c:v>
                </c:pt>
                <c:pt idx="306">
                  <c:v>45762</c:v>
                </c:pt>
                <c:pt idx="307">
                  <c:v>45763</c:v>
                </c:pt>
                <c:pt idx="308">
                  <c:v>45764</c:v>
                </c:pt>
                <c:pt idx="309">
                  <c:v>45769</c:v>
                </c:pt>
                <c:pt idx="310">
                  <c:v>45770</c:v>
                </c:pt>
                <c:pt idx="311">
                  <c:v>45771</c:v>
                </c:pt>
                <c:pt idx="312">
                  <c:v>45772</c:v>
                </c:pt>
                <c:pt idx="313">
                  <c:v>45775</c:v>
                </c:pt>
                <c:pt idx="314">
                  <c:v>45776</c:v>
                </c:pt>
                <c:pt idx="315">
                  <c:v>45777</c:v>
                </c:pt>
              </c:numCache>
            </c:numRef>
          </c:cat>
          <c:val>
            <c:numRef>
              <c:f>Data!$R$2:$R$317</c:f>
              <c:numCache>
                <c:formatCode>0.00</c:formatCode>
                <c:ptCount val="316"/>
                <c:pt idx="0">
                  <c:v>420.53483462350459</c:v>
                </c:pt>
                <c:pt idx="1">
                  <c:v>420.58179302924339</c:v>
                </c:pt>
                <c:pt idx="2">
                  <c:v>424.2274048744253</c:v>
                </c:pt>
                <c:pt idx="3">
                  <c:v>424.16786153215895</c:v>
                </c:pt>
                <c:pt idx="4">
                  <c:v>415.84705053481076</c:v>
                </c:pt>
                <c:pt idx="5">
                  <c:v>415.0427984697468</c:v>
                </c:pt>
                <c:pt idx="6">
                  <c:v>413.84430433170058</c:v>
                </c:pt>
                <c:pt idx="7">
                  <c:v>415.46658138791173</c:v>
                </c:pt>
                <c:pt idx="8">
                  <c:v>417.00655917965497</c:v>
                </c:pt>
                <c:pt idx="9">
                  <c:v>410.41144901610022</c:v>
                </c:pt>
                <c:pt idx="10">
                  <c:v>394.91880833652988</c:v>
                </c:pt>
                <c:pt idx="11">
                  <c:v>398.21885229132567</c:v>
                </c:pt>
                <c:pt idx="12">
                  <c:v>395.45506875599614</c:v>
                </c:pt>
                <c:pt idx="13">
                  <c:v>379.71756037658616</c:v>
                </c:pt>
                <c:pt idx="14">
                  <c:v>387.84949948222294</c:v>
                </c:pt>
                <c:pt idx="15">
                  <c:v>403.97687299333563</c:v>
                </c:pt>
                <c:pt idx="16">
                  <c:v>418.76023331968889</c:v>
                </c:pt>
                <c:pt idx="17">
                  <c:v>415.82591113841113</c:v>
                </c:pt>
                <c:pt idx="18">
                  <c:v>422.05129517763896</c:v>
                </c:pt>
                <c:pt idx="19">
                  <c:v>411.87049899586833</c:v>
                </c:pt>
                <c:pt idx="20">
                  <c:v>408.50217446917372</c:v>
                </c:pt>
                <c:pt idx="21">
                  <c:v>406.89932988899687</c:v>
                </c:pt>
                <c:pt idx="22">
                  <c:v>407.7556552985256</c:v>
                </c:pt>
                <c:pt idx="23">
                  <c:v>404.57329156811352</c:v>
                </c:pt>
                <c:pt idx="24">
                  <c:v>418.22842094497855</c:v>
                </c:pt>
                <c:pt idx="25">
                  <c:v>415.42160661985696</c:v>
                </c:pt>
                <c:pt idx="26">
                  <c:v>415.01981843753998</c:v>
                </c:pt>
                <c:pt idx="27">
                  <c:v>408.832819673389</c:v>
                </c:pt>
                <c:pt idx="28">
                  <c:v>407.96602798598144</c:v>
                </c:pt>
                <c:pt idx="29">
                  <c:v>406.92645121686087</c:v>
                </c:pt>
                <c:pt idx="30">
                  <c:v>419.90591002646278</c:v>
                </c:pt>
                <c:pt idx="31">
                  <c:v>428.20975104530282</c:v>
                </c:pt>
                <c:pt idx="32">
                  <c:v>434.30551471058317</c:v>
                </c:pt>
                <c:pt idx="33">
                  <c:v>447.52627138145277</c:v>
                </c:pt>
                <c:pt idx="34">
                  <c:v>449.26634116414016</c:v>
                </c:pt>
                <c:pt idx="35">
                  <c:v>447.08709322835449</c:v>
                </c:pt>
                <c:pt idx="36">
                  <c:v>445.00198105852428</c:v>
                </c:pt>
                <c:pt idx="37">
                  <c:v>437.74320060297146</c:v>
                </c:pt>
                <c:pt idx="38">
                  <c:v>434.02437155119554</c:v>
                </c:pt>
                <c:pt idx="39">
                  <c:v>433.44446573417639</c:v>
                </c:pt>
                <c:pt idx="40">
                  <c:v>431.79674620113229</c:v>
                </c:pt>
                <c:pt idx="41">
                  <c:v>426.24360940695294</c:v>
                </c:pt>
                <c:pt idx="42">
                  <c:v>433.3090528037622</c:v>
                </c:pt>
                <c:pt idx="43">
                  <c:v>432.72852813686751</c:v>
                </c:pt>
                <c:pt idx="44">
                  <c:v>437.39242740048337</c:v>
                </c:pt>
                <c:pt idx="45">
                  <c:v>436.84284545361561</c:v>
                </c:pt>
                <c:pt idx="46">
                  <c:v>450.29590336805774</c:v>
                </c:pt>
                <c:pt idx="47">
                  <c:v>450.94780974780468</c:v>
                </c:pt>
                <c:pt idx="48">
                  <c:v>452.63736544706092</c:v>
                </c:pt>
                <c:pt idx="49">
                  <c:v>449.75644058045128</c:v>
                </c:pt>
                <c:pt idx="50">
                  <c:v>452.40561694290972</c:v>
                </c:pt>
                <c:pt idx="51">
                  <c:v>446.05522178192507</c:v>
                </c:pt>
                <c:pt idx="52">
                  <c:v>445.55913483663136</c:v>
                </c:pt>
                <c:pt idx="53">
                  <c:v>455.07185230643347</c:v>
                </c:pt>
                <c:pt idx="54">
                  <c:v>445.61854352050727</c:v>
                </c:pt>
                <c:pt idx="55">
                  <c:v>445.87680270021474</c:v>
                </c:pt>
                <c:pt idx="56">
                  <c:v>442.62305558750973</c:v>
                </c:pt>
                <c:pt idx="57">
                  <c:v>434.16710336277305</c:v>
                </c:pt>
                <c:pt idx="58">
                  <c:v>435.80527694371682</c:v>
                </c:pt>
                <c:pt idx="59">
                  <c:v>447.38858872667356</c:v>
                </c:pt>
                <c:pt idx="60">
                  <c:v>443.56151085109917</c:v>
                </c:pt>
                <c:pt idx="61">
                  <c:v>439.90904794144325</c:v>
                </c:pt>
                <c:pt idx="62">
                  <c:v>441.16783288216971</c:v>
                </c:pt>
                <c:pt idx="63">
                  <c:v>443.16893134450351</c:v>
                </c:pt>
                <c:pt idx="64">
                  <c:v>449.56096689384077</c:v>
                </c:pt>
                <c:pt idx="65">
                  <c:v>450.70873575830262</c:v>
                </c:pt>
                <c:pt idx="66">
                  <c:v>441.67889451724449</c:v>
                </c:pt>
                <c:pt idx="67">
                  <c:v>442.1224740055693</c:v>
                </c:pt>
                <c:pt idx="68">
                  <c:v>435.48189386587671</c:v>
                </c:pt>
                <c:pt idx="69">
                  <c:v>438.27360731526653</c:v>
                </c:pt>
                <c:pt idx="70">
                  <c:v>439.6618653590765</c:v>
                </c:pt>
                <c:pt idx="71">
                  <c:v>439.939479832995</c:v>
                </c:pt>
                <c:pt idx="72">
                  <c:v>442.05475081360476</c:v>
                </c:pt>
                <c:pt idx="73">
                  <c:v>445.59576233326948</c:v>
                </c:pt>
                <c:pt idx="74">
                  <c:v>453.63016497267483</c:v>
                </c:pt>
                <c:pt idx="75">
                  <c:v>460.57973606551099</c:v>
                </c:pt>
                <c:pt idx="76">
                  <c:v>469.15422250041519</c:v>
                </c:pt>
                <c:pt idx="77">
                  <c:v>471.58193390077446</c:v>
                </c:pt>
                <c:pt idx="78">
                  <c:v>472.60433309899662</c:v>
                </c:pt>
                <c:pt idx="79">
                  <c:v>477.16410459892222</c:v>
                </c:pt>
                <c:pt idx="80">
                  <c:v>482.00371295051531</c:v>
                </c:pt>
                <c:pt idx="81">
                  <c:v>481.94980941904788</c:v>
                </c:pt>
                <c:pt idx="82">
                  <c:v>486.34498101338653</c:v>
                </c:pt>
                <c:pt idx="83">
                  <c:v>479.02008443136754</c:v>
                </c:pt>
                <c:pt idx="84">
                  <c:v>488.42147025698779</c:v>
                </c:pt>
                <c:pt idx="85">
                  <c:v>507.61403778221472</c:v>
                </c:pt>
                <c:pt idx="86">
                  <c:v>509.68675192339697</c:v>
                </c:pt>
                <c:pt idx="87">
                  <c:v>506.41002662843096</c:v>
                </c:pt>
                <c:pt idx="88">
                  <c:v>512.39296518484343</c:v>
                </c:pt>
                <c:pt idx="89">
                  <c:v>518.57833147485928</c:v>
                </c:pt>
                <c:pt idx="90">
                  <c:v>521.55469781875536</c:v>
                </c:pt>
                <c:pt idx="91">
                  <c:v>513.64358566962221</c:v>
                </c:pt>
                <c:pt idx="92">
                  <c:v>511.97904659443117</c:v>
                </c:pt>
                <c:pt idx="93">
                  <c:v>506.50898939712135</c:v>
                </c:pt>
                <c:pt idx="94">
                  <c:v>502.91079451633965</c:v>
                </c:pt>
                <c:pt idx="95">
                  <c:v>512.00040965767982</c:v>
                </c:pt>
                <c:pt idx="96">
                  <c:v>506.7421770013438</c:v>
                </c:pt>
                <c:pt idx="97">
                  <c:v>498.69392245404424</c:v>
                </c:pt>
                <c:pt idx="98">
                  <c:v>494.79197309015569</c:v>
                </c:pt>
                <c:pt idx="99">
                  <c:v>502.30065860988555</c:v>
                </c:pt>
                <c:pt idx="100">
                  <c:v>508.65831338870902</c:v>
                </c:pt>
                <c:pt idx="101">
                  <c:v>501.90869988222641</c:v>
                </c:pt>
                <c:pt idx="102">
                  <c:v>503.93500140855889</c:v>
                </c:pt>
                <c:pt idx="103">
                  <c:v>508.93264036457663</c:v>
                </c:pt>
                <c:pt idx="104">
                  <c:v>498.1541454922492</c:v>
                </c:pt>
                <c:pt idx="105">
                  <c:v>492.8918084847553</c:v>
                </c:pt>
                <c:pt idx="106">
                  <c:v>497.46738197974418</c:v>
                </c:pt>
                <c:pt idx="107">
                  <c:v>498.38936829436915</c:v>
                </c:pt>
                <c:pt idx="108">
                  <c:v>492.70944034007249</c:v>
                </c:pt>
                <c:pt idx="109">
                  <c:v>493.3060931716002</c:v>
                </c:pt>
                <c:pt idx="110">
                  <c:v>505.42905833963329</c:v>
                </c:pt>
                <c:pt idx="111">
                  <c:v>499.29410558950514</c:v>
                </c:pt>
                <c:pt idx="112">
                  <c:v>498.29522894652575</c:v>
                </c:pt>
                <c:pt idx="113">
                  <c:v>502.63046679900106</c:v>
                </c:pt>
                <c:pt idx="114">
                  <c:v>501.03853196911297</c:v>
                </c:pt>
                <c:pt idx="115">
                  <c:v>488.40139844020132</c:v>
                </c:pt>
                <c:pt idx="116">
                  <c:v>495.27279713114757</c:v>
                </c:pt>
                <c:pt idx="117">
                  <c:v>503.3160979855121</c:v>
                </c:pt>
                <c:pt idx="118">
                  <c:v>502.98474973430473</c:v>
                </c:pt>
                <c:pt idx="119">
                  <c:v>496.74896645291761</c:v>
                </c:pt>
                <c:pt idx="120">
                  <c:v>490.60771358328213</c:v>
                </c:pt>
                <c:pt idx="121">
                  <c:v>488.04500883279144</c:v>
                </c:pt>
                <c:pt idx="122">
                  <c:v>478.66287704204427</c:v>
                </c:pt>
                <c:pt idx="123">
                  <c:v>486.6408791659195</c:v>
                </c:pt>
                <c:pt idx="124">
                  <c:v>491.87939492526226</c:v>
                </c:pt>
                <c:pt idx="125">
                  <c:v>487.5230580036893</c:v>
                </c:pt>
                <c:pt idx="126">
                  <c:v>482.23653875710846</c:v>
                </c:pt>
                <c:pt idx="127">
                  <c:v>476.57901141268843</c:v>
                </c:pt>
                <c:pt idx="128">
                  <c:v>481.774881243518</c:v>
                </c:pt>
                <c:pt idx="129">
                  <c:v>468.97863023520824</c:v>
                </c:pt>
                <c:pt idx="130">
                  <c:v>474.38613569699373</c:v>
                </c:pt>
                <c:pt idx="131">
                  <c:v>470.09206971175394</c:v>
                </c:pt>
                <c:pt idx="132">
                  <c:v>470.26151324214948</c:v>
                </c:pt>
                <c:pt idx="133">
                  <c:v>460.24415863906535</c:v>
                </c:pt>
                <c:pt idx="134">
                  <c:v>457.83823943842384</c:v>
                </c:pt>
                <c:pt idx="135">
                  <c:v>458.34848523649777</c:v>
                </c:pt>
                <c:pt idx="136">
                  <c:v>450.86520247785796</c:v>
                </c:pt>
                <c:pt idx="137">
                  <c:v>456.96492575524832</c:v>
                </c:pt>
                <c:pt idx="138">
                  <c:v>455.994471956697</c:v>
                </c:pt>
                <c:pt idx="139">
                  <c:v>454.05959365632447</c:v>
                </c:pt>
                <c:pt idx="140">
                  <c:v>444.71335944020029</c:v>
                </c:pt>
                <c:pt idx="141">
                  <c:v>444.7718875089808</c:v>
                </c:pt>
                <c:pt idx="142">
                  <c:v>451.90936602379975</c:v>
                </c:pt>
                <c:pt idx="143">
                  <c:v>452.00266851409947</c:v>
                </c:pt>
                <c:pt idx="144">
                  <c:v>455.85892914395635</c:v>
                </c:pt>
                <c:pt idx="145">
                  <c:v>454.08430456435792</c:v>
                </c:pt>
                <c:pt idx="146">
                  <c:v>456.68519921418573</c:v>
                </c:pt>
                <c:pt idx="147">
                  <c:v>455.16555441478442</c:v>
                </c:pt>
                <c:pt idx="148">
                  <c:v>456.42571311307199</c:v>
                </c:pt>
                <c:pt idx="149">
                  <c:v>460.02848235248837</c:v>
                </c:pt>
                <c:pt idx="150">
                  <c:v>463.64675217955141</c:v>
                </c:pt>
                <c:pt idx="151">
                  <c:v>459.27067282999485</c:v>
                </c:pt>
                <c:pt idx="152">
                  <c:v>457.39507550970654</c:v>
                </c:pt>
                <c:pt idx="153">
                  <c:v>456.15340216763934</c:v>
                </c:pt>
                <c:pt idx="154">
                  <c:v>454.71303589296252</c:v>
                </c:pt>
                <c:pt idx="155">
                  <c:v>456.5053425518542</c:v>
                </c:pt>
                <c:pt idx="156">
                  <c:v>464.18069246644706</c:v>
                </c:pt>
                <c:pt idx="157">
                  <c:v>456.44749830143451</c:v>
                </c:pt>
                <c:pt idx="158">
                  <c:v>458.73036229560751</c:v>
                </c:pt>
                <c:pt idx="159">
                  <c:v>464.38639016069664</c:v>
                </c:pt>
                <c:pt idx="160">
                  <c:v>458.58872105249657</c:v>
                </c:pt>
                <c:pt idx="161">
                  <c:v>450.62269934715965</c:v>
                </c:pt>
                <c:pt idx="162">
                  <c:v>450.86487873732835</c:v>
                </c:pt>
                <c:pt idx="163">
                  <c:v>439.37450291197371</c:v>
                </c:pt>
                <c:pt idx="164">
                  <c:v>434.83357917014041</c:v>
                </c:pt>
                <c:pt idx="165">
                  <c:v>427.19531119746574</c:v>
                </c:pt>
                <c:pt idx="166">
                  <c:v>425.29717253317943</c:v>
                </c:pt>
                <c:pt idx="167">
                  <c:v>430.08714596949886</c:v>
                </c:pt>
                <c:pt idx="168">
                  <c:v>428.01877235949576</c:v>
                </c:pt>
                <c:pt idx="169">
                  <c:v>432.6664699013179</c:v>
                </c:pt>
                <c:pt idx="170">
                  <c:v>443.54904929306412</c:v>
                </c:pt>
                <c:pt idx="171">
                  <c:v>448.46560439278477</c:v>
                </c:pt>
                <c:pt idx="172">
                  <c:v>450.47754756219678</c:v>
                </c:pt>
                <c:pt idx="173">
                  <c:v>469.39428189781398</c:v>
                </c:pt>
                <c:pt idx="174">
                  <c:v>471.76954203866654</c:v>
                </c:pt>
                <c:pt idx="175">
                  <c:v>493.75810906288132</c:v>
                </c:pt>
                <c:pt idx="176">
                  <c:v>509.7263109179961</c:v>
                </c:pt>
                <c:pt idx="177">
                  <c:v>520.13226798419987</c:v>
                </c:pt>
                <c:pt idx="178">
                  <c:v>552.38720135860126</c:v>
                </c:pt>
                <c:pt idx="179">
                  <c:v>541.18980753871131</c:v>
                </c:pt>
                <c:pt idx="180">
                  <c:v>552.53741724413305</c:v>
                </c:pt>
                <c:pt idx="181">
                  <c:v>571.93479436532664</c:v>
                </c:pt>
                <c:pt idx="182">
                  <c:v>514.95937262577752</c:v>
                </c:pt>
                <c:pt idx="183">
                  <c:v>496.70731079899161</c:v>
                </c:pt>
                <c:pt idx="184">
                  <c:v>516.42430637772168</c:v>
                </c:pt>
                <c:pt idx="185">
                  <c:v>521.66593734716469</c:v>
                </c:pt>
                <c:pt idx="186">
                  <c:v>502.41373536495837</c:v>
                </c:pt>
                <c:pt idx="187">
                  <c:v>506.83644041610876</c:v>
                </c:pt>
                <c:pt idx="188">
                  <c:v>495.23840164725561</c:v>
                </c:pt>
                <c:pt idx="189">
                  <c:v>509.16949675825873</c:v>
                </c:pt>
                <c:pt idx="190">
                  <c:v>502.95495495495499</c:v>
                </c:pt>
                <c:pt idx="191">
                  <c:v>504.61603777226003</c:v>
                </c:pt>
                <c:pt idx="192">
                  <c:v>504.46854775414624</c:v>
                </c:pt>
                <c:pt idx="193">
                  <c:v>498.78742630589812</c:v>
                </c:pt>
                <c:pt idx="194">
                  <c:v>495.52515411642065</c:v>
                </c:pt>
                <c:pt idx="195">
                  <c:v>497.49681471280934</c:v>
                </c:pt>
                <c:pt idx="196">
                  <c:v>490.7584219059629</c:v>
                </c:pt>
                <c:pt idx="197">
                  <c:v>483.74083129584352</c:v>
                </c:pt>
                <c:pt idx="198">
                  <c:v>484.40793113653035</c:v>
                </c:pt>
                <c:pt idx="199">
                  <c:v>490.93645872196993</c:v>
                </c:pt>
                <c:pt idx="200">
                  <c:v>489.24250022502537</c:v>
                </c:pt>
                <c:pt idx="201">
                  <c:v>498.04943322911436</c:v>
                </c:pt>
                <c:pt idx="202">
                  <c:v>488.46732795553669</c:v>
                </c:pt>
                <c:pt idx="203">
                  <c:v>500.88092696665342</c:v>
                </c:pt>
                <c:pt idx="204">
                  <c:v>491.55020204360022</c:v>
                </c:pt>
                <c:pt idx="205">
                  <c:v>482.39372306900765</c:v>
                </c:pt>
                <c:pt idx="206">
                  <c:v>470.52831935799168</c:v>
                </c:pt>
                <c:pt idx="207">
                  <c:v>470.84302960953471</c:v>
                </c:pt>
                <c:pt idx="208">
                  <c:v>460.14317661876976</c:v>
                </c:pt>
                <c:pt idx="209">
                  <c:v>461.1409551226032</c:v>
                </c:pt>
                <c:pt idx="210">
                  <c:v>464.28176902030805</c:v>
                </c:pt>
                <c:pt idx="211">
                  <c:v>465.79603268410506</c:v>
                </c:pt>
                <c:pt idx="212">
                  <c:v>467.65427657360181</c:v>
                </c:pt>
                <c:pt idx="213">
                  <c:v>465.80073231836576</c:v>
                </c:pt>
                <c:pt idx="214">
                  <c:v>455.87849818826612</c:v>
                </c:pt>
                <c:pt idx="215">
                  <c:v>454.87596510836198</c:v>
                </c:pt>
                <c:pt idx="216">
                  <c:v>454.20832155431629</c:v>
                </c:pt>
                <c:pt idx="217">
                  <c:v>461.46423569620583</c:v>
                </c:pt>
                <c:pt idx="218">
                  <c:v>455.0850724786676</c:v>
                </c:pt>
                <c:pt idx="219">
                  <c:v>458.60597805135063</c:v>
                </c:pt>
                <c:pt idx="220">
                  <c:v>465.41283814174642</c:v>
                </c:pt>
                <c:pt idx="221">
                  <c:v>466.80714918986985</c:v>
                </c:pt>
                <c:pt idx="222">
                  <c:v>462.59056574687838</c:v>
                </c:pt>
                <c:pt idx="223">
                  <c:v>469.3887254083088</c:v>
                </c:pt>
                <c:pt idx="224">
                  <c:v>483.04559653430346</c:v>
                </c:pt>
                <c:pt idx="225">
                  <c:v>478.00674024336905</c:v>
                </c:pt>
                <c:pt idx="226">
                  <c:v>478.79111408394544</c:v>
                </c:pt>
                <c:pt idx="227">
                  <c:v>483.29946235176084</c:v>
                </c:pt>
                <c:pt idx="228">
                  <c:v>475.19615157049878</c:v>
                </c:pt>
                <c:pt idx="229">
                  <c:v>475.30707000553048</c:v>
                </c:pt>
                <c:pt idx="230">
                  <c:v>472.21121687676867</c:v>
                </c:pt>
                <c:pt idx="231">
                  <c:v>478.09040827884468</c:v>
                </c:pt>
                <c:pt idx="232">
                  <c:v>474.71944816225675</c:v>
                </c:pt>
                <c:pt idx="233">
                  <c:v>472.76401312825794</c:v>
                </c:pt>
                <c:pt idx="234">
                  <c:v>478.6302250803858</c:v>
                </c:pt>
                <c:pt idx="235">
                  <c:v>482.88523661823189</c:v>
                </c:pt>
                <c:pt idx="236">
                  <c:v>483.37002562022843</c:v>
                </c:pt>
                <c:pt idx="237">
                  <c:v>483.8323584735499</c:v>
                </c:pt>
                <c:pt idx="238">
                  <c:v>486.84315568546151</c:v>
                </c:pt>
                <c:pt idx="239">
                  <c:v>474.553600164785</c:v>
                </c:pt>
                <c:pt idx="240">
                  <c:v>472.06398600948989</c:v>
                </c:pt>
                <c:pt idx="241">
                  <c:v>469.75276102804099</c:v>
                </c:pt>
                <c:pt idx="242">
                  <c:v>466.9388962483763</c:v>
                </c:pt>
                <c:pt idx="243">
                  <c:v>464.34477349004078</c:v>
                </c:pt>
                <c:pt idx="244">
                  <c:v>462.6245484115658</c:v>
                </c:pt>
                <c:pt idx="245">
                  <c:v>456.277545775779</c:v>
                </c:pt>
                <c:pt idx="246">
                  <c:v>457.56937577851119</c:v>
                </c:pt>
                <c:pt idx="247">
                  <c:v>461.96408846875084</c:v>
                </c:pt>
                <c:pt idx="248">
                  <c:v>462.98641255490202</c:v>
                </c:pt>
                <c:pt idx="249">
                  <c:v>466.32463045962993</c:v>
                </c:pt>
                <c:pt idx="250">
                  <c:v>467.57673044818284</c:v>
                </c:pt>
                <c:pt idx="251">
                  <c:v>465.78558676582026</c:v>
                </c:pt>
                <c:pt idx="252">
                  <c:v>460.97930662419236</c:v>
                </c:pt>
                <c:pt idx="253">
                  <c:v>458.6282163217092</c:v>
                </c:pt>
                <c:pt idx="254">
                  <c:v>460.98700765162016</c:v>
                </c:pt>
                <c:pt idx="255">
                  <c:v>464.89874019186067</c:v>
                </c:pt>
                <c:pt idx="256">
                  <c:v>462.73417136400406</c:v>
                </c:pt>
                <c:pt idx="257">
                  <c:v>458.88203061839926</c:v>
                </c:pt>
                <c:pt idx="258">
                  <c:v>463.94714199488885</c:v>
                </c:pt>
                <c:pt idx="259">
                  <c:v>459.86078290352407</c:v>
                </c:pt>
                <c:pt idx="260">
                  <c:v>465.62552174973996</c:v>
                </c:pt>
                <c:pt idx="261">
                  <c:v>466.95889918619872</c:v>
                </c:pt>
                <c:pt idx="262">
                  <c:v>469.09200626556765</c:v>
                </c:pt>
                <c:pt idx="263">
                  <c:v>463.98988667428165</c:v>
                </c:pt>
                <c:pt idx="264">
                  <c:v>475.15565426139648</c:v>
                </c:pt>
                <c:pt idx="265">
                  <c:v>471.00100151511259</c:v>
                </c:pt>
                <c:pt idx="266">
                  <c:v>484.16279129518767</c:v>
                </c:pt>
                <c:pt idx="267">
                  <c:v>491.8142645829314</c:v>
                </c:pt>
                <c:pt idx="268">
                  <c:v>492.05606274913202</c:v>
                </c:pt>
                <c:pt idx="269">
                  <c:v>489.08221133443925</c:v>
                </c:pt>
                <c:pt idx="270">
                  <c:v>497.08475448870581</c:v>
                </c:pt>
                <c:pt idx="271">
                  <c:v>496.31120657500418</c:v>
                </c:pt>
                <c:pt idx="272">
                  <c:v>490.40611291920192</c:v>
                </c:pt>
                <c:pt idx="273">
                  <c:v>498.72136250787895</c:v>
                </c:pt>
                <c:pt idx="274">
                  <c:v>499.02923856301595</c:v>
                </c:pt>
                <c:pt idx="275">
                  <c:v>488.83303549618813</c:v>
                </c:pt>
                <c:pt idx="276">
                  <c:v>489.53682748688414</c:v>
                </c:pt>
                <c:pt idx="277">
                  <c:v>488.66742157140288</c:v>
                </c:pt>
                <c:pt idx="278">
                  <c:v>495.000450409873</c:v>
                </c:pt>
                <c:pt idx="279">
                  <c:v>501.96348383278223</c:v>
                </c:pt>
                <c:pt idx="280">
                  <c:v>504.12092508461927</c:v>
                </c:pt>
                <c:pt idx="281">
                  <c:v>498.22614695432782</c:v>
                </c:pt>
                <c:pt idx="282">
                  <c:v>499.78636878410373</c:v>
                </c:pt>
                <c:pt idx="283">
                  <c:v>498.1181861476876</c:v>
                </c:pt>
                <c:pt idx="284">
                  <c:v>497.76625448743516</c:v>
                </c:pt>
                <c:pt idx="285">
                  <c:v>502.57950802799502</c:v>
                </c:pt>
                <c:pt idx="286">
                  <c:v>507.84349057210892</c:v>
                </c:pt>
                <c:pt idx="287">
                  <c:v>518.06644270250092</c:v>
                </c:pt>
                <c:pt idx="288">
                  <c:v>517.16447681676038</c:v>
                </c:pt>
                <c:pt idx="289">
                  <c:v>509.0626045338754</c:v>
                </c:pt>
                <c:pt idx="290">
                  <c:v>502.90610165566744</c:v>
                </c:pt>
                <c:pt idx="291">
                  <c:v>502.17642972910392</c:v>
                </c:pt>
                <c:pt idx="292">
                  <c:v>494.81780647484788</c:v>
                </c:pt>
                <c:pt idx="293">
                  <c:v>495.06564987590178</c:v>
                </c:pt>
                <c:pt idx="294">
                  <c:v>498.42066003035211</c:v>
                </c:pt>
                <c:pt idx="295">
                  <c:v>495.11944251587852</c:v>
                </c:pt>
                <c:pt idx="296">
                  <c:v>489.80874527647103</c:v>
                </c:pt>
                <c:pt idx="297">
                  <c:v>492.47901913660371</c:v>
                </c:pt>
                <c:pt idx="298">
                  <c:v>496.26707444006115</c:v>
                </c:pt>
                <c:pt idx="299">
                  <c:v>498.05605554127027</c:v>
                </c:pt>
                <c:pt idx="300">
                  <c:v>446.62186518358305</c:v>
                </c:pt>
                <c:pt idx="301">
                  <c:v>454.30071549904773</c:v>
                </c:pt>
                <c:pt idx="302">
                  <c:v>462.99865993196579</c:v>
                </c:pt>
                <c:pt idx="303">
                  <c:v>469.6079189544505</c:v>
                </c:pt>
                <c:pt idx="304">
                  <c:v>475.14122836433052</c:v>
                </c:pt>
                <c:pt idx="305">
                  <c:v>480.2632766467683</c:v>
                </c:pt>
                <c:pt idx="306">
                  <c:v>480.2846314486813</c:v>
                </c:pt>
                <c:pt idx="307">
                  <c:v>477.70506164410034</c:v>
                </c:pt>
                <c:pt idx="308">
                  <c:v>484.14714254433983</c:v>
                </c:pt>
                <c:pt idx="309">
                  <c:v>489.0488650571661</c:v>
                </c:pt>
                <c:pt idx="310">
                  <c:v>486.26435226350173</c:v>
                </c:pt>
                <c:pt idx="311">
                  <c:v>485.31731711089344</c:v>
                </c:pt>
                <c:pt idx="312">
                  <c:v>484.79774151133114</c:v>
                </c:pt>
                <c:pt idx="313">
                  <c:v>485.89219642373689</c:v>
                </c:pt>
                <c:pt idx="314">
                  <c:v>484.07377334415963</c:v>
                </c:pt>
                <c:pt idx="315">
                  <c:v>486.15709938624991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17-4E81-9466-786F14F32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219128"/>
        <c:axId val="652223288"/>
      </c:lineChart>
      <c:dateAx>
        <c:axId val="652219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23288"/>
        <c:crosses val="autoZero"/>
        <c:auto val="1"/>
        <c:lblOffset val="100"/>
        <c:baseTimeUnit val="days"/>
      </c:dateAx>
      <c:valAx>
        <c:axId val="652223288"/>
        <c:scaling>
          <c:orientation val="minMax"/>
          <c:max val="600"/>
          <c:min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Single Linear Regression Scatter Plot</a:t>
            </a:r>
            <a:r>
              <a:rPr lang="en-GB" baseline="0"/>
              <a:t> with Regression Line</a:t>
            </a:r>
            <a:endParaRPr lang="en-GB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28575">
              <a:noFill/>
            </a:ln>
          </c:spPr>
          <c:trendline>
            <c:spPr>
              <a:ln w="2857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'Portfolio Beta'!$H$3:$H$317</c:f>
              <c:numCache>
                <c:formatCode>#,##0.000000000</c:formatCode>
                <c:ptCount val="315"/>
                <c:pt idx="0">
                  <c:v>-8.0163109367190621E-3</c:v>
                </c:pt>
                <c:pt idx="1">
                  <c:v>-3.4284062480738342E-3</c:v>
                </c:pt>
                <c:pt idx="2">
                  <c:v>1.8256737503945519E-3</c:v>
                </c:pt>
                <c:pt idx="3">
                  <c:v>1.4114671594383177E-2</c:v>
                </c:pt>
                <c:pt idx="4">
                  <c:v>-1.4778924917183689E-3</c:v>
                </c:pt>
                <c:pt idx="5">
                  <c:v>5.6659308314936929E-3</c:v>
                </c:pt>
                <c:pt idx="6">
                  <c:v>-6.7106377196379796E-4</c:v>
                </c:pt>
                <c:pt idx="7">
                  <c:v>7.5100831757413111E-4</c:v>
                </c:pt>
                <c:pt idx="8">
                  <c:v>-3.7313198838587747E-3</c:v>
                </c:pt>
                <c:pt idx="9">
                  <c:v>-5.6168930629166836E-3</c:v>
                </c:pt>
                <c:pt idx="10">
                  <c:v>8.8052650125229892E-3</c:v>
                </c:pt>
                <c:pt idx="11">
                  <c:v>1.2313478102632613E-2</c:v>
                </c:pt>
                <c:pt idx="12">
                  <c:v>2.194301015948863E-3</c:v>
                </c:pt>
                <c:pt idx="13">
                  <c:v>2.9213904746590025E-3</c:v>
                </c:pt>
                <c:pt idx="14">
                  <c:v>8.1198865271558951E-4</c:v>
                </c:pt>
                <c:pt idx="15">
                  <c:v>5.2602931057501578E-3</c:v>
                </c:pt>
                <c:pt idx="16">
                  <c:v>-6.517972440622799E-4</c:v>
                </c:pt>
                <c:pt idx="17">
                  <c:v>7.5567832147815928E-3</c:v>
                </c:pt>
                <c:pt idx="18">
                  <c:v>-6.0065788272156695E-4</c:v>
                </c:pt>
                <c:pt idx="19">
                  <c:v>-1.6105681862021659E-2</c:v>
                </c:pt>
                <c:pt idx="20">
                  <c:v>1.2493679898465615E-2</c:v>
                </c:pt>
                <c:pt idx="21">
                  <c:v>1.0684461873673889E-2</c:v>
                </c:pt>
                <c:pt idx="22">
                  <c:v>-3.18637682737688E-3</c:v>
                </c:pt>
                <c:pt idx="23">
                  <c:v>2.310426660138587E-3</c:v>
                </c:pt>
                <c:pt idx="24">
                  <c:v>8.2414421615468747E-3</c:v>
                </c:pt>
                <c:pt idx="25">
                  <c:v>5.7056371695218822E-4</c:v>
                </c:pt>
                <c:pt idx="26">
                  <c:v>5.7424003233350618E-3</c:v>
                </c:pt>
                <c:pt idx="27">
                  <c:v>-5.1704826911178614E-3</c:v>
                </c:pt>
                <c:pt idx="28">
                  <c:v>5.8212781615079034E-3</c:v>
                </c:pt>
                <c:pt idx="29">
                  <c:v>-4.8034387531735723E-3</c:v>
                </c:pt>
                <c:pt idx="30">
                  <c:v>-6.0053100845657292E-3</c:v>
                </c:pt>
                <c:pt idx="31">
                  <c:v>1.2641920124771833E-3</c:v>
                </c:pt>
                <c:pt idx="32">
                  <c:v>2.1122887309807714E-2</c:v>
                </c:pt>
                <c:pt idx="33">
                  <c:v>3.4794369209545373E-4</c:v>
                </c:pt>
                <c:pt idx="34">
                  <c:v>-3.7867473667663187E-3</c:v>
                </c:pt>
                <c:pt idx="35">
                  <c:v>1.7062725735916828E-3</c:v>
                </c:pt>
                <c:pt idx="36">
                  <c:v>-1.6580743494716277E-3</c:v>
                </c:pt>
                <c:pt idx="37">
                  <c:v>5.229044372909275E-3</c:v>
                </c:pt>
                <c:pt idx="38">
                  <c:v>8.0078174821975878E-3</c:v>
                </c:pt>
                <c:pt idx="39">
                  <c:v>-1.1932849011501157E-3</c:v>
                </c:pt>
                <c:pt idx="40">
                  <c:v>-1.0193044173106403E-2</c:v>
                </c:pt>
                <c:pt idx="41">
                  <c:v>5.1411300247115044E-3</c:v>
                </c:pt>
                <c:pt idx="42">
                  <c:v>1.0304108322428451E-2</c:v>
                </c:pt>
                <c:pt idx="43">
                  <c:v>-6.5285339786247398E-3</c:v>
                </c:pt>
                <c:pt idx="44">
                  <c:v>-1.1222380745127269E-3</c:v>
                </c:pt>
                <c:pt idx="45">
                  <c:v>1.1201772588189884E-2</c:v>
                </c:pt>
                <c:pt idx="46">
                  <c:v>-1.9245372705192221E-3</c:v>
                </c:pt>
                <c:pt idx="47">
                  <c:v>-2.871076469757039E-3</c:v>
                </c:pt>
                <c:pt idx="48">
                  <c:v>-6.4828909150214109E-3</c:v>
                </c:pt>
                <c:pt idx="49">
                  <c:v>6.3180440445644859E-3</c:v>
                </c:pt>
                <c:pt idx="50">
                  <c:v>5.6491799076401339E-3</c:v>
                </c:pt>
                <c:pt idx="51">
                  <c:v>8.9041056211149883E-3</c:v>
                </c:pt>
                <c:pt idx="52">
                  <c:v>3.2365990253835353E-3</c:v>
                </c:pt>
                <c:pt idx="53">
                  <c:v>-1.4022623165372838E-3</c:v>
                </c:pt>
                <c:pt idx="54">
                  <c:v>-3.0549197773100945E-3</c:v>
                </c:pt>
                <c:pt idx="55">
                  <c:v>-2.7998213940082506E-3</c:v>
                </c:pt>
                <c:pt idx="56">
                  <c:v>8.6305966277062662E-3</c:v>
                </c:pt>
                <c:pt idx="57">
                  <c:v>1.1165116061955249E-3</c:v>
                </c:pt>
                <c:pt idx="58">
                  <c:v>-9.2380598932313429E-3</c:v>
                </c:pt>
                <c:pt idx="59">
                  <c:v>1.0910886106099138E-3</c:v>
                </c:pt>
                <c:pt idx="60">
                  <c:v>-1.3719684773452201E-3</c:v>
                </c:pt>
                <c:pt idx="61">
                  <c:v>-3.7468728023148934E-4</c:v>
                </c:pt>
                <c:pt idx="62">
                  <c:v>1.4454894769517779E-3</c:v>
                </c:pt>
                <c:pt idx="63">
                  <c:v>-9.4569771838668437E-3</c:v>
                </c:pt>
                <c:pt idx="64">
                  <c:v>7.4448130464439544E-3</c:v>
                </c:pt>
                <c:pt idx="65">
                  <c:v>-1.4550707243232486E-2</c:v>
                </c:pt>
                <c:pt idx="66">
                  <c:v>-1.2021290507689297E-2</c:v>
                </c:pt>
                <c:pt idx="67">
                  <c:v>-2.056572537150636E-3</c:v>
                </c:pt>
                <c:pt idx="68">
                  <c:v>-5.780564238499708E-3</c:v>
                </c:pt>
                <c:pt idx="69">
                  <c:v>-2.2081912146246774E-3</c:v>
                </c:pt>
                <c:pt idx="70">
                  <c:v>-8.7585210491867294E-3</c:v>
                </c:pt>
                <c:pt idx="71">
                  <c:v>8.7312244450128418E-3</c:v>
                </c:pt>
                <c:pt idx="72">
                  <c:v>1.1964634973855359E-2</c:v>
                </c:pt>
                <c:pt idx="73">
                  <c:v>2.129946455513565E-4</c:v>
                </c:pt>
                <c:pt idx="74">
                  <c:v>-4.5764379499293462E-3</c:v>
                </c:pt>
                <c:pt idx="75">
                  <c:v>1.0209134739185721E-2</c:v>
                </c:pt>
                <c:pt idx="76">
                  <c:v>3.178456301617949E-3</c:v>
                </c:pt>
                <c:pt idx="77">
                  <c:v>-1.5730517164206925E-2</c:v>
                </c:pt>
                <c:pt idx="78">
                  <c:v>5.6615875877983335E-3</c:v>
                </c:pt>
                <c:pt idx="79">
                  <c:v>1.2556771059594851E-2</c:v>
                </c:pt>
                <c:pt idx="80">
                  <c:v>1.0326085896653403E-2</c:v>
                </c:pt>
                <c:pt idx="81">
                  <c:v>1.3434374239973401E-3</c:v>
                </c:pt>
                <c:pt idx="82">
                  <c:v>-5.7829095745365322E-6</c:v>
                </c:pt>
                <c:pt idx="83">
                  <c:v>5.0909175024624886E-3</c:v>
                </c:pt>
                <c:pt idx="84">
                  <c:v>1.6493801399288799E-3</c:v>
                </c:pt>
                <c:pt idx="85">
                  <c:v>-2.4125544739483917E-4</c:v>
                </c:pt>
                <c:pt idx="86">
                  <c:v>4.8377644395585229E-3</c:v>
                </c:pt>
                <c:pt idx="87">
                  <c:v>9.6098866330709409E-3</c:v>
                </c:pt>
                <c:pt idx="88">
                  <c:v>1.1647882803798026E-3</c:v>
                </c:pt>
                <c:pt idx="89">
                  <c:v>9.1641572086653689E-4</c:v>
                </c:pt>
                <c:pt idx="90">
                  <c:v>2.5018226757822504E-3</c:v>
                </c:pt>
                <c:pt idx="91">
                  <c:v>-2.7060497123881921E-3</c:v>
                </c:pt>
                <c:pt idx="92">
                  <c:v>-7.3808038801509435E-3</c:v>
                </c:pt>
                <c:pt idx="93">
                  <c:v>7.0009719353663069E-3</c:v>
                </c:pt>
                <c:pt idx="94">
                  <c:v>2.4883499977379486E-4</c:v>
                </c:pt>
                <c:pt idx="95">
                  <c:v>-7.3670760114887823E-3</c:v>
                </c:pt>
                <c:pt idx="96">
                  <c:v>-5.9749950160910004E-3</c:v>
                </c:pt>
                <c:pt idx="97">
                  <c:v>8.0279172110295782E-3</c:v>
                </c:pt>
                <c:pt idx="98">
                  <c:v>1.116056625188655E-3</c:v>
                </c:pt>
                <c:pt idx="99">
                  <c:v>1.5028201536890773E-3</c:v>
                </c:pt>
                <c:pt idx="100">
                  <c:v>1.1847660516995706E-2</c:v>
                </c:pt>
                <c:pt idx="101">
                  <c:v>-1.9984945919238051E-4</c:v>
                </c:pt>
                <c:pt idx="102">
                  <c:v>-1.1152708034434244E-3</c:v>
                </c:pt>
                <c:pt idx="103">
                  <c:v>5.2983080200261767E-3</c:v>
                </c:pt>
                <c:pt idx="104">
                  <c:v>8.503679780924589E-3</c:v>
                </c:pt>
                <c:pt idx="105">
                  <c:v>2.3445728948188194E-3</c:v>
                </c:pt>
                <c:pt idx="106">
                  <c:v>-3.9383555341243603E-4</c:v>
                </c:pt>
                <c:pt idx="107">
                  <c:v>7.6644082774870448E-3</c:v>
                </c:pt>
                <c:pt idx="108">
                  <c:v>2.5213630708009749E-3</c:v>
                </c:pt>
                <c:pt idx="109">
                  <c:v>-2.5259566650810417E-3</c:v>
                </c:pt>
                <c:pt idx="110">
                  <c:v>-1.5621659842468549E-3</c:v>
                </c:pt>
                <c:pt idx="111">
                  <c:v>-3.0651719607218686E-3</c:v>
                </c:pt>
                <c:pt idx="112">
                  <c:v>3.9336474622191364E-3</c:v>
                </c:pt>
                <c:pt idx="113">
                  <c:v>1.5724132887204867E-3</c:v>
                </c:pt>
                <c:pt idx="114">
                  <c:v>9.0728198762302092E-4</c:v>
                </c:pt>
                <c:pt idx="115">
                  <c:v>-4.0836277351096184E-3</c:v>
                </c:pt>
                <c:pt idx="116">
                  <c:v>8.8874970698546996E-3</c:v>
                </c:pt>
                <c:pt idx="117">
                  <c:v>5.0843981041965858E-3</c:v>
                </c:pt>
                <c:pt idx="118">
                  <c:v>5.4487793072806046E-3</c:v>
                </c:pt>
                <c:pt idx="119">
                  <c:v>1.0166708878267539E-3</c:v>
                </c:pt>
                <c:pt idx="120">
                  <c:v>7.410929775606423E-4</c:v>
                </c:pt>
                <c:pt idx="121">
                  <c:v>1.0208033738690059E-2</c:v>
                </c:pt>
                <c:pt idx="122">
                  <c:v>-8.763008283767415E-3</c:v>
                </c:pt>
                <c:pt idx="123">
                  <c:v>5.5170166208855509E-3</c:v>
                </c:pt>
                <c:pt idx="124">
                  <c:v>2.826181805230199E-3</c:v>
                </c:pt>
                <c:pt idx="125">
                  <c:v>6.3893792108991043E-3</c:v>
                </c:pt>
                <c:pt idx="126">
                  <c:v>-1.3927512704686507E-2</c:v>
                </c:pt>
                <c:pt idx="127">
                  <c:v>-7.8163725088444824E-3</c:v>
                </c:pt>
                <c:pt idx="128">
                  <c:v>-7.1402935113327182E-3</c:v>
                </c:pt>
                <c:pt idx="129">
                  <c:v>1.0792007266121617E-2</c:v>
                </c:pt>
                <c:pt idx="130">
                  <c:v>-1.558116673645582E-3</c:v>
                </c:pt>
                <c:pt idx="131">
                  <c:v>-2.3149031452155744E-2</c:v>
                </c:pt>
                <c:pt idx="132">
                  <c:v>-5.1426813066942634E-3</c:v>
                </c:pt>
                <c:pt idx="133">
                  <c:v>1.1090490848678192E-2</c:v>
                </c:pt>
                <c:pt idx="134">
                  <c:v>8.1332087706753597E-4</c:v>
                </c:pt>
                <c:pt idx="135">
                  <c:v>-4.9601540393225951E-3</c:v>
                </c:pt>
                <c:pt idx="136">
                  <c:v>1.579342363752767E-2</c:v>
                </c:pt>
                <c:pt idx="137">
                  <c:v>-1.3693569708273734E-2</c:v>
                </c:pt>
                <c:pt idx="138">
                  <c:v>-1.8381839946536194E-2</c:v>
                </c:pt>
                <c:pt idx="139">
                  <c:v>-2.9968802370122227E-2</c:v>
                </c:pt>
                <c:pt idx="140">
                  <c:v>1.0354142524675369E-2</c:v>
                </c:pt>
                <c:pt idx="141">
                  <c:v>-7.7346885418594358E-3</c:v>
                </c:pt>
                <c:pt idx="142">
                  <c:v>2.3042600250024137E-2</c:v>
                </c:pt>
                <c:pt idx="143">
                  <c:v>4.6716585421793244E-3</c:v>
                </c:pt>
                <c:pt idx="144">
                  <c:v>4.3037633603804082E-5</c:v>
                </c:pt>
                <c:pt idx="145">
                  <c:v>1.6847572875482442E-2</c:v>
                </c:pt>
                <c:pt idx="146">
                  <c:v>3.8237680860733203E-3</c:v>
                </c:pt>
                <c:pt idx="147">
                  <c:v>1.6133201104998829E-2</c:v>
                </c:pt>
                <c:pt idx="148">
                  <c:v>1.9898181923141411E-3</c:v>
                </c:pt>
                <c:pt idx="149">
                  <c:v>9.7222847369131671E-3</c:v>
                </c:pt>
                <c:pt idx="150">
                  <c:v>-1.9845762938528466E-3</c:v>
                </c:pt>
                <c:pt idx="151">
                  <c:v>4.2396804070665706E-3</c:v>
                </c:pt>
                <c:pt idx="152">
                  <c:v>-8.9328126528905871E-3</c:v>
                </c:pt>
                <c:pt idx="153">
                  <c:v>1.1483420217425433E-2</c:v>
                </c:pt>
                <c:pt idx="154">
                  <c:v>-3.1537231503155905E-3</c:v>
                </c:pt>
                <c:pt idx="155">
                  <c:v>1.5952029967027936E-3</c:v>
                </c:pt>
                <c:pt idx="156">
                  <c:v>-5.9760389633474187E-3</c:v>
                </c:pt>
                <c:pt idx="157">
                  <c:v>-3.9340650694441592E-5</c:v>
                </c:pt>
                <c:pt idx="158">
                  <c:v>1.0093062182132906E-2</c:v>
                </c:pt>
                <c:pt idx="159">
                  <c:v>-2.1151122441753323E-2</c:v>
                </c:pt>
                <c:pt idx="160">
                  <c:v>-1.6024800458679378E-3</c:v>
                </c:pt>
                <c:pt idx="161">
                  <c:v>-3.0180776693048417E-3</c:v>
                </c:pt>
                <c:pt idx="162">
                  <c:v>-1.726020776209658E-2</c:v>
                </c:pt>
                <c:pt idx="163">
                  <c:v>1.1580091782812829E-2</c:v>
                </c:pt>
                <c:pt idx="164">
                  <c:v>4.4726332239699573E-3</c:v>
                </c:pt>
                <c:pt idx="165">
                  <c:v>1.0665050805019227E-2</c:v>
                </c:pt>
                <c:pt idx="166">
                  <c:v>7.4953232999588337E-3</c:v>
                </c:pt>
                <c:pt idx="167">
                  <c:v>5.4076658041088965E-3</c:v>
                </c:pt>
                <c:pt idx="168">
                  <c:v>1.2566610143582846E-3</c:v>
                </c:pt>
                <c:pt idx="169">
                  <c:v>2.6450846693371055E-4</c:v>
                </c:pt>
                <c:pt idx="170">
                  <c:v>1.4031214393974478E-2</c:v>
                </c:pt>
                <c:pt idx="171">
                  <c:v>-1.9409693295342478E-3</c:v>
                </c:pt>
                <c:pt idx="172">
                  <c:v>2.8092695373120868E-3</c:v>
                </c:pt>
                <c:pt idx="173">
                  <c:v>2.5111172898120149E-3</c:v>
                </c:pt>
                <c:pt idx="174">
                  <c:v>-1.8611774432969463E-3</c:v>
                </c:pt>
                <c:pt idx="175">
                  <c:v>4.0386141140038578E-3</c:v>
                </c:pt>
                <c:pt idx="176">
                  <c:v>-1.2531829977877607E-3</c:v>
                </c:pt>
                <c:pt idx="177">
                  <c:v>4.2365423122701085E-3</c:v>
                </c:pt>
                <c:pt idx="178">
                  <c:v>-9.1870167011425252E-3</c:v>
                </c:pt>
                <c:pt idx="179">
                  <c:v>-1.681396399709989E-3</c:v>
                </c:pt>
                <c:pt idx="180">
                  <c:v>8.9702698624898325E-3</c:v>
                </c:pt>
                <c:pt idx="181">
                  <c:v>-9.5860422495291919E-3</c:v>
                </c:pt>
                <c:pt idx="182">
                  <c:v>9.68935768284096E-3</c:v>
                </c:pt>
                <c:pt idx="183">
                  <c:v>7.1133846739683815E-3</c:v>
                </c:pt>
                <c:pt idx="184">
                  <c:v>-2.0700823889336917E-3</c:v>
                </c:pt>
                <c:pt idx="185">
                  <c:v>1.3806108943694273E-2</c:v>
                </c:pt>
                <c:pt idx="186">
                  <c:v>-7.6094097971791674E-3</c:v>
                </c:pt>
                <c:pt idx="187">
                  <c:v>4.6790685197222182E-3</c:v>
                </c:pt>
                <c:pt idx="188">
                  <c:v>-1.7116048520571248E-4</c:v>
                </c:pt>
                <c:pt idx="189">
                  <c:v>3.9716030382763723E-3</c:v>
                </c:pt>
                <c:pt idx="190">
                  <c:v>-1.8227794573267841E-3</c:v>
                </c:pt>
                <c:pt idx="191">
                  <c:v>-4.7489058725858069E-4</c:v>
                </c:pt>
                <c:pt idx="192">
                  <c:v>-9.1912770030079249E-3</c:v>
                </c:pt>
                <c:pt idx="193">
                  <c:v>2.1457820892740731E-3</c:v>
                </c:pt>
                <c:pt idx="194">
                  <c:v>-2.994908655286066E-4</c:v>
                </c:pt>
                <c:pt idx="195">
                  <c:v>2.6514603692762151E-3</c:v>
                </c:pt>
                <c:pt idx="196">
                  <c:v>1.6141440228589765E-3</c:v>
                </c:pt>
                <c:pt idx="197">
                  <c:v>-3.3002338451409985E-3</c:v>
                </c:pt>
                <c:pt idx="198">
                  <c:v>-1.8614747655095742E-2</c:v>
                </c:pt>
                <c:pt idx="199">
                  <c:v>4.0925781489629109E-3</c:v>
                </c:pt>
                <c:pt idx="200">
                  <c:v>-2.8121072475911779E-3</c:v>
                </c:pt>
                <c:pt idx="201">
                  <c:v>1.2265675189796932E-2</c:v>
                </c:pt>
                <c:pt idx="202">
                  <c:v>2.5295879476236127E-2</c:v>
                </c:pt>
                <c:pt idx="203">
                  <c:v>7.4312198939459062E-3</c:v>
                </c:pt>
                <c:pt idx="204">
                  <c:v>3.7568431802581514E-3</c:v>
                </c:pt>
                <c:pt idx="205">
                  <c:v>9.6905366322297404E-4</c:v>
                </c:pt>
                <c:pt idx="206">
                  <c:v>-2.8926824797754769E-3</c:v>
                </c:pt>
                <c:pt idx="207">
                  <c:v>2.3228648443596178E-4</c:v>
                </c:pt>
                <c:pt idx="208">
                  <c:v>-6.0497412027306074E-3</c:v>
                </c:pt>
                <c:pt idx="209">
                  <c:v>-1.3203522508181798E-2</c:v>
                </c:pt>
                <c:pt idx="210">
                  <c:v>3.9178144727474162E-3</c:v>
                </c:pt>
                <c:pt idx="211">
                  <c:v>3.9636081050355987E-3</c:v>
                </c:pt>
                <c:pt idx="212">
                  <c:v>2.1970667468895755E-5</c:v>
                </c:pt>
                <c:pt idx="213">
                  <c:v>5.3404449131417842E-3</c:v>
                </c:pt>
                <c:pt idx="214">
                  <c:v>3.4679787718681077E-3</c:v>
                </c:pt>
                <c:pt idx="215">
                  <c:v>3.0204344198856425E-3</c:v>
                </c:pt>
                <c:pt idx="216">
                  <c:v>5.722044904524104E-3</c:v>
                </c:pt>
                <c:pt idx="217">
                  <c:v>-3.8012963267421984E-3</c:v>
                </c:pt>
                <c:pt idx="218">
                  <c:v>5.6078443139726541E-3</c:v>
                </c:pt>
                <c:pt idx="219">
                  <c:v>2.4484531809998433E-3</c:v>
                </c:pt>
                <c:pt idx="220">
                  <c:v>4.5145233705135013E-4</c:v>
                </c:pt>
                <c:pt idx="221">
                  <c:v>6.0513596963907013E-3</c:v>
                </c:pt>
                <c:pt idx="222">
                  <c:v>-1.8697147288503357E-3</c:v>
                </c:pt>
                <c:pt idx="223">
                  <c:v>2.4954280663231909E-3</c:v>
                </c:pt>
                <c:pt idx="224">
                  <c:v>-6.1442267748391677E-3</c:v>
                </c:pt>
                <c:pt idx="225">
                  <c:v>-2.9638930421207466E-3</c:v>
                </c:pt>
                <c:pt idx="226">
                  <c:v>8.1658218598121834E-3</c:v>
                </c:pt>
                <c:pt idx="227">
                  <c:v>-5.4140321061636465E-3</c:v>
                </c:pt>
                <c:pt idx="228">
                  <c:v>-2.6440818012729572E-5</c:v>
                </c:pt>
                <c:pt idx="229">
                  <c:v>3.7993154952247199E-3</c:v>
                </c:pt>
                <c:pt idx="230">
                  <c:v>-3.8639596449174807E-3</c:v>
                </c:pt>
                <c:pt idx="231">
                  <c:v>-2.9492894104891865E-2</c:v>
                </c:pt>
                <c:pt idx="232">
                  <c:v>-8.6509904362275236E-4</c:v>
                </c:pt>
                <c:pt idx="233">
                  <c:v>1.0869120584686254E-2</c:v>
                </c:pt>
                <c:pt idx="234">
                  <c:v>7.2873196927927264E-3</c:v>
                </c:pt>
                <c:pt idx="235">
                  <c:v>1.1042722967758989E-2</c:v>
                </c:pt>
                <c:pt idx="236">
                  <c:v>-4.0562645280495246E-4</c:v>
                </c:pt>
                <c:pt idx="237">
                  <c:v>-1.1055735815118317E-2</c:v>
                </c:pt>
                <c:pt idx="238">
                  <c:v>-1.0702011777237508E-2</c:v>
                </c:pt>
                <c:pt idx="239">
                  <c:v>-4.2847904329482711E-3</c:v>
                </c:pt>
                <c:pt idx="240">
                  <c:v>-2.2238733140302891E-3</c:v>
                </c:pt>
                <c:pt idx="241">
                  <c:v>1.2595956411720177E-2</c:v>
                </c:pt>
                <c:pt idx="242">
                  <c:v>5.5381011599553442E-3</c:v>
                </c:pt>
                <c:pt idx="243">
                  <c:v>-1.1103896321238205E-2</c:v>
                </c:pt>
                <c:pt idx="244">
                  <c:v>1.5603237756451893E-3</c:v>
                </c:pt>
                <c:pt idx="245">
                  <c:v>-1.5411650403413191E-2</c:v>
                </c:pt>
                <c:pt idx="246">
                  <c:v>1.5754139322881056E-3</c:v>
                </c:pt>
                <c:pt idx="247">
                  <c:v>1.146289893115604E-3</c:v>
                </c:pt>
                <c:pt idx="248">
                  <c:v>1.8312792769356268E-2</c:v>
                </c:pt>
                <c:pt idx="249">
                  <c:v>-2.112636997870454E-3</c:v>
                </c:pt>
                <c:pt idx="250">
                  <c:v>9.9910060734267336E-3</c:v>
                </c:pt>
                <c:pt idx="251">
                  <c:v>8.7682143059637507E-3</c:v>
                </c:pt>
                <c:pt idx="252">
                  <c:v>6.1379611323075789E-3</c:v>
                </c:pt>
                <c:pt idx="253">
                  <c:v>5.31351199483443E-3</c:v>
                </c:pt>
                <c:pt idx="254">
                  <c:v>-2.8551769899211044E-3</c:v>
                </c:pt>
                <c:pt idx="255">
                  <c:v>-1.45806426234667E-2</c:v>
                </c:pt>
                <c:pt idx="256">
                  <c:v>-2.945637927707967E-3</c:v>
                </c:pt>
                <c:pt idx="257">
                  <c:v>7.2248718423506553E-3</c:v>
                </c:pt>
                <c:pt idx="258">
                  <c:v>3.9086566808217427E-3</c:v>
                </c:pt>
                <c:pt idx="259">
                  <c:v>3.64432448840879E-3</c:v>
                </c:pt>
                <c:pt idx="260">
                  <c:v>-9.464837258386094E-3</c:v>
                </c:pt>
                <c:pt idx="261">
                  <c:v>6.712589964470439E-3</c:v>
                </c:pt>
                <c:pt idx="262">
                  <c:v>3.3957312690802155E-4</c:v>
                </c:pt>
                <c:pt idx="263">
                  <c:v>-2.7239021174919609E-3</c:v>
                </c:pt>
                <c:pt idx="264">
                  <c:v>1.0426357037460532E-2</c:v>
                </c:pt>
                <c:pt idx="265">
                  <c:v>-7.195338728738232E-5</c:v>
                </c:pt>
                <c:pt idx="266">
                  <c:v>2.4449557863681637E-3</c:v>
                </c:pt>
                <c:pt idx="267">
                  <c:v>2.3769980977488281E-3</c:v>
                </c:pt>
                <c:pt idx="268">
                  <c:v>-4.3342040803039383E-3</c:v>
                </c:pt>
                <c:pt idx="269">
                  <c:v>-1.70641044083224E-2</c:v>
                </c:pt>
                <c:pt idx="270">
                  <c:v>-4.9691258961639395E-3</c:v>
                </c:pt>
                <c:pt idx="271">
                  <c:v>-4.6797309154723576E-3</c:v>
                </c:pt>
                <c:pt idx="272">
                  <c:v>1.3601444103938931E-4</c:v>
                </c:pt>
                <c:pt idx="273">
                  <c:v>-1.586451446090209E-2</c:v>
                </c:pt>
                <c:pt idx="274">
                  <c:v>1.5854114170776867E-2</c:v>
                </c:pt>
                <c:pt idx="275">
                  <c:v>-1.7596775547904953E-2</c:v>
                </c:pt>
                <c:pt idx="276">
                  <c:v>-1.2234773630190987E-2</c:v>
                </c:pt>
                <c:pt idx="277">
                  <c:v>1.1159281084776262E-2</c:v>
                </c:pt>
                <c:pt idx="278">
                  <c:v>-1.7819030128555013E-2</c:v>
                </c:pt>
                <c:pt idx="279">
                  <c:v>5.5205871897281433E-3</c:v>
                </c:pt>
                <c:pt idx="280">
                  <c:v>-2.6973068524487775E-2</c:v>
                </c:pt>
                <c:pt idx="281">
                  <c:v>-7.5678236584880709E-3</c:v>
                </c:pt>
                <c:pt idx="282">
                  <c:v>4.8868732804865367E-3</c:v>
                </c:pt>
                <c:pt idx="283">
                  <c:v>-1.3891022092047178E-2</c:v>
                </c:pt>
                <c:pt idx="284">
                  <c:v>2.1265883307494793E-2</c:v>
                </c:pt>
                <c:pt idx="285">
                  <c:v>6.4160994796895743E-3</c:v>
                </c:pt>
                <c:pt idx="286">
                  <c:v>-1.0653519220738983E-2</c:v>
                </c:pt>
                <c:pt idx="287">
                  <c:v>1.0798516740105457E-2</c:v>
                </c:pt>
                <c:pt idx="288">
                  <c:v>-2.1849103746239829E-3</c:v>
                </c:pt>
                <c:pt idx="289">
                  <c:v>8.2466726353502828E-4</c:v>
                </c:pt>
                <c:pt idx="290">
                  <c:v>1.7646041682840563E-2</c:v>
                </c:pt>
                <c:pt idx="291">
                  <c:v>1.5743198608773046E-3</c:v>
                </c:pt>
                <c:pt idx="292">
                  <c:v>-1.115698545004451E-2</c:v>
                </c:pt>
                <c:pt idx="293">
                  <c:v>-3.3069570393192693E-3</c:v>
                </c:pt>
                <c:pt idx="294">
                  <c:v>-1.9737200328104554E-2</c:v>
                </c:pt>
                <c:pt idx="295">
                  <c:v>5.5384935154294546E-3</c:v>
                </c:pt>
                <c:pt idx="296">
                  <c:v>3.7812842467277452E-3</c:v>
                </c:pt>
                <c:pt idx="297">
                  <c:v>6.7281251608803938E-3</c:v>
                </c:pt>
                <c:pt idx="298">
                  <c:v>-4.839560075260485E-2</c:v>
                </c:pt>
                <c:pt idx="299">
                  <c:v>-6.1941769881331044E-2</c:v>
                </c:pt>
                <c:pt idx="300">
                  <c:v>-1.5700528421156545E-2</c:v>
                </c:pt>
                <c:pt idx="301">
                  <c:v>9.5153900340573472E-2</c:v>
                </c:pt>
                <c:pt idx="302">
                  <c:v>-3.4607561069471604E-2</c:v>
                </c:pt>
                <c:pt idx="303">
                  <c:v>1.8092083408471682E-2</c:v>
                </c:pt>
                <c:pt idx="304">
                  <c:v>7.9446466394201831E-3</c:v>
                </c:pt>
                <c:pt idx="305">
                  <c:v>-1.7277195396940837E-3</c:v>
                </c:pt>
                <c:pt idx="306">
                  <c:v>-2.2408428964001637E-2</c:v>
                </c:pt>
                <c:pt idx="307">
                  <c:v>1.3268381447011368E-3</c:v>
                </c:pt>
                <c:pt idx="308">
                  <c:v>9.5784352698435882E-4</c:v>
                </c:pt>
                <c:pt idx="309">
                  <c:v>1.6661119264111734E-2</c:v>
                </c:pt>
                <c:pt idx="310">
                  <c:v>2.025908412793509E-2</c:v>
                </c:pt>
                <c:pt idx="311">
                  <c:v>7.3731441792452834E-3</c:v>
                </c:pt>
                <c:pt idx="312">
                  <c:v>6.4069962951629478E-4</c:v>
                </c:pt>
                <c:pt idx="313">
                  <c:v>5.8023965634184105E-3</c:v>
                </c:pt>
                <c:pt idx="314">
                  <c:v>1.4799948928487794E-3</c:v>
                </c:pt>
              </c:numCache>
            </c:numRef>
          </c:xVal>
          <c:yVal>
            <c:numRef>
              <c:f>'Portfolio Beta'!$O$3:$O$317</c:f>
              <c:numCache>
                <c:formatCode>General</c:formatCode>
                <c:ptCount val="315"/>
                <c:pt idx="0">
                  <c:v>-6.8680997198442562E-3</c:v>
                </c:pt>
                <c:pt idx="1">
                  <c:v>1.0651156941290596E-2</c:v>
                </c:pt>
                <c:pt idx="2">
                  <c:v>-1.2353949671312647E-2</c:v>
                </c:pt>
                <c:pt idx="3">
                  <c:v>-1.380636561837989E-2</c:v>
                </c:pt>
                <c:pt idx="4">
                  <c:v>1.6824721639593365E-2</c:v>
                </c:pt>
                <c:pt idx="5">
                  <c:v>7.7822712856878695E-4</c:v>
                </c:pt>
                <c:pt idx="6">
                  <c:v>1.8906247680853916E-2</c:v>
                </c:pt>
                <c:pt idx="7">
                  <c:v>-1.6701391590595804E-2</c:v>
                </c:pt>
                <c:pt idx="8">
                  <c:v>-2.3593657464320628E-2</c:v>
                </c:pt>
                <c:pt idx="9">
                  <c:v>-1.3982393153116113E-2</c:v>
                </c:pt>
                <c:pt idx="10">
                  <c:v>4.9943353993970874E-2</c:v>
                </c:pt>
                <c:pt idx="11">
                  <c:v>-1.5902006113867717E-2</c:v>
                </c:pt>
                <c:pt idx="12">
                  <c:v>-1.9904339015319183E-2</c:v>
                </c:pt>
                <c:pt idx="13">
                  <c:v>5.7946140573877036E-2</c:v>
                </c:pt>
                <c:pt idx="14">
                  <c:v>1.3096655505234089E-2</c:v>
                </c:pt>
                <c:pt idx="15">
                  <c:v>-1.9092837674790197E-2</c:v>
                </c:pt>
                <c:pt idx="16">
                  <c:v>-4.1358254758060098E-2</c:v>
                </c:pt>
                <c:pt idx="17">
                  <c:v>3.0708912198903926E-2</c:v>
                </c:pt>
                <c:pt idx="18">
                  <c:v>-3.568474855266468E-2</c:v>
                </c:pt>
                <c:pt idx="19">
                  <c:v>1.0258063808257223E-2</c:v>
                </c:pt>
                <c:pt idx="20">
                  <c:v>2.3829103765235615E-2</c:v>
                </c:pt>
                <c:pt idx="21">
                  <c:v>-9.5093472684779634E-3</c:v>
                </c:pt>
                <c:pt idx="22">
                  <c:v>6.853803150967952E-4</c:v>
                </c:pt>
                <c:pt idx="23">
                  <c:v>5.0141430023381561E-2</c:v>
                </c:pt>
                <c:pt idx="24">
                  <c:v>-5.3331910574890617E-2</c:v>
                </c:pt>
                <c:pt idx="25">
                  <c:v>-1.7279875899052222E-3</c:v>
                </c:pt>
                <c:pt idx="26">
                  <c:v>-1.598540739440657E-3</c:v>
                </c:pt>
                <c:pt idx="27">
                  <c:v>2.3467926367377823E-2</c:v>
                </c:pt>
                <c:pt idx="28">
                  <c:v>-8.3295182156607472E-3</c:v>
                </c:pt>
                <c:pt idx="29">
                  <c:v>2.5703084028704026E-2</c:v>
                </c:pt>
                <c:pt idx="30">
                  <c:v>-3.2936118202306242E-2</c:v>
                </c:pt>
                <c:pt idx="31">
                  <c:v>2.493806771382423E-2</c:v>
                </c:pt>
                <c:pt idx="32">
                  <c:v>-3.803225227716478E-5</c:v>
                </c:pt>
                <c:pt idx="33">
                  <c:v>-1.9133548960220015E-2</c:v>
                </c:pt>
                <c:pt idx="34">
                  <c:v>-6.4532177854842443E-3</c:v>
                </c:pt>
                <c:pt idx="35">
                  <c:v>1.8621683224162355E-2</c:v>
                </c:pt>
                <c:pt idx="36">
                  <c:v>-3.0908871370298407E-2</c:v>
                </c:pt>
                <c:pt idx="37">
                  <c:v>1.5993364648596797E-2</c:v>
                </c:pt>
                <c:pt idx="38">
                  <c:v>1.0227090632194624E-2</c:v>
                </c:pt>
                <c:pt idx="39">
                  <c:v>-9.7290495367173824E-3</c:v>
                </c:pt>
                <c:pt idx="40">
                  <c:v>-2.5160770359051843E-2</c:v>
                </c:pt>
                <c:pt idx="41">
                  <c:v>4.8977524367114222E-2</c:v>
                </c:pt>
                <c:pt idx="42">
                  <c:v>-2.9786560086188185E-2</c:v>
                </c:pt>
                <c:pt idx="43">
                  <c:v>1.8511369595178184E-2</c:v>
                </c:pt>
                <c:pt idx="44">
                  <c:v>6.9297804296253318E-3</c:v>
                </c:pt>
                <c:pt idx="45">
                  <c:v>1.9737634005302374E-2</c:v>
                </c:pt>
                <c:pt idx="46">
                  <c:v>-3.4084925154605816E-2</c:v>
                </c:pt>
                <c:pt idx="47">
                  <c:v>-5.052176258141694E-3</c:v>
                </c:pt>
                <c:pt idx="48">
                  <c:v>-8.0519881847652686E-3</c:v>
                </c:pt>
                <c:pt idx="49">
                  <c:v>1.9243184116461975E-2</c:v>
                </c:pt>
                <c:pt idx="50">
                  <c:v>-2.0048959639782815E-2</c:v>
                </c:pt>
                <c:pt idx="51">
                  <c:v>1.7141635662554E-2</c:v>
                </c:pt>
                <c:pt idx="52">
                  <c:v>1.476284111797721E-2</c:v>
                </c:pt>
                <c:pt idx="53">
                  <c:v>-4.1935141744043558E-2</c:v>
                </c:pt>
                <c:pt idx="54">
                  <c:v>2.4794715080693086E-2</c:v>
                </c:pt>
                <c:pt idx="55">
                  <c:v>8.2405000519074623E-3</c:v>
                </c:pt>
                <c:pt idx="56">
                  <c:v>-2.4178492408460595E-2</c:v>
                </c:pt>
                <c:pt idx="57">
                  <c:v>3.0862575976144724E-2</c:v>
                </c:pt>
                <c:pt idx="58">
                  <c:v>1.0485923271775777E-2</c:v>
                </c:pt>
                <c:pt idx="59">
                  <c:v>-3.6796002589130961E-2</c:v>
                </c:pt>
                <c:pt idx="60">
                  <c:v>1.1005184932163736E-2</c:v>
                </c:pt>
                <c:pt idx="61">
                  <c:v>3.7910734790993494E-3</c:v>
                </c:pt>
                <c:pt idx="62">
                  <c:v>5.267885493351443E-3</c:v>
                </c:pt>
                <c:pt idx="63">
                  <c:v>1.2750186430735999E-2</c:v>
                </c:pt>
                <c:pt idx="64">
                  <c:v>-2.0302323534967637E-2</c:v>
                </c:pt>
                <c:pt idx="65">
                  <c:v>-1.7980111096100537E-2</c:v>
                </c:pt>
                <c:pt idx="66">
                  <c:v>1.6353459219466515E-2</c:v>
                </c:pt>
                <c:pt idx="67">
                  <c:v>-1.7199468283682018E-2</c:v>
                </c:pt>
                <c:pt idx="68">
                  <c:v>2.3468611018007124E-2</c:v>
                </c:pt>
                <c:pt idx="69">
                  <c:v>5.3344089735103406E-3</c:v>
                </c:pt>
                <c:pt idx="70">
                  <c:v>-1.7513679375565916E-2</c:v>
                </c:pt>
                <c:pt idx="71">
                  <c:v>2.4143599399794047E-2</c:v>
                </c:pt>
                <c:pt idx="72">
                  <c:v>7.1119241458263982E-3</c:v>
                </c:pt>
                <c:pt idx="73">
                  <c:v>4.5917302891513856E-3</c:v>
                </c:pt>
                <c:pt idx="74">
                  <c:v>-2.0423242061210267E-2</c:v>
                </c:pt>
                <c:pt idx="75">
                  <c:v>2.189654266307306E-2</c:v>
                </c:pt>
                <c:pt idx="76">
                  <c:v>-2.2669029226409232E-2</c:v>
                </c:pt>
                <c:pt idx="77">
                  <c:v>-4.268535228926007E-3</c:v>
                </c:pt>
                <c:pt idx="78">
                  <c:v>2.7662931909882227E-2</c:v>
                </c:pt>
                <c:pt idx="79">
                  <c:v>-8.0156095793801896E-3</c:v>
                </c:pt>
                <c:pt idx="80">
                  <c:v>-1.3667086983525034E-2</c:v>
                </c:pt>
                <c:pt idx="81">
                  <c:v>-1.1419042407531443E-2</c:v>
                </c:pt>
                <c:pt idx="82">
                  <c:v>-4.0846108501668699E-3</c:v>
                </c:pt>
                <c:pt idx="83">
                  <c:v>2.8300918014517285E-2</c:v>
                </c:pt>
                <c:pt idx="84">
                  <c:v>5.8438393612707529E-3</c:v>
                </c:pt>
                <c:pt idx="85">
                  <c:v>-1.3749579051965166E-2</c:v>
                </c:pt>
                <c:pt idx="86">
                  <c:v>-1.0016344575316638E-2</c:v>
                </c:pt>
                <c:pt idx="87">
                  <c:v>1.7696424493341967E-2</c:v>
                </c:pt>
                <c:pt idx="88">
                  <c:v>-5.639957597641021E-3</c:v>
                </c:pt>
                <c:pt idx="89">
                  <c:v>-5.6342889397339446E-3</c:v>
                </c:pt>
                <c:pt idx="90">
                  <c:v>-2.8448802065462853E-2</c:v>
                </c:pt>
                <c:pt idx="91">
                  <c:v>2.2618523186634487E-2</c:v>
                </c:pt>
                <c:pt idx="92">
                  <c:v>-1.6446551979396262E-2</c:v>
                </c:pt>
                <c:pt idx="93">
                  <c:v>2.8058435165314588E-3</c:v>
                </c:pt>
                <c:pt idx="94">
                  <c:v>2.8793486726513384E-2</c:v>
                </c:pt>
                <c:pt idx="95">
                  <c:v>-3.1316222336166266E-2</c:v>
                </c:pt>
                <c:pt idx="96">
                  <c:v>5.9168608278763468E-3</c:v>
                </c:pt>
                <c:pt idx="97">
                  <c:v>1.3586282357043178E-3</c:v>
                </c:pt>
                <c:pt idx="98">
                  <c:v>3.2462908717505679E-2</c:v>
                </c:pt>
                <c:pt idx="99">
                  <c:v>-1.4774229889054302E-2</c:v>
                </c:pt>
                <c:pt idx="100">
                  <c:v>-7.8938457446237065E-3</c:v>
                </c:pt>
                <c:pt idx="101">
                  <c:v>6.5353510493613154E-3</c:v>
                </c:pt>
                <c:pt idx="102">
                  <c:v>-9.5861180354716025E-3</c:v>
                </c:pt>
                <c:pt idx="103">
                  <c:v>-5.3309523717991469E-3</c:v>
                </c:pt>
                <c:pt idx="104">
                  <c:v>-2.7340312513139953E-3</c:v>
                </c:pt>
                <c:pt idx="105">
                  <c:v>2.4263749734637186E-2</c:v>
                </c:pt>
                <c:pt idx="106">
                  <c:v>-1.6110416452197684E-2</c:v>
                </c:pt>
                <c:pt idx="107">
                  <c:v>3.6850337208707007E-3</c:v>
                </c:pt>
                <c:pt idx="108">
                  <c:v>9.4031481605916234E-4</c:v>
                </c:pt>
                <c:pt idx="109">
                  <c:v>2.6350770571785587E-2</c:v>
                </c:pt>
                <c:pt idx="110">
                  <c:v>-4.0676769265012513E-2</c:v>
                </c:pt>
                <c:pt idx="111">
                  <c:v>1.5230098869735809E-2</c:v>
                </c:pt>
                <c:pt idx="112">
                  <c:v>4.1908556544973941E-3</c:v>
                </c:pt>
                <c:pt idx="113">
                  <c:v>-5.9679310432225741E-4</c:v>
                </c:pt>
                <c:pt idx="114">
                  <c:v>-2.5908724672536465E-2</c:v>
                </c:pt>
                <c:pt idx="115">
                  <c:v>2.5723754933027587E-2</c:v>
                </c:pt>
                <c:pt idx="116">
                  <c:v>3.8086878488710063E-3</c:v>
                </c:pt>
                <c:pt idx="117">
                  <c:v>7.607453984468604E-3</c:v>
                </c:pt>
                <c:pt idx="118">
                  <c:v>-2.2803905602118424E-2</c:v>
                </c:pt>
                <c:pt idx="119">
                  <c:v>-2.5800656875534234E-3</c:v>
                </c:pt>
                <c:pt idx="120">
                  <c:v>1.353372635163641E-2</c:v>
                </c:pt>
                <c:pt idx="121">
                  <c:v>-5.4680229426453675E-3</c:v>
                </c:pt>
                <c:pt idx="122">
                  <c:v>2.5791444399709151E-2</c:v>
                </c:pt>
                <c:pt idx="123">
                  <c:v>1.7343426569418341E-3</c:v>
                </c:pt>
                <c:pt idx="124">
                  <c:v>-3.8549390469187261E-2</c:v>
                </c:pt>
                <c:pt idx="125">
                  <c:v>2.1485480753791197E-3</c:v>
                </c:pt>
                <c:pt idx="126">
                  <c:v>1.344775156878919E-2</c:v>
                </c:pt>
                <c:pt idx="127">
                  <c:v>2.961843037924794E-3</c:v>
                </c:pt>
                <c:pt idx="128">
                  <c:v>-2.3536850297763534E-2</c:v>
                </c:pt>
                <c:pt idx="129">
                  <c:v>3.8701540230879239E-2</c:v>
                </c:pt>
                <c:pt idx="130">
                  <c:v>-2.6320613845358332E-2</c:v>
                </c:pt>
                <c:pt idx="131">
                  <c:v>3.9428054749179875E-3</c:v>
                </c:pt>
                <c:pt idx="132">
                  <c:v>-1.2392467841364052E-2</c:v>
                </c:pt>
                <c:pt idx="133">
                  <c:v>2.0576841140222513E-2</c:v>
                </c:pt>
                <c:pt idx="134">
                  <c:v>7.9376872973544454E-3</c:v>
                </c:pt>
                <c:pt idx="135">
                  <c:v>-2.3096649246323375E-2</c:v>
                </c:pt>
                <c:pt idx="136">
                  <c:v>3.6495417100314009E-2</c:v>
                </c:pt>
                <c:pt idx="137">
                  <c:v>-2.5667525794486057E-2</c:v>
                </c:pt>
                <c:pt idx="138">
                  <c:v>-1.1702376007025728E-2</c:v>
                </c:pt>
                <c:pt idx="139">
                  <c:v>2.9366306309155377E-3</c:v>
                </c:pt>
                <c:pt idx="140">
                  <c:v>1.1223167881664109E-2</c:v>
                </c:pt>
                <c:pt idx="141">
                  <c:v>1.6696339166840213E-2</c:v>
                </c:pt>
                <c:pt idx="142">
                  <c:v>-1.3800740886079743E-2</c:v>
                </c:pt>
                <c:pt idx="143">
                  <c:v>1.3800192976198167E-2</c:v>
                </c:pt>
                <c:pt idx="144">
                  <c:v>-1.2379126910376126E-2</c:v>
                </c:pt>
                <c:pt idx="145">
                  <c:v>2.3055909340066183E-3</c:v>
                </c:pt>
                <c:pt idx="146">
                  <c:v>-9.1982951296911697E-3</c:v>
                </c:pt>
                <c:pt idx="147">
                  <c:v>6.0398515942083897E-3</c:v>
                </c:pt>
                <c:pt idx="148">
                  <c:v>1.8620580684846288E-2</c:v>
                </c:pt>
                <c:pt idx="149">
                  <c:v>-7.1730666642239038E-3</c:v>
                </c:pt>
                <c:pt idx="150">
                  <c:v>-1.6385573826687039E-2</c:v>
                </c:pt>
                <c:pt idx="151">
                  <c:v>-5.2372576736628984E-3</c:v>
                </c:pt>
                <c:pt idx="152">
                  <c:v>2.3077252212794441E-2</c:v>
                </c:pt>
                <c:pt idx="153">
                  <c:v>-1.6468084276575534E-2</c:v>
                </c:pt>
                <c:pt idx="154">
                  <c:v>1.279688120445388E-2</c:v>
                </c:pt>
                <c:pt idx="155">
                  <c:v>-3.37953560092219E-3</c:v>
                </c:pt>
                <c:pt idx="156">
                  <c:v>-1.867717344561437E-2</c:v>
                </c:pt>
                <c:pt idx="157">
                  <c:v>1.8281235688472952E-2</c:v>
                </c:pt>
                <c:pt idx="158">
                  <c:v>1.1265727969575146E-2</c:v>
                </c:pt>
                <c:pt idx="159">
                  <c:v>-3.3129872497237756E-2</c:v>
                </c:pt>
                <c:pt idx="160">
                  <c:v>8.1111396300834748E-3</c:v>
                </c:pt>
                <c:pt idx="161">
                  <c:v>8.9291952795398366E-3</c:v>
                </c:pt>
                <c:pt idx="162">
                  <c:v>-1.3344955743764597E-2</c:v>
                </c:pt>
                <c:pt idx="163">
                  <c:v>1.1168889011432093E-2</c:v>
                </c:pt>
                <c:pt idx="164">
                  <c:v>-1.9949314675427043E-3</c:v>
                </c:pt>
                <c:pt idx="165">
                  <c:v>7.6548550538881877E-3</c:v>
                </c:pt>
                <c:pt idx="166">
                  <c:v>4.9001669867680953E-3</c:v>
                </c:pt>
                <c:pt idx="167">
                  <c:v>-3.7165683225149904E-3</c:v>
                </c:pt>
                <c:pt idx="168">
                  <c:v>7.8759970956945313E-3</c:v>
                </c:pt>
                <c:pt idx="169">
                  <c:v>1.0746007045489669E-2</c:v>
                </c:pt>
                <c:pt idx="170">
                  <c:v>-7.0080312658922228E-3</c:v>
                </c:pt>
                <c:pt idx="171">
                  <c:v>-1.1267135997378164E-2</c:v>
                </c:pt>
                <c:pt idx="172">
                  <c:v>3.5883536883288825E-2</c:v>
                </c:pt>
                <c:pt idx="173">
                  <c:v>-2.3405307766265482E-2</c:v>
                </c:pt>
                <c:pt idx="174">
                  <c:v>2.7859337525412808E-2</c:v>
                </c:pt>
                <c:pt idx="175">
                  <c:v>-9.4967666980694254E-4</c:v>
                </c:pt>
                <c:pt idx="176">
                  <c:v>-6.7877858362247467E-3</c:v>
                </c:pt>
                <c:pt idx="177">
                  <c:v>2.6075171980296297E-2</c:v>
                </c:pt>
                <c:pt idx="178">
                  <c:v>-5.9541200223615864E-2</c:v>
                </c:pt>
                <c:pt idx="179">
                  <c:v>2.358642167775038E-2</c:v>
                </c:pt>
                <c:pt idx="180">
                  <c:v>4.1499032659053636E-3</c:v>
                </c:pt>
                <c:pt idx="181">
                  <c:v>-0.10511323575349585</c:v>
                </c:pt>
                <c:pt idx="182">
                  <c:v>4.7735535663637307E-2</c:v>
                </c:pt>
                <c:pt idx="183">
                  <c:v>6.1342191831109005E-2</c:v>
                </c:pt>
                <c:pt idx="184">
                  <c:v>-1.801420694849587E-2</c:v>
                </c:pt>
                <c:pt idx="185">
                  <c:v>-3.6445784703002637E-2</c:v>
                </c:pt>
                <c:pt idx="186">
                  <c:v>2.4171964819645009E-2</c:v>
                </c:pt>
                <c:pt idx="187">
                  <c:v>-2.4653274869239628E-3</c:v>
                </c:pt>
                <c:pt idx="188">
                  <c:v>4.2309300370762193E-2</c:v>
                </c:pt>
                <c:pt idx="189">
                  <c:v>-3.369620198926071E-2</c:v>
                </c:pt>
                <c:pt idx="190">
                  <c:v>3.7536672249760539E-3</c:v>
                </c:pt>
                <c:pt idx="191">
                  <c:v>1.1101311071287645E-2</c:v>
                </c:pt>
                <c:pt idx="192">
                  <c:v>-1.9053522380878096E-2</c:v>
                </c:pt>
                <c:pt idx="193">
                  <c:v>8.9602003651771955E-3</c:v>
                </c:pt>
                <c:pt idx="194">
                  <c:v>3.8052085732385166E-3</c:v>
                </c:pt>
                <c:pt idx="195">
                  <c:v>-2.1033444741382912E-3</c:v>
                </c:pt>
                <c:pt idx="196">
                  <c:v>-1.399916392827949E-2</c:v>
                </c:pt>
                <c:pt idx="197">
                  <c:v>7.5785937100203427E-3</c:v>
                </c:pt>
                <c:pt idx="198">
                  <c:v>1.0407060350803965E-2</c:v>
                </c:pt>
                <c:pt idx="199">
                  <c:v>-1.6690264487217998E-4</c:v>
                </c:pt>
                <c:pt idx="200">
                  <c:v>1.680446798400892E-2</c:v>
                </c:pt>
                <c:pt idx="201">
                  <c:v>-3.4402282845178433E-2</c:v>
                </c:pt>
                <c:pt idx="202">
                  <c:v>2.7126491714482448E-2</c:v>
                </c:pt>
                <c:pt idx="203">
                  <c:v>-1.6196801385814474E-2</c:v>
                </c:pt>
                <c:pt idx="204">
                  <c:v>-1.0198003125068356E-2</c:v>
                </c:pt>
                <c:pt idx="205">
                  <c:v>-1.5392264862030269E-2</c:v>
                </c:pt>
                <c:pt idx="206">
                  <c:v>2.2754589998579489E-2</c:v>
                </c:pt>
                <c:pt idx="207">
                  <c:v>-1.3182559600607213E-2</c:v>
                </c:pt>
                <c:pt idx="208">
                  <c:v>1.6295399471883076E-2</c:v>
                </c:pt>
                <c:pt idx="209">
                  <c:v>9.3703007845751252E-3</c:v>
                </c:pt>
                <c:pt idx="210">
                  <c:v>1.4292388741483641E-3</c:v>
                </c:pt>
                <c:pt idx="211">
                  <c:v>-4.0030191115874025E-3</c:v>
                </c:pt>
                <c:pt idx="212">
                  <c:v>-8.8667464005988128E-3</c:v>
                </c:pt>
                <c:pt idx="213">
                  <c:v>-1.3192775737400408E-2</c:v>
                </c:pt>
                <c:pt idx="214">
                  <c:v>1.1917083605311296E-2</c:v>
                </c:pt>
                <c:pt idx="215">
                  <c:v>5.0973212463292228E-3</c:v>
                </c:pt>
                <c:pt idx="216">
                  <c:v>2.2119002643112395E-2</c:v>
                </c:pt>
                <c:pt idx="217">
                  <c:v>-2.2045827146003449E-2</c:v>
                </c:pt>
                <c:pt idx="218">
                  <c:v>6.9978024456489596E-3</c:v>
                </c:pt>
                <c:pt idx="219">
                  <c:v>4.6751023137259207E-3</c:v>
                </c:pt>
                <c:pt idx="220">
                  <c:v>-7.1038131490984702E-3</c:v>
                </c:pt>
                <c:pt idx="221">
                  <c:v>-9.1346318901766033E-3</c:v>
                </c:pt>
                <c:pt idx="222">
                  <c:v>1.9315103500242126E-2</c:v>
                </c:pt>
                <c:pt idx="223">
                  <c:v>1.8216149721982378E-2</c:v>
                </c:pt>
                <c:pt idx="224">
                  <c:v>-2.9715116653177387E-2</c:v>
                </c:pt>
                <c:pt idx="225">
                  <c:v>-6.9651194214650491E-3</c:v>
                </c:pt>
                <c:pt idx="226">
                  <c:v>1.5389162621187724E-2</c:v>
                </c:pt>
                <c:pt idx="227">
                  <c:v>-2.249591274171503E-2</c:v>
                </c:pt>
                <c:pt idx="228">
                  <c:v>3.5922878824279358E-3</c:v>
                </c:pt>
                <c:pt idx="229">
                  <c:v>5.2289142463890492E-3</c:v>
                </c:pt>
                <c:pt idx="230">
                  <c:v>1.5233641827938404E-2</c:v>
                </c:pt>
                <c:pt idx="231">
                  <c:v>-1.1932013218202808E-2</c:v>
                </c:pt>
                <c:pt idx="232">
                  <c:v>2.8291134722979727E-4</c:v>
                </c:pt>
                <c:pt idx="233">
                  <c:v>7.5986941826575727E-3</c:v>
                </c:pt>
                <c:pt idx="234">
                  <c:v>5.9576155389284846E-3</c:v>
                </c:pt>
                <c:pt idx="235">
                  <c:v>-6.9787880156158E-3</c:v>
                </c:pt>
                <c:pt idx="236">
                  <c:v>-6.6958583227166857E-3</c:v>
                </c:pt>
                <c:pt idx="237">
                  <c:v>1.4180724157151214E-3</c:v>
                </c:pt>
                <c:pt idx="238">
                  <c:v>-1.8729416895663542E-2</c:v>
                </c:pt>
                <c:pt idx="239">
                  <c:v>1.8475080018077517E-2</c:v>
                </c:pt>
                <c:pt idx="240">
                  <c:v>6.2831512949479418E-4</c:v>
                </c:pt>
                <c:pt idx="241">
                  <c:v>-7.3003857385636195E-3</c:v>
                </c:pt>
                <c:pt idx="242">
                  <c:v>-1.2192241763543388E-3</c:v>
                </c:pt>
                <c:pt idx="243">
                  <c:v>6.8845439389859653E-3</c:v>
                </c:pt>
                <c:pt idx="244">
                  <c:v>-7.3733877922728119E-3</c:v>
                </c:pt>
                <c:pt idx="245">
                  <c:v>2.4478984741012066E-3</c:v>
                </c:pt>
                <c:pt idx="246">
                  <c:v>2.2098675275761703E-2</c:v>
                </c:pt>
                <c:pt idx="247">
                  <c:v>-7.1335392064597603E-3</c:v>
                </c:pt>
                <c:pt idx="248">
                  <c:v>2.7661055978058791E-3</c:v>
                </c:pt>
                <c:pt idx="249">
                  <c:v>-3.0387065758419318E-3</c:v>
                </c:pt>
                <c:pt idx="250">
                  <c:v>1.3584035113400006E-2</c:v>
                </c:pt>
                <c:pt idx="251">
                  <c:v>-2.7026360218748491E-2</c:v>
                </c:pt>
                <c:pt idx="252">
                  <c:v>-2.2507021950094463E-3</c:v>
                </c:pt>
                <c:pt idx="253">
                  <c:v>2.5186007374150554E-2</c:v>
                </c:pt>
                <c:pt idx="254">
                  <c:v>-4.8461566099453623E-3</c:v>
                </c:pt>
                <c:pt idx="255">
                  <c:v>-7.284377559241717E-3</c:v>
                </c:pt>
                <c:pt idx="256">
                  <c:v>-5.3856411478545585E-3</c:v>
                </c:pt>
                <c:pt idx="257">
                  <c:v>3.4546431018308343E-2</c:v>
                </c:pt>
                <c:pt idx="258">
                  <c:v>-4.048724412367799E-2</c:v>
                </c:pt>
                <c:pt idx="259">
                  <c:v>2.6335885244666679E-2</c:v>
                </c:pt>
                <c:pt idx="260">
                  <c:v>-5.7629303000774623E-3</c:v>
                </c:pt>
                <c:pt idx="261">
                  <c:v>7.8540046781359063E-3</c:v>
                </c:pt>
                <c:pt idx="262">
                  <c:v>-3.3192322884663117E-2</c:v>
                </c:pt>
                <c:pt idx="263">
                  <c:v>4.1930293151593467E-2</c:v>
                </c:pt>
                <c:pt idx="264">
                  <c:v>-3.1212787547269083E-2</c:v>
                </c:pt>
                <c:pt idx="265">
                  <c:v>4.7772397686057788E-2</c:v>
                </c:pt>
                <c:pt idx="266">
                  <c:v>-2.3291185232320766E-2</c:v>
                </c:pt>
                <c:pt idx="267">
                  <c:v>-1.8228264641538927E-2</c:v>
                </c:pt>
                <c:pt idx="268">
                  <c:v>-1.6035921005729481E-2</c:v>
                </c:pt>
                <c:pt idx="269">
                  <c:v>5.992080531841526E-2</c:v>
                </c:pt>
                <c:pt idx="270">
                  <c:v>-4.6145398739662724E-2</c:v>
                </c:pt>
                <c:pt idx="271">
                  <c:v>-8.6078019808520922E-3</c:v>
                </c:pt>
                <c:pt idx="272">
                  <c:v>4.9333255589216529E-2</c:v>
                </c:pt>
                <c:pt idx="273">
                  <c:v>-3.8827290257582914E-2</c:v>
                </c:pt>
                <c:pt idx="274">
                  <c:v>-2.9653474897041399E-2</c:v>
                </c:pt>
                <c:pt idx="275">
                  <c:v>3.7617116100070458E-2</c:v>
                </c:pt>
                <c:pt idx="276">
                  <c:v>-2.9404196362911028E-3</c:v>
                </c:pt>
                <c:pt idx="277">
                  <c:v>3.1403364068423478E-2</c:v>
                </c:pt>
                <c:pt idx="278">
                  <c:v>6.2695308754070478E-3</c:v>
                </c:pt>
                <c:pt idx="279">
                  <c:v>-3.6253513968925843E-2</c:v>
                </c:pt>
                <c:pt idx="280">
                  <c:v>-1.7023043200256827E-2</c:v>
                </c:pt>
                <c:pt idx="281">
                  <c:v>2.4035457917819025E-2</c:v>
                </c:pt>
                <c:pt idx="282">
                  <c:v>-1.3007319804800965E-2</c:v>
                </c:pt>
                <c:pt idx="283">
                  <c:v>1.9777585622546834E-3</c:v>
                </c:pt>
                <c:pt idx="284">
                  <c:v>2.9501128751006522E-2</c:v>
                </c:pt>
                <c:pt idx="285">
                  <c:v>-1.6107731613519749E-2</c:v>
                </c:pt>
                <c:pt idx="286">
                  <c:v>2.2844921934851659E-2</c:v>
                </c:pt>
                <c:pt idx="287">
                  <c:v>-3.10912733822577E-2</c:v>
                </c:pt>
                <c:pt idx="288">
                  <c:v>-2.1439185976000807E-2</c:v>
                </c:pt>
                <c:pt idx="289">
                  <c:v>1.4705658445608449E-3</c:v>
                </c:pt>
                <c:pt idx="290">
                  <c:v>3.4151761390399882E-2</c:v>
                </c:pt>
                <c:pt idx="291">
                  <c:v>-3.581157532064394E-2</c:v>
                </c:pt>
                <c:pt idx="292">
                  <c:v>3.1293563817113457E-2</c:v>
                </c:pt>
                <c:pt idx="293">
                  <c:v>-8.4693208750552529E-4</c:v>
                </c:pt>
                <c:pt idx="294">
                  <c:v>-1.2428198902848742E-2</c:v>
                </c:pt>
                <c:pt idx="295">
                  <c:v>-5.2485615745015979E-3</c:v>
                </c:pt>
                <c:pt idx="296">
                  <c:v>1.7553840624805694E-2</c:v>
                </c:pt>
                <c:pt idx="297">
                  <c:v>-1.4868657585057621E-3</c:v>
                </c:pt>
                <c:pt idx="298">
                  <c:v>-1.3490093747294374E-2</c:v>
                </c:pt>
                <c:pt idx="299">
                  <c:v>-0.12636613987681844</c:v>
                </c:pt>
                <c:pt idx="300">
                  <c:v>0.1856881497320475</c:v>
                </c:pt>
                <c:pt idx="301">
                  <c:v>-7.1373551927457202E-3</c:v>
                </c:pt>
                <c:pt idx="302">
                  <c:v>2.77884737933487E-3</c:v>
                </c:pt>
                <c:pt idx="303">
                  <c:v>-4.2415514711082736E-3</c:v>
                </c:pt>
                <c:pt idx="304">
                  <c:v>4.9677236754102072E-3</c:v>
                </c:pt>
                <c:pt idx="305">
                  <c:v>-1.9613021034645128E-2</c:v>
                </c:pt>
                <c:pt idx="306">
                  <c:v>-2.3209768314981449E-2</c:v>
                </c:pt>
                <c:pt idx="307">
                  <c:v>3.9922983502094889E-2</c:v>
                </c:pt>
                <c:pt idx="308">
                  <c:v>-8.6010638924152172E-3</c:v>
                </c:pt>
                <c:pt idx="309">
                  <c:v>1.0980815661892684E-2</c:v>
                </c:pt>
                <c:pt idx="310">
                  <c:v>-2.5458733310471549E-2</c:v>
                </c:pt>
                <c:pt idx="311">
                  <c:v>1.0389677048067592E-2</c:v>
                </c:pt>
                <c:pt idx="312">
                  <c:v>-1.9614656734153746E-3</c:v>
                </c:pt>
                <c:pt idx="313">
                  <c:v>-3.6919781142297214E-4</c:v>
                </c:pt>
                <c:pt idx="314">
                  <c:v>5.5543840068803529E-3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0B-4658-9D8E-ABBA098B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14192"/>
        <c:axId val="4806152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Predicted Y</c:v>
                </c:tx>
                <c:spPr>
                  <a:ln w="28575">
                    <a:noFill/>
                  </a:ln>
                </c:spPr>
                <c:trendline>
                  <c:trendlineType val="linear"/>
                  <c:dispRSqr val="0"/>
                  <c:dispEq val="0"/>
                </c:trendline>
                <c:trendline>
                  <c:spPr>
                    <a:ln w="28575" cap="flat" cmpd="sng" algn="ctr">
                      <a:solidFill>
                        <a:schemeClr val="accent2">
                          <a:shade val="95000"/>
                          <a:satMod val="105000"/>
                        </a:schemeClr>
                      </a:solidFill>
                      <a:prstDash val="solid"/>
                    </a:ln>
                    <a:effectLst/>
                  </c:spPr>
                  <c:trendlineType val="linear"/>
                  <c:dispRSqr val="0"/>
                  <c:dispEq val="0"/>
                </c:trendline>
                <c:xVal>
                  <c:numRef>
                    <c:extLst>
                      <c:ext uri="{02D57815-91ED-43cb-92C2-25804820EDAC}">
                        <c15:formulaRef>
                          <c15:sqref>'Portfolio Beta'!$H$3:$H$317</c15:sqref>
                        </c15:formulaRef>
                      </c:ext>
                    </c:extLst>
                    <c:numCache>
                      <c:formatCode>#,##0.000000000</c:formatCode>
                      <c:ptCount val="315"/>
                      <c:pt idx="0">
                        <c:v>-8.0163109367190621E-3</c:v>
                      </c:pt>
                      <c:pt idx="1">
                        <c:v>-3.4284062480738342E-3</c:v>
                      </c:pt>
                      <c:pt idx="2">
                        <c:v>1.8256737503945519E-3</c:v>
                      </c:pt>
                      <c:pt idx="3">
                        <c:v>1.4114671594383177E-2</c:v>
                      </c:pt>
                      <c:pt idx="4">
                        <c:v>-1.4778924917183689E-3</c:v>
                      </c:pt>
                      <c:pt idx="5">
                        <c:v>5.6659308314936929E-3</c:v>
                      </c:pt>
                      <c:pt idx="6">
                        <c:v>-6.7106377196379796E-4</c:v>
                      </c:pt>
                      <c:pt idx="7">
                        <c:v>7.5100831757413111E-4</c:v>
                      </c:pt>
                      <c:pt idx="8">
                        <c:v>-3.7313198838587747E-3</c:v>
                      </c:pt>
                      <c:pt idx="9">
                        <c:v>-5.6168930629166836E-3</c:v>
                      </c:pt>
                      <c:pt idx="10">
                        <c:v>8.8052650125229892E-3</c:v>
                      </c:pt>
                      <c:pt idx="11">
                        <c:v>1.2313478102632613E-2</c:v>
                      </c:pt>
                      <c:pt idx="12">
                        <c:v>2.194301015948863E-3</c:v>
                      </c:pt>
                      <c:pt idx="13">
                        <c:v>2.9213904746590025E-3</c:v>
                      </c:pt>
                      <c:pt idx="14">
                        <c:v>8.1198865271558951E-4</c:v>
                      </c:pt>
                      <c:pt idx="15">
                        <c:v>5.2602931057501578E-3</c:v>
                      </c:pt>
                      <c:pt idx="16">
                        <c:v>-6.517972440622799E-4</c:v>
                      </c:pt>
                      <c:pt idx="17">
                        <c:v>7.5567832147815928E-3</c:v>
                      </c:pt>
                      <c:pt idx="18">
                        <c:v>-6.0065788272156695E-4</c:v>
                      </c:pt>
                      <c:pt idx="19">
                        <c:v>-1.6105681862021659E-2</c:v>
                      </c:pt>
                      <c:pt idx="20">
                        <c:v>1.2493679898465615E-2</c:v>
                      </c:pt>
                      <c:pt idx="21">
                        <c:v>1.0684461873673889E-2</c:v>
                      </c:pt>
                      <c:pt idx="22">
                        <c:v>-3.18637682737688E-3</c:v>
                      </c:pt>
                      <c:pt idx="23">
                        <c:v>2.310426660138587E-3</c:v>
                      </c:pt>
                      <c:pt idx="24">
                        <c:v>8.2414421615468747E-3</c:v>
                      </c:pt>
                      <c:pt idx="25">
                        <c:v>5.7056371695218822E-4</c:v>
                      </c:pt>
                      <c:pt idx="26">
                        <c:v>5.7424003233350618E-3</c:v>
                      </c:pt>
                      <c:pt idx="27">
                        <c:v>-5.1704826911178614E-3</c:v>
                      </c:pt>
                      <c:pt idx="28">
                        <c:v>5.8212781615079034E-3</c:v>
                      </c:pt>
                      <c:pt idx="29">
                        <c:v>-4.8034387531735723E-3</c:v>
                      </c:pt>
                      <c:pt idx="30">
                        <c:v>-6.0053100845657292E-3</c:v>
                      </c:pt>
                      <c:pt idx="31">
                        <c:v>1.2641920124771833E-3</c:v>
                      </c:pt>
                      <c:pt idx="32">
                        <c:v>2.1122887309807714E-2</c:v>
                      </c:pt>
                      <c:pt idx="33">
                        <c:v>3.4794369209545373E-4</c:v>
                      </c:pt>
                      <c:pt idx="34">
                        <c:v>-3.7867473667663187E-3</c:v>
                      </c:pt>
                      <c:pt idx="35">
                        <c:v>1.7062725735916828E-3</c:v>
                      </c:pt>
                      <c:pt idx="36">
                        <c:v>-1.6580743494716277E-3</c:v>
                      </c:pt>
                      <c:pt idx="37">
                        <c:v>5.229044372909275E-3</c:v>
                      </c:pt>
                      <c:pt idx="38">
                        <c:v>8.0078174821975878E-3</c:v>
                      </c:pt>
                      <c:pt idx="39">
                        <c:v>-1.1932849011501157E-3</c:v>
                      </c:pt>
                      <c:pt idx="40">
                        <c:v>-1.0193044173106403E-2</c:v>
                      </c:pt>
                      <c:pt idx="41">
                        <c:v>5.1411300247115044E-3</c:v>
                      </c:pt>
                      <c:pt idx="42">
                        <c:v>1.0304108322428451E-2</c:v>
                      </c:pt>
                      <c:pt idx="43">
                        <c:v>-6.5285339786247398E-3</c:v>
                      </c:pt>
                      <c:pt idx="44">
                        <c:v>-1.1222380745127269E-3</c:v>
                      </c:pt>
                      <c:pt idx="45">
                        <c:v>1.1201772588189884E-2</c:v>
                      </c:pt>
                      <c:pt idx="46">
                        <c:v>-1.9245372705192221E-3</c:v>
                      </c:pt>
                      <c:pt idx="47">
                        <c:v>-2.871076469757039E-3</c:v>
                      </c:pt>
                      <c:pt idx="48">
                        <c:v>-6.4828909150214109E-3</c:v>
                      </c:pt>
                      <c:pt idx="49">
                        <c:v>6.3180440445644859E-3</c:v>
                      </c:pt>
                      <c:pt idx="50">
                        <c:v>5.6491799076401339E-3</c:v>
                      </c:pt>
                      <c:pt idx="51">
                        <c:v>8.9041056211149883E-3</c:v>
                      </c:pt>
                      <c:pt idx="52">
                        <c:v>3.2365990253835353E-3</c:v>
                      </c:pt>
                      <c:pt idx="53">
                        <c:v>-1.4022623165372838E-3</c:v>
                      </c:pt>
                      <c:pt idx="54">
                        <c:v>-3.0549197773100945E-3</c:v>
                      </c:pt>
                      <c:pt idx="55">
                        <c:v>-2.7998213940082506E-3</c:v>
                      </c:pt>
                      <c:pt idx="56">
                        <c:v>8.6305966277062662E-3</c:v>
                      </c:pt>
                      <c:pt idx="57">
                        <c:v>1.1165116061955249E-3</c:v>
                      </c:pt>
                      <c:pt idx="58">
                        <c:v>-9.2380598932313429E-3</c:v>
                      </c:pt>
                      <c:pt idx="59">
                        <c:v>1.0910886106099138E-3</c:v>
                      </c:pt>
                      <c:pt idx="60">
                        <c:v>-1.3719684773452201E-3</c:v>
                      </c:pt>
                      <c:pt idx="61">
                        <c:v>-3.7468728023148934E-4</c:v>
                      </c:pt>
                      <c:pt idx="62">
                        <c:v>1.4454894769517779E-3</c:v>
                      </c:pt>
                      <c:pt idx="63">
                        <c:v>-9.4569771838668437E-3</c:v>
                      </c:pt>
                      <c:pt idx="64">
                        <c:v>7.4448130464439544E-3</c:v>
                      </c:pt>
                      <c:pt idx="65">
                        <c:v>-1.4550707243232486E-2</c:v>
                      </c:pt>
                      <c:pt idx="66">
                        <c:v>-1.2021290507689297E-2</c:v>
                      </c:pt>
                      <c:pt idx="67">
                        <c:v>-2.056572537150636E-3</c:v>
                      </c:pt>
                      <c:pt idx="68">
                        <c:v>-5.780564238499708E-3</c:v>
                      </c:pt>
                      <c:pt idx="69">
                        <c:v>-2.2081912146246774E-3</c:v>
                      </c:pt>
                      <c:pt idx="70">
                        <c:v>-8.7585210491867294E-3</c:v>
                      </c:pt>
                      <c:pt idx="71">
                        <c:v>8.7312244450128418E-3</c:v>
                      </c:pt>
                      <c:pt idx="72">
                        <c:v>1.1964634973855359E-2</c:v>
                      </c:pt>
                      <c:pt idx="73">
                        <c:v>2.129946455513565E-4</c:v>
                      </c:pt>
                      <c:pt idx="74">
                        <c:v>-4.5764379499293462E-3</c:v>
                      </c:pt>
                      <c:pt idx="75">
                        <c:v>1.0209134739185721E-2</c:v>
                      </c:pt>
                      <c:pt idx="76">
                        <c:v>3.178456301617949E-3</c:v>
                      </c:pt>
                      <c:pt idx="77">
                        <c:v>-1.5730517164206925E-2</c:v>
                      </c:pt>
                      <c:pt idx="78">
                        <c:v>5.6615875877983335E-3</c:v>
                      </c:pt>
                      <c:pt idx="79">
                        <c:v>1.2556771059594851E-2</c:v>
                      </c:pt>
                      <c:pt idx="80">
                        <c:v>1.0326085896653403E-2</c:v>
                      </c:pt>
                      <c:pt idx="81">
                        <c:v>1.3434374239973401E-3</c:v>
                      </c:pt>
                      <c:pt idx="82">
                        <c:v>-5.7829095745365322E-6</c:v>
                      </c:pt>
                      <c:pt idx="83">
                        <c:v>5.0909175024624886E-3</c:v>
                      </c:pt>
                      <c:pt idx="84">
                        <c:v>1.6493801399288799E-3</c:v>
                      </c:pt>
                      <c:pt idx="85">
                        <c:v>-2.4125544739483917E-4</c:v>
                      </c:pt>
                      <c:pt idx="86">
                        <c:v>4.8377644395585229E-3</c:v>
                      </c:pt>
                      <c:pt idx="87">
                        <c:v>9.6098866330709409E-3</c:v>
                      </c:pt>
                      <c:pt idx="88">
                        <c:v>1.1647882803798026E-3</c:v>
                      </c:pt>
                      <c:pt idx="89">
                        <c:v>9.1641572086653689E-4</c:v>
                      </c:pt>
                      <c:pt idx="90">
                        <c:v>2.5018226757822504E-3</c:v>
                      </c:pt>
                      <c:pt idx="91">
                        <c:v>-2.7060497123881921E-3</c:v>
                      </c:pt>
                      <c:pt idx="92">
                        <c:v>-7.3808038801509435E-3</c:v>
                      </c:pt>
                      <c:pt idx="93">
                        <c:v>7.0009719353663069E-3</c:v>
                      </c:pt>
                      <c:pt idx="94">
                        <c:v>2.4883499977379486E-4</c:v>
                      </c:pt>
                      <c:pt idx="95">
                        <c:v>-7.3670760114887823E-3</c:v>
                      </c:pt>
                      <c:pt idx="96">
                        <c:v>-5.9749950160910004E-3</c:v>
                      </c:pt>
                      <c:pt idx="97">
                        <c:v>8.0279172110295782E-3</c:v>
                      </c:pt>
                      <c:pt idx="98">
                        <c:v>1.116056625188655E-3</c:v>
                      </c:pt>
                      <c:pt idx="99">
                        <c:v>1.5028201536890773E-3</c:v>
                      </c:pt>
                      <c:pt idx="100">
                        <c:v>1.1847660516995706E-2</c:v>
                      </c:pt>
                      <c:pt idx="101">
                        <c:v>-1.9984945919238051E-4</c:v>
                      </c:pt>
                      <c:pt idx="102">
                        <c:v>-1.1152708034434244E-3</c:v>
                      </c:pt>
                      <c:pt idx="103">
                        <c:v>5.2983080200261767E-3</c:v>
                      </c:pt>
                      <c:pt idx="104">
                        <c:v>8.503679780924589E-3</c:v>
                      </c:pt>
                      <c:pt idx="105">
                        <c:v>2.3445728948188194E-3</c:v>
                      </c:pt>
                      <c:pt idx="106">
                        <c:v>-3.9383555341243603E-4</c:v>
                      </c:pt>
                      <c:pt idx="107">
                        <c:v>7.6644082774870448E-3</c:v>
                      </c:pt>
                      <c:pt idx="108">
                        <c:v>2.5213630708009749E-3</c:v>
                      </c:pt>
                      <c:pt idx="109">
                        <c:v>-2.5259566650810417E-3</c:v>
                      </c:pt>
                      <c:pt idx="110">
                        <c:v>-1.5621659842468549E-3</c:v>
                      </c:pt>
                      <c:pt idx="111">
                        <c:v>-3.0651719607218686E-3</c:v>
                      </c:pt>
                      <c:pt idx="112">
                        <c:v>3.9336474622191364E-3</c:v>
                      </c:pt>
                      <c:pt idx="113">
                        <c:v>1.5724132887204867E-3</c:v>
                      </c:pt>
                      <c:pt idx="114">
                        <c:v>9.0728198762302092E-4</c:v>
                      </c:pt>
                      <c:pt idx="115">
                        <c:v>-4.0836277351096184E-3</c:v>
                      </c:pt>
                      <c:pt idx="116">
                        <c:v>8.8874970698546996E-3</c:v>
                      </c:pt>
                      <c:pt idx="117">
                        <c:v>5.0843981041965858E-3</c:v>
                      </c:pt>
                      <c:pt idx="118">
                        <c:v>5.4487793072806046E-3</c:v>
                      </c:pt>
                      <c:pt idx="119">
                        <c:v>1.0166708878267539E-3</c:v>
                      </c:pt>
                      <c:pt idx="120">
                        <c:v>7.410929775606423E-4</c:v>
                      </c:pt>
                      <c:pt idx="121">
                        <c:v>1.0208033738690059E-2</c:v>
                      </c:pt>
                      <c:pt idx="122">
                        <c:v>-8.763008283767415E-3</c:v>
                      </c:pt>
                      <c:pt idx="123">
                        <c:v>5.5170166208855509E-3</c:v>
                      </c:pt>
                      <c:pt idx="124">
                        <c:v>2.826181805230199E-3</c:v>
                      </c:pt>
                      <c:pt idx="125">
                        <c:v>6.3893792108991043E-3</c:v>
                      </c:pt>
                      <c:pt idx="126">
                        <c:v>-1.3927512704686507E-2</c:v>
                      </c:pt>
                      <c:pt idx="127">
                        <c:v>-7.8163725088444824E-3</c:v>
                      </c:pt>
                      <c:pt idx="128">
                        <c:v>-7.1402935113327182E-3</c:v>
                      </c:pt>
                      <c:pt idx="129">
                        <c:v>1.0792007266121617E-2</c:v>
                      </c:pt>
                      <c:pt idx="130">
                        <c:v>-1.558116673645582E-3</c:v>
                      </c:pt>
                      <c:pt idx="131">
                        <c:v>-2.3149031452155744E-2</c:v>
                      </c:pt>
                      <c:pt idx="132">
                        <c:v>-5.1426813066942634E-3</c:v>
                      </c:pt>
                      <c:pt idx="133">
                        <c:v>1.1090490848678192E-2</c:v>
                      </c:pt>
                      <c:pt idx="134">
                        <c:v>8.1332087706753597E-4</c:v>
                      </c:pt>
                      <c:pt idx="135">
                        <c:v>-4.9601540393225951E-3</c:v>
                      </c:pt>
                      <c:pt idx="136">
                        <c:v>1.579342363752767E-2</c:v>
                      </c:pt>
                      <c:pt idx="137">
                        <c:v>-1.3693569708273734E-2</c:v>
                      </c:pt>
                      <c:pt idx="138">
                        <c:v>-1.8381839946536194E-2</c:v>
                      </c:pt>
                      <c:pt idx="139">
                        <c:v>-2.9968802370122227E-2</c:v>
                      </c:pt>
                      <c:pt idx="140">
                        <c:v>1.0354142524675369E-2</c:v>
                      </c:pt>
                      <c:pt idx="141">
                        <c:v>-7.7346885418594358E-3</c:v>
                      </c:pt>
                      <c:pt idx="142">
                        <c:v>2.3042600250024137E-2</c:v>
                      </c:pt>
                      <c:pt idx="143">
                        <c:v>4.6716585421793244E-3</c:v>
                      </c:pt>
                      <c:pt idx="144">
                        <c:v>4.3037633603804082E-5</c:v>
                      </c:pt>
                      <c:pt idx="145">
                        <c:v>1.6847572875482442E-2</c:v>
                      </c:pt>
                      <c:pt idx="146">
                        <c:v>3.8237680860733203E-3</c:v>
                      </c:pt>
                      <c:pt idx="147">
                        <c:v>1.6133201104998829E-2</c:v>
                      </c:pt>
                      <c:pt idx="148">
                        <c:v>1.9898181923141411E-3</c:v>
                      </c:pt>
                      <c:pt idx="149">
                        <c:v>9.7222847369131671E-3</c:v>
                      </c:pt>
                      <c:pt idx="150">
                        <c:v>-1.9845762938528466E-3</c:v>
                      </c:pt>
                      <c:pt idx="151">
                        <c:v>4.2396804070665706E-3</c:v>
                      </c:pt>
                      <c:pt idx="152">
                        <c:v>-8.9328126528905871E-3</c:v>
                      </c:pt>
                      <c:pt idx="153">
                        <c:v>1.1483420217425433E-2</c:v>
                      </c:pt>
                      <c:pt idx="154">
                        <c:v>-3.1537231503155905E-3</c:v>
                      </c:pt>
                      <c:pt idx="155">
                        <c:v>1.5952029967027936E-3</c:v>
                      </c:pt>
                      <c:pt idx="156">
                        <c:v>-5.9760389633474187E-3</c:v>
                      </c:pt>
                      <c:pt idx="157">
                        <c:v>-3.9340650694441592E-5</c:v>
                      </c:pt>
                      <c:pt idx="158">
                        <c:v>1.0093062182132906E-2</c:v>
                      </c:pt>
                      <c:pt idx="159">
                        <c:v>-2.1151122441753323E-2</c:v>
                      </c:pt>
                      <c:pt idx="160">
                        <c:v>-1.6024800458679378E-3</c:v>
                      </c:pt>
                      <c:pt idx="161">
                        <c:v>-3.0180776693048417E-3</c:v>
                      </c:pt>
                      <c:pt idx="162">
                        <c:v>-1.726020776209658E-2</c:v>
                      </c:pt>
                      <c:pt idx="163">
                        <c:v>1.1580091782812829E-2</c:v>
                      </c:pt>
                      <c:pt idx="164">
                        <c:v>4.4726332239699573E-3</c:v>
                      </c:pt>
                      <c:pt idx="165">
                        <c:v>1.0665050805019227E-2</c:v>
                      </c:pt>
                      <c:pt idx="166">
                        <c:v>7.4953232999588337E-3</c:v>
                      </c:pt>
                      <c:pt idx="167">
                        <c:v>5.4076658041088965E-3</c:v>
                      </c:pt>
                      <c:pt idx="168">
                        <c:v>1.2566610143582846E-3</c:v>
                      </c:pt>
                      <c:pt idx="169">
                        <c:v>2.6450846693371055E-4</c:v>
                      </c:pt>
                      <c:pt idx="170">
                        <c:v>1.4031214393974478E-2</c:v>
                      </c:pt>
                      <c:pt idx="171">
                        <c:v>-1.9409693295342478E-3</c:v>
                      </c:pt>
                      <c:pt idx="172">
                        <c:v>2.8092695373120868E-3</c:v>
                      </c:pt>
                      <c:pt idx="173">
                        <c:v>2.5111172898120149E-3</c:v>
                      </c:pt>
                      <c:pt idx="174">
                        <c:v>-1.8611774432969463E-3</c:v>
                      </c:pt>
                      <c:pt idx="175">
                        <c:v>4.0386141140038578E-3</c:v>
                      </c:pt>
                      <c:pt idx="176">
                        <c:v>-1.2531829977877607E-3</c:v>
                      </c:pt>
                      <c:pt idx="177">
                        <c:v>4.2365423122701085E-3</c:v>
                      </c:pt>
                      <c:pt idx="178">
                        <c:v>-9.1870167011425252E-3</c:v>
                      </c:pt>
                      <c:pt idx="179">
                        <c:v>-1.681396399709989E-3</c:v>
                      </c:pt>
                      <c:pt idx="180">
                        <c:v>8.9702698624898325E-3</c:v>
                      </c:pt>
                      <c:pt idx="181">
                        <c:v>-9.5860422495291919E-3</c:v>
                      </c:pt>
                      <c:pt idx="182">
                        <c:v>9.68935768284096E-3</c:v>
                      </c:pt>
                      <c:pt idx="183">
                        <c:v>7.1133846739683815E-3</c:v>
                      </c:pt>
                      <c:pt idx="184">
                        <c:v>-2.0700823889336917E-3</c:v>
                      </c:pt>
                      <c:pt idx="185">
                        <c:v>1.3806108943694273E-2</c:v>
                      </c:pt>
                      <c:pt idx="186">
                        <c:v>-7.6094097971791674E-3</c:v>
                      </c:pt>
                      <c:pt idx="187">
                        <c:v>4.6790685197222182E-3</c:v>
                      </c:pt>
                      <c:pt idx="188">
                        <c:v>-1.7116048520571248E-4</c:v>
                      </c:pt>
                      <c:pt idx="189">
                        <c:v>3.9716030382763723E-3</c:v>
                      </c:pt>
                      <c:pt idx="190">
                        <c:v>-1.8227794573267841E-3</c:v>
                      </c:pt>
                      <c:pt idx="191">
                        <c:v>-4.7489058725858069E-4</c:v>
                      </c:pt>
                      <c:pt idx="192">
                        <c:v>-9.1912770030079249E-3</c:v>
                      </c:pt>
                      <c:pt idx="193">
                        <c:v>2.1457820892740731E-3</c:v>
                      </c:pt>
                      <c:pt idx="194">
                        <c:v>-2.994908655286066E-4</c:v>
                      </c:pt>
                      <c:pt idx="195">
                        <c:v>2.6514603692762151E-3</c:v>
                      </c:pt>
                      <c:pt idx="196">
                        <c:v>1.6141440228589765E-3</c:v>
                      </c:pt>
                      <c:pt idx="197">
                        <c:v>-3.3002338451409985E-3</c:v>
                      </c:pt>
                      <c:pt idx="198">
                        <c:v>-1.8614747655095742E-2</c:v>
                      </c:pt>
                      <c:pt idx="199">
                        <c:v>4.0925781489629109E-3</c:v>
                      </c:pt>
                      <c:pt idx="200">
                        <c:v>-2.8121072475911779E-3</c:v>
                      </c:pt>
                      <c:pt idx="201">
                        <c:v>1.2265675189796932E-2</c:v>
                      </c:pt>
                      <c:pt idx="202">
                        <c:v>2.5295879476236127E-2</c:v>
                      </c:pt>
                      <c:pt idx="203">
                        <c:v>7.4312198939459062E-3</c:v>
                      </c:pt>
                      <c:pt idx="204">
                        <c:v>3.7568431802581514E-3</c:v>
                      </c:pt>
                      <c:pt idx="205">
                        <c:v>9.6905366322297404E-4</c:v>
                      </c:pt>
                      <c:pt idx="206">
                        <c:v>-2.8926824797754769E-3</c:v>
                      </c:pt>
                      <c:pt idx="207">
                        <c:v>2.3228648443596178E-4</c:v>
                      </c:pt>
                      <c:pt idx="208">
                        <c:v>-6.0497412027306074E-3</c:v>
                      </c:pt>
                      <c:pt idx="209">
                        <c:v>-1.3203522508181798E-2</c:v>
                      </c:pt>
                      <c:pt idx="210">
                        <c:v>3.9178144727474162E-3</c:v>
                      </c:pt>
                      <c:pt idx="211">
                        <c:v>3.9636081050355987E-3</c:v>
                      </c:pt>
                      <c:pt idx="212">
                        <c:v>2.1970667468895755E-5</c:v>
                      </c:pt>
                      <c:pt idx="213">
                        <c:v>5.3404449131417842E-3</c:v>
                      </c:pt>
                      <c:pt idx="214">
                        <c:v>3.4679787718681077E-3</c:v>
                      </c:pt>
                      <c:pt idx="215">
                        <c:v>3.0204344198856425E-3</c:v>
                      </c:pt>
                      <c:pt idx="216">
                        <c:v>5.722044904524104E-3</c:v>
                      </c:pt>
                      <c:pt idx="217">
                        <c:v>-3.8012963267421984E-3</c:v>
                      </c:pt>
                      <c:pt idx="218">
                        <c:v>5.6078443139726541E-3</c:v>
                      </c:pt>
                      <c:pt idx="219">
                        <c:v>2.4484531809998433E-3</c:v>
                      </c:pt>
                      <c:pt idx="220">
                        <c:v>4.5145233705135013E-4</c:v>
                      </c:pt>
                      <c:pt idx="221">
                        <c:v>6.0513596963907013E-3</c:v>
                      </c:pt>
                      <c:pt idx="222">
                        <c:v>-1.8697147288503357E-3</c:v>
                      </c:pt>
                      <c:pt idx="223">
                        <c:v>2.4954280663231909E-3</c:v>
                      </c:pt>
                      <c:pt idx="224">
                        <c:v>-6.1442267748391677E-3</c:v>
                      </c:pt>
                      <c:pt idx="225">
                        <c:v>-2.9638930421207466E-3</c:v>
                      </c:pt>
                      <c:pt idx="226">
                        <c:v>8.1658218598121834E-3</c:v>
                      </c:pt>
                      <c:pt idx="227">
                        <c:v>-5.4140321061636465E-3</c:v>
                      </c:pt>
                      <c:pt idx="228">
                        <c:v>-2.6440818012729572E-5</c:v>
                      </c:pt>
                      <c:pt idx="229">
                        <c:v>3.7993154952247199E-3</c:v>
                      </c:pt>
                      <c:pt idx="230">
                        <c:v>-3.8639596449174807E-3</c:v>
                      </c:pt>
                      <c:pt idx="231">
                        <c:v>-2.9492894104891865E-2</c:v>
                      </c:pt>
                      <c:pt idx="232">
                        <c:v>-8.6509904362275236E-4</c:v>
                      </c:pt>
                      <c:pt idx="233">
                        <c:v>1.0869120584686254E-2</c:v>
                      </c:pt>
                      <c:pt idx="234">
                        <c:v>7.2873196927927264E-3</c:v>
                      </c:pt>
                      <c:pt idx="235">
                        <c:v>1.1042722967758989E-2</c:v>
                      </c:pt>
                      <c:pt idx="236">
                        <c:v>-4.0562645280495246E-4</c:v>
                      </c:pt>
                      <c:pt idx="237">
                        <c:v>-1.1055735815118317E-2</c:v>
                      </c:pt>
                      <c:pt idx="238">
                        <c:v>-1.0702011777237508E-2</c:v>
                      </c:pt>
                      <c:pt idx="239">
                        <c:v>-4.2847904329482711E-3</c:v>
                      </c:pt>
                      <c:pt idx="240">
                        <c:v>-2.2238733140302891E-3</c:v>
                      </c:pt>
                      <c:pt idx="241">
                        <c:v>1.2595956411720177E-2</c:v>
                      </c:pt>
                      <c:pt idx="242">
                        <c:v>5.5381011599553442E-3</c:v>
                      </c:pt>
                      <c:pt idx="243">
                        <c:v>-1.1103896321238205E-2</c:v>
                      </c:pt>
                      <c:pt idx="244">
                        <c:v>1.5603237756451893E-3</c:v>
                      </c:pt>
                      <c:pt idx="245">
                        <c:v>-1.5411650403413191E-2</c:v>
                      </c:pt>
                      <c:pt idx="246">
                        <c:v>1.5754139322881056E-3</c:v>
                      </c:pt>
                      <c:pt idx="247">
                        <c:v>1.146289893115604E-3</c:v>
                      </c:pt>
                      <c:pt idx="248">
                        <c:v>1.8312792769356268E-2</c:v>
                      </c:pt>
                      <c:pt idx="249">
                        <c:v>-2.112636997870454E-3</c:v>
                      </c:pt>
                      <c:pt idx="250">
                        <c:v>9.9910060734267336E-3</c:v>
                      </c:pt>
                      <c:pt idx="251">
                        <c:v>8.7682143059637507E-3</c:v>
                      </c:pt>
                      <c:pt idx="252">
                        <c:v>6.1379611323075789E-3</c:v>
                      </c:pt>
                      <c:pt idx="253">
                        <c:v>5.31351199483443E-3</c:v>
                      </c:pt>
                      <c:pt idx="254">
                        <c:v>-2.8551769899211044E-3</c:v>
                      </c:pt>
                      <c:pt idx="255">
                        <c:v>-1.45806426234667E-2</c:v>
                      </c:pt>
                      <c:pt idx="256">
                        <c:v>-2.945637927707967E-3</c:v>
                      </c:pt>
                      <c:pt idx="257">
                        <c:v>7.2248718423506553E-3</c:v>
                      </c:pt>
                      <c:pt idx="258">
                        <c:v>3.9086566808217427E-3</c:v>
                      </c:pt>
                      <c:pt idx="259">
                        <c:v>3.64432448840879E-3</c:v>
                      </c:pt>
                      <c:pt idx="260">
                        <c:v>-9.464837258386094E-3</c:v>
                      </c:pt>
                      <c:pt idx="261">
                        <c:v>6.712589964470439E-3</c:v>
                      </c:pt>
                      <c:pt idx="262">
                        <c:v>3.3957312690802155E-4</c:v>
                      </c:pt>
                      <c:pt idx="263">
                        <c:v>-2.7239021174919609E-3</c:v>
                      </c:pt>
                      <c:pt idx="264">
                        <c:v>1.0426357037460532E-2</c:v>
                      </c:pt>
                      <c:pt idx="265">
                        <c:v>-7.195338728738232E-5</c:v>
                      </c:pt>
                      <c:pt idx="266">
                        <c:v>2.4449557863681637E-3</c:v>
                      </c:pt>
                      <c:pt idx="267">
                        <c:v>2.3769980977488281E-3</c:v>
                      </c:pt>
                      <c:pt idx="268">
                        <c:v>-4.3342040803039383E-3</c:v>
                      </c:pt>
                      <c:pt idx="269">
                        <c:v>-1.70641044083224E-2</c:v>
                      </c:pt>
                      <c:pt idx="270">
                        <c:v>-4.9691258961639395E-3</c:v>
                      </c:pt>
                      <c:pt idx="271">
                        <c:v>-4.6797309154723576E-3</c:v>
                      </c:pt>
                      <c:pt idx="272">
                        <c:v>1.3601444103938931E-4</c:v>
                      </c:pt>
                      <c:pt idx="273">
                        <c:v>-1.586451446090209E-2</c:v>
                      </c:pt>
                      <c:pt idx="274">
                        <c:v>1.5854114170776867E-2</c:v>
                      </c:pt>
                      <c:pt idx="275">
                        <c:v>-1.7596775547904953E-2</c:v>
                      </c:pt>
                      <c:pt idx="276">
                        <c:v>-1.2234773630190987E-2</c:v>
                      </c:pt>
                      <c:pt idx="277">
                        <c:v>1.1159281084776262E-2</c:v>
                      </c:pt>
                      <c:pt idx="278">
                        <c:v>-1.7819030128555013E-2</c:v>
                      </c:pt>
                      <c:pt idx="279">
                        <c:v>5.5205871897281433E-3</c:v>
                      </c:pt>
                      <c:pt idx="280">
                        <c:v>-2.6973068524487775E-2</c:v>
                      </c:pt>
                      <c:pt idx="281">
                        <c:v>-7.5678236584880709E-3</c:v>
                      </c:pt>
                      <c:pt idx="282">
                        <c:v>4.8868732804865367E-3</c:v>
                      </c:pt>
                      <c:pt idx="283">
                        <c:v>-1.3891022092047178E-2</c:v>
                      </c:pt>
                      <c:pt idx="284">
                        <c:v>2.1265883307494793E-2</c:v>
                      </c:pt>
                      <c:pt idx="285">
                        <c:v>6.4160994796895743E-3</c:v>
                      </c:pt>
                      <c:pt idx="286">
                        <c:v>-1.0653519220738983E-2</c:v>
                      </c:pt>
                      <c:pt idx="287">
                        <c:v>1.0798516740105457E-2</c:v>
                      </c:pt>
                      <c:pt idx="288">
                        <c:v>-2.1849103746239829E-3</c:v>
                      </c:pt>
                      <c:pt idx="289">
                        <c:v>8.2466726353502828E-4</c:v>
                      </c:pt>
                      <c:pt idx="290">
                        <c:v>1.7646041682840563E-2</c:v>
                      </c:pt>
                      <c:pt idx="291">
                        <c:v>1.5743198608773046E-3</c:v>
                      </c:pt>
                      <c:pt idx="292">
                        <c:v>-1.115698545004451E-2</c:v>
                      </c:pt>
                      <c:pt idx="293">
                        <c:v>-3.3069570393192693E-3</c:v>
                      </c:pt>
                      <c:pt idx="294">
                        <c:v>-1.9737200328104554E-2</c:v>
                      </c:pt>
                      <c:pt idx="295">
                        <c:v>5.5384935154294546E-3</c:v>
                      </c:pt>
                      <c:pt idx="296">
                        <c:v>3.7812842467277452E-3</c:v>
                      </c:pt>
                      <c:pt idx="297">
                        <c:v>6.7281251608803938E-3</c:v>
                      </c:pt>
                      <c:pt idx="298">
                        <c:v>-4.839560075260485E-2</c:v>
                      </c:pt>
                      <c:pt idx="299">
                        <c:v>-6.1941769881331044E-2</c:v>
                      </c:pt>
                      <c:pt idx="300">
                        <c:v>-1.5700528421156545E-2</c:v>
                      </c:pt>
                      <c:pt idx="301">
                        <c:v>9.5153900340573472E-2</c:v>
                      </c:pt>
                      <c:pt idx="302">
                        <c:v>-3.4607561069471604E-2</c:v>
                      </c:pt>
                      <c:pt idx="303">
                        <c:v>1.8092083408471682E-2</c:v>
                      </c:pt>
                      <c:pt idx="304">
                        <c:v>7.9446466394201831E-3</c:v>
                      </c:pt>
                      <c:pt idx="305">
                        <c:v>-1.7277195396940837E-3</c:v>
                      </c:pt>
                      <c:pt idx="306">
                        <c:v>-2.2408428964001637E-2</c:v>
                      </c:pt>
                      <c:pt idx="307">
                        <c:v>1.3268381447011368E-3</c:v>
                      </c:pt>
                      <c:pt idx="308">
                        <c:v>9.5784352698435882E-4</c:v>
                      </c:pt>
                      <c:pt idx="309">
                        <c:v>1.6661119264111734E-2</c:v>
                      </c:pt>
                      <c:pt idx="310">
                        <c:v>2.025908412793509E-2</c:v>
                      </c:pt>
                      <c:pt idx="311">
                        <c:v>7.3731441792452834E-3</c:v>
                      </c:pt>
                      <c:pt idx="312">
                        <c:v>6.4069962951629478E-4</c:v>
                      </c:pt>
                      <c:pt idx="313">
                        <c:v>5.8023965634184105E-3</c:v>
                      </c:pt>
                      <c:pt idx="314">
                        <c:v>1.4799948928487794E-3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'Portfolio Beta'!$V$55:$V$369</c15:sqref>
                        </c15:formulaRef>
                      </c:ext>
                    </c:extLst>
                    <c:numCache>
                      <c:formatCode>General</c:formatCode>
                      <c:ptCount val="31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970B-4658-9D8E-ABBA098BBB24}"/>
                  </c:ext>
                </c:extLst>
              </c15:ser>
            </c15:filteredScatterSeries>
          </c:ext>
        </c:extLst>
      </c:scatterChart>
      <c:valAx>
        <c:axId val="480614192"/>
        <c:scaling>
          <c:orientation val="minMax"/>
          <c:max val="3.0000000000000006E-2"/>
          <c:min val="-6.0000000000000012E-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Portfolio Daily</a:t>
                </a:r>
                <a:r>
                  <a:rPr lang="en-GB" baseline="0"/>
                  <a:t> Return</a:t>
                </a:r>
                <a:r>
                  <a:rPr lang="en-GB"/>
                  <a:t> (Y)</a:t>
                </a:r>
              </a:p>
            </c:rich>
          </c:tx>
          <c:layout>
            <c:manualLayout>
              <c:xMode val="edge"/>
              <c:yMode val="edge"/>
              <c:x val="0.57361091072326387"/>
              <c:y val="0.95421645820994316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80615272"/>
        <c:crosses val="autoZero"/>
        <c:crossBetween val="midCat"/>
        <c:majorUnit val="1.0000000000000002E-2"/>
        <c:minorUnit val="5.000000000000001E-3"/>
      </c:valAx>
      <c:valAx>
        <c:axId val="480615272"/>
        <c:scaling>
          <c:orientation val="minMax"/>
          <c:max val="8.0000000000000016E-2"/>
          <c:min val="-8.0000000000000016E-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S&amp;P500</a:t>
                </a:r>
                <a:r>
                  <a:rPr lang="en-GB" baseline="0"/>
                  <a:t> Daily Return (X)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"/>
              <c:y val="0.4092340284354185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8061419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948662549401"/>
          <c:y val="4.2307705120443698E-2"/>
          <c:w val="0.80742318512047395"/>
          <c:h val="0.849892216192466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'$ Portfolio Loss'!$R$4</c:f>
              <c:strCache>
                <c:ptCount val="1"/>
                <c:pt idx="0">
                  <c:v>Loss in million USD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'$ Portfolio Loss'!$Y$13:$Y$34</c:f>
              <c:numCache>
                <c:formatCode>0</c:formatCode>
                <c:ptCount val="22"/>
                <c:pt idx="0">
                  <c:v>-70</c:v>
                </c:pt>
                <c:pt idx="1">
                  <c:v>-60</c:v>
                </c:pt>
                <c:pt idx="2">
                  <c:v>-50</c:v>
                </c:pt>
                <c:pt idx="3">
                  <c:v>-40</c:v>
                </c:pt>
                <c:pt idx="4">
                  <c:v>-30</c:v>
                </c:pt>
                <c:pt idx="5">
                  <c:v>-20</c:v>
                </c:pt>
                <c:pt idx="6">
                  <c:v>-10</c:v>
                </c:pt>
                <c:pt idx="7">
                  <c:v>0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  <c:pt idx="11">
                  <c:v>40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80</c:v>
                </c:pt>
                <c:pt idx="16">
                  <c:v>90</c:v>
                </c:pt>
                <c:pt idx="17">
                  <c:v>100</c:v>
                </c:pt>
                <c:pt idx="18">
                  <c:v>110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</c:numCache>
            </c:numRef>
          </c:cat>
          <c:val>
            <c:numRef>
              <c:f>'$ Portfolio Loss'!$V$13:$V$34</c:f>
              <c:numCache>
                <c:formatCode>0.00%</c:formatCode>
                <c:ptCount val="22"/>
                <c:pt idx="0">
                  <c:v>0</c:v>
                </c:pt>
                <c:pt idx="1">
                  <c:v>3.1746031746031746E-3</c:v>
                </c:pt>
                <c:pt idx="2">
                  <c:v>0</c:v>
                </c:pt>
                <c:pt idx="3">
                  <c:v>1.9047619047619049E-2</c:v>
                </c:pt>
                <c:pt idx="4">
                  <c:v>2.2222222222222223E-2</c:v>
                </c:pt>
                <c:pt idx="5">
                  <c:v>9.841269841269841E-2</c:v>
                </c:pt>
                <c:pt idx="6">
                  <c:v>0.13015873015873017</c:v>
                </c:pt>
                <c:pt idx="7">
                  <c:v>0.23174603174603176</c:v>
                </c:pt>
                <c:pt idx="8">
                  <c:v>0.27301587301587299</c:v>
                </c:pt>
                <c:pt idx="9">
                  <c:v>0.15238095238095239</c:v>
                </c:pt>
                <c:pt idx="10">
                  <c:v>5.0793650793650794E-2</c:v>
                </c:pt>
                <c:pt idx="11">
                  <c:v>9.5238095238095247E-3</c:v>
                </c:pt>
                <c:pt idx="12">
                  <c:v>3.1746031746031746E-3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3.1746031746031746E-3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3.1746031746031746E-3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F-4699-B8C1-C1E384463F8B}"/>
            </c:ext>
          </c:extLst>
        </c:ser>
        <c:ser>
          <c:idx val="1"/>
          <c:order val="1"/>
          <c:tx>
            <c:strRef>
              <c:f>'$ Portfolio Loss'!$AA$4</c:f>
              <c:strCache>
                <c:ptCount val="1"/>
                <c:pt idx="0">
                  <c:v>Normal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'$ Portfolio Loss'!$Y$13:$Y$34</c:f>
              <c:numCache>
                <c:formatCode>0</c:formatCode>
                <c:ptCount val="22"/>
                <c:pt idx="0">
                  <c:v>-70</c:v>
                </c:pt>
                <c:pt idx="1">
                  <c:v>-60</c:v>
                </c:pt>
                <c:pt idx="2">
                  <c:v>-50</c:v>
                </c:pt>
                <c:pt idx="3">
                  <c:v>-40</c:v>
                </c:pt>
                <c:pt idx="4">
                  <c:v>-30</c:v>
                </c:pt>
                <c:pt idx="5">
                  <c:v>-20</c:v>
                </c:pt>
                <c:pt idx="6">
                  <c:v>-10</c:v>
                </c:pt>
                <c:pt idx="7">
                  <c:v>0</c:v>
                </c:pt>
                <c:pt idx="8">
                  <c:v>10</c:v>
                </c:pt>
                <c:pt idx="9">
                  <c:v>20</c:v>
                </c:pt>
                <c:pt idx="10">
                  <c:v>30</c:v>
                </c:pt>
                <c:pt idx="11">
                  <c:v>40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80</c:v>
                </c:pt>
                <c:pt idx="16">
                  <c:v>90</c:v>
                </c:pt>
                <c:pt idx="17">
                  <c:v>100</c:v>
                </c:pt>
                <c:pt idx="18">
                  <c:v>110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</c:numCache>
            </c:numRef>
          </c:cat>
          <c:val>
            <c:numRef>
              <c:f>'$ Portfolio Loss'!$AA$13:$AA$34</c:f>
              <c:numCache>
                <c:formatCode>0.00%</c:formatCode>
                <c:ptCount val="22"/>
                <c:pt idx="0">
                  <c:v>8.2385258565381716E-5</c:v>
                </c:pt>
                <c:pt idx="1">
                  <c:v>5.573568998134095E-4</c:v>
                </c:pt>
                <c:pt idx="2">
                  <c:v>3.1145659808902819E-3</c:v>
                </c:pt>
                <c:pt idx="3">
                  <c:v>1.2986399984245559E-2</c:v>
                </c:pt>
                <c:pt idx="4">
                  <c:v>4.0413261312962467E-2</c:v>
                </c:pt>
                <c:pt idx="5">
                  <c:v>9.3886120194045908E-2</c:v>
                </c:pt>
                <c:pt idx="6">
                  <c:v>0.16285377556787711</c:v>
                </c:pt>
                <c:pt idx="7">
                  <c:v>0.21094290683480876</c:v>
                </c:pt>
                <c:pt idx="8">
                  <c:v>0.20404569729778455</c:v>
                </c:pt>
                <c:pt idx="9">
                  <c:v>0.14739480509798453</c:v>
                </c:pt>
                <c:pt idx="10">
                  <c:v>7.9505670371765702E-2</c:v>
                </c:pt>
                <c:pt idx="11">
                  <c:v>3.2019727457880176E-2</c:v>
                </c:pt>
                <c:pt idx="12">
                  <c:v>9.6262892289482593E-3</c:v>
                </c:pt>
                <c:pt idx="13">
                  <c:v>2.1598268729215997E-3</c:v>
                </c:pt>
                <c:pt idx="14">
                  <c:v>3.6155744625065989E-4</c:v>
                </c:pt>
                <c:pt idx="15">
                  <c:v>4.5144012881359608E-5</c:v>
                </c:pt>
                <c:pt idx="16">
                  <c:v>4.2028534664728667E-6</c:v>
                </c:pt>
                <c:pt idx="17">
                  <c:v>2.916491987914327E-7</c:v>
                </c:pt>
                <c:pt idx="18">
                  <c:v>1.5079916648730318E-8</c:v>
                </c:pt>
                <c:pt idx="19">
                  <c:v>5.8077620490593063E-10</c:v>
                </c:pt>
                <c:pt idx="20">
                  <c:v>1.6654899681611823E-11</c:v>
                </c:pt>
                <c:pt idx="21">
                  <c:v>3.5560443478743764E-13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F-4699-B8C1-C1E384463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578584"/>
        <c:axId val="2111299224"/>
      </c:barChart>
      <c:catAx>
        <c:axId val="2113578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Loss (in million 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299224"/>
        <c:crosses val="autoZero"/>
        <c:auto val="1"/>
        <c:lblAlgn val="ctr"/>
        <c:lblOffset val="100"/>
        <c:noMultiLvlLbl val="0"/>
      </c:catAx>
      <c:valAx>
        <c:axId val="211129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Frequency Distribution</a:t>
                </a:r>
              </a:p>
            </c:rich>
          </c:tx>
          <c:layout>
            <c:manualLayout>
              <c:xMode val="edge"/>
              <c:yMode val="edge"/>
              <c:x val="6.9254950403775948E-3"/>
              <c:y val="0.30897557290355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78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99% Confidence Level VaR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'Portfolio VaR and ES Analysis'!$B$1</c:f>
              <c:strCache>
                <c:ptCount val="1"/>
                <c:pt idx="0">
                  <c:v>VaR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'Portfolio VaR and ES Analysis'!$A$2:$A$4</c:f>
              <c:strCache>
                <c:ptCount val="3"/>
                <c:pt idx="0">
                  <c:v>Historical Simulation</c:v>
                </c:pt>
                <c:pt idx="1">
                  <c:v>Delta-normal</c:v>
                </c:pt>
                <c:pt idx="2">
                  <c:v>Monte-Carlo</c:v>
                </c:pt>
              </c:strCache>
            </c:strRef>
          </c:cat>
          <c:val>
            <c:numRef>
              <c:f>'Portfolio VaR and ES Analysis'!$B$2:$B$4</c:f>
              <c:numCache>
                <c:formatCode>0.00</c:formatCode>
                <c:ptCount val="3"/>
                <c:pt idx="0">
                  <c:v>39.877873152023973</c:v>
                </c:pt>
                <c:pt idx="1">
                  <c:v>41.3735</c:v>
                </c:pt>
                <c:pt idx="2" formatCode="General">
                  <c:v>39.93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5-4833-A73C-278C2C30B4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702433216"/>
        <c:axId val="702431416"/>
      </c:barChart>
      <c:catAx>
        <c:axId val="70243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31416"/>
        <c:crosses val="autoZero"/>
        <c:auto val="1"/>
        <c:lblAlgn val="ctr"/>
        <c:lblOffset val="100"/>
        <c:noMultiLvlLbl val="0"/>
      </c:catAx>
      <c:valAx>
        <c:axId val="70243141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 dollars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0.34271216097987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3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99% Confidence Level Expected Shortfall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'Portfolio VaR and ES Analysis'!$C$1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'Portfolio VaR and ES Analysis'!$A$2:$A$4</c:f>
              <c:strCache>
                <c:ptCount val="3"/>
                <c:pt idx="0">
                  <c:v>Historical Simulation</c:v>
                </c:pt>
                <c:pt idx="1">
                  <c:v>Delta-normal</c:v>
                </c:pt>
                <c:pt idx="2">
                  <c:v>Monte-Carlo</c:v>
                </c:pt>
              </c:strCache>
            </c:strRef>
          </c:cat>
          <c:val>
            <c:numRef>
              <c:f>'Portfolio VaR and ES Analysis'!$C$2:$C$4</c:f>
              <c:numCache>
                <c:formatCode>0.00</c:formatCode>
                <c:ptCount val="3"/>
                <c:pt idx="0">
                  <c:v>85.969205543972294</c:v>
                </c:pt>
                <c:pt idx="1">
                  <c:v>47.612699999999997</c:v>
                </c:pt>
                <c:pt idx="2" formatCode="General">
                  <c:v>45.74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CB-4CEF-AF3B-235F61D0DB8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-27"/>
        <c:axId val="702433216"/>
        <c:axId val="702431416"/>
      </c:barChart>
      <c:catAx>
        <c:axId val="70243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31416"/>
        <c:crosses val="autoZero"/>
        <c:auto val="1"/>
        <c:lblAlgn val="ctr"/>
        <c:lblOffset val="100"/>
        <c:noMultiLvlLbl val="0"/>
      </c:catAx>
      <c:valAx>
        <c:axId val="702431416"/>
        <c:scaling>
          <c:orientation val="minMax"/>
          <c:max val="9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 dollars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0.34271216097987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3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Differenet Hedging Strategies'</a:t>
            </a:r>
            <a:r>
              <a:rPr lang="en-US" sz="1800" b="1" baseline="0"/>
              <a:t> </a:t>
            </a:r>
            <a:r>
              <a:rPr lang="en-US" sz="1800" b="1"/>
              <a:t>Net Portfolio Value in million 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'Hedging Outcome'!$A$1</c:f>
              <c:strCache>
                <c:ptCount val="1"/>
                <c:pt idx="0">
                  <c:v>Unhedge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'Hedging Outcome'!$A$23:$A$29</c:f>
              <c:numCache>
                <c:formatCode>General</c:formatCode>
                <c:ptCount val="7"/>
                <c:pt idx="0">
                  <c:v>6682.87</c:v>
                </c:pt>
                <c:pt idx="1">
                  <c:v>5847.51</c:v>
                </c:pt>
                <c:pt idx="2">
                  <c:v>5624.75</c:v>
                </c:pt>
                <c:pt idx="3">
                  <c:v>5569.06</c:v>
                </c:pt>
                <c:pt idx="4">
                  <c:v>5513.37</c:v>
                </c:pt>
                <c:pt idx="5">
                  <c:v>5290.61</c:v>
                </c:pt>
                <c:pt idx="6">
                  <c:v>4455.25</c:v>
                </c:pt>
              </c:numCache>
            </c:numRef>
          </c:cat>
          <c:val>
            <c:numRef>
              <c:f>'Hedging Outcome'!$C$3:$C$9</c:f>
              <c:numCache>
                <c:formatCode>0</c:formatCode>
                <c:ptCount val="7"/>
                <c:pt idx="0">
                  <c:v>1051088000</c:v>
                </c:pt>
                <c:pt idx="1">
                  <c:v>1012772000</c:v>
                </c:pt>
                <c:pt idx="2">
                  <c:v>1002554400</c:v>
                </c:pt>
                <c:pt idx="3">
                  <c:v>1000000000</c:v>
                </c:pt>
                <c:pt idx="4">
                  <c:v>997445600</c:v>
                </c:pt>
                <c:pt idx="5">
                  <c:v>987228000</c:v>
                </c:pt>
                <c:pt idx="6">
                  <c:v>948912000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0-4BA1-86B7-9D0ABBCE1071}"/>
            </c:ext>
          </c:extLst>
        </c:ser>
        <c:ser>
          <c:idx val="1"/>
          <c:order val="1"/>
          <c:tx>
            <c:strRef>
              <c:f>'Hedging Outcome'!$A$11</c:f>
              <c:strCache>
                <c:ptCount val="1"/>
                <c:pt idx="0">
                  <c:v>Futures Hedging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'Hedging Outcome'!$A$23:$A$29</c:f>
              <c:numCache>
                <c:formatCode>General</c:formatCode>
                <c:ptCount val="7"/>
                <c:pt idx="0">
                  <c:v>6682.87</c:v>
                </c:pt>
                <c:pt idx="1">
                  <c:v>5847.51</c:v>
                </c:pt>
                <c:pt idx="2">
                  <c:v>5624.75</c:v>
                </c:pt>
                <c:pt idx="3">
                  <c:v>5569.06</c:v>
                </c:pt>
                <c:pt idx="4">
                  <c:v>5513.37</c:v>
                </c:pt>
                <c:pt idx="5">
                  <c:v>5290.61</c:v>
                </c:pt>
                <c:pt idx="6">
                  <c:v>4455.25</c:v>
                </c:pt>
              </c:numCache>
            </c:numRef>
          </c:cat>
          <c:val>
            <c:numRef>
              <c:f>'Hedging Outcome'!$C$13:$C$19</c:f>
              <c:numCache>
                <c:formatCode>0</c:formatCode>
                <c:ptCount val="7"/>
                <c:pt idx="0">
                  <c:v>999964029</c:v>
                </c:pt>
                <c:pt idx="1">
                  <c:v>999991145</c:v>
                </c:pt>
                <c:pt idx="2">
                  <c:v>999998229</c:v>
                </c:pt>
                <c:pt idx="3">
                  <c:v>1000000000</c:v>
                </c:pt>
                <c:pt idx="4">
                  <c:v>1000001771</c:v>
                </c:pt>
                <c:pt idx="5">
                  <c:v>1000008855</c:v>
                </c:pt>
                <c:pt idx="6">
                  <c:v>1000035879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C30-4BA1-86B7-9D0ABBCE1071}"/>
            </c:ext>
          </c:extLst>
        </c:ser>
        <c:ser>
          <c:idx val="2"/>
          <c:order val="2"/>
          <c:tx>
            <c:strRef>
              <c:f>'Hedging Outcome'!$A$21</c:f>
              <c:strCache>
                <c:ptCount val="1"/>
                <c:pt idx="0">
                  <c:v>Option Hedging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'Hedging Outcome'!$A$23:$A$29</c:f>
              <c:numCache>
                <c:formatCode>General</c:formatCode>
                <c:ptCount val="7"/>
                <c:pt idx="0">
                  <c:v>6682.87</c:v>
                </c:pt>
                <c:pt idx="1">
                  <c:v>5847.51</c:v>
                </c:pt>
                <c:pt idx="2">
                  <c:v>5624.75</c:v>
                </c:pt>
                <c:pt idx="3">
                  <c:v>5569.06</c:v>
                </c:pt>
                <c:pt idx="4">
                  <c:v>5513.37</c:v>
                </c:pt>
                <c:pt idx="5">
                  <c:v>5290.61</c:v>
                </c:pt>
                <c:pt idx="6">
                  <c:v>4455.25</c:v>
                </c:pt>
              </c:numCache>
            </c:numRef>
          </c:cat>
          <c:val>
            <c:numRef>
              <c:f>'Hedging Outcome'!$C$23:$C$29</c:f>
              <c:numCache>
                <c:formatCode>General</c:formatCode>
                <c:ptCount val="7"/>
                <c:pt idx="0">
                  <c:v>1049217575</c:v>
                </c:pt>
                <c:pt idx="1">
                  <c:v>1010901575</c:v>
                </c:pt>
                <c:pt idx="2">
                  <c:v>1000683975</c:v>
                </c:pt>
                <c:pt idx="3">
                  <c:v>998129575</c:v>
                </c:pt>
                <c:pt idx="4">
                  <c:v>997256492</c:v>
                </c:pt>
                <c:pt idx="5">
                  <c:v>997263576</c:v>
                </c:pt>
                <c:pt idx="6">
                  <c:v>997290600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C30-4BA1-86B7-9D0ABBCE1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0415024"/>
        <c:axId val="706418024"/>
      </c:lineChart>
      <c:catAx>
        <c:axId val="7004150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S&amp;P500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18024"/>
        <c:crosses val="autoZero"/>
        <c:auto val="1"/>
        <c:lblAlgn val="ctr"/>
        <c:lblOffset val="100"/>
        <c:noMultiLvlLbl val="0"/>
      </c:catAx>
      <c:valAx>
        <c:axId val="706418024"/>
        <c:scaling>
          <c:orientation val="minMax"/>
          <c:min val="94000000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41502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Portfolio Value 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Portfolio Value Histogram</a:t>
          </a:r>
        </a:p>
      </cx:txPr>
    </cx:title>
    <cx:plotArea>
      <cx:plotAreaRegion>
        <cx:series layoutId="clusteredColumn" uniqueId="{5CDCF665-FCB8-4D9A-84EA-CF7B3D0D2CDF}">
          <cx:tx>
            <cx:txData>
              <cx:f>_xlchart.v1.0</cx:f>
              <cx:v>Portfolio Value</cx:v>
            </cx:txData>
          </cx:tx>
          <cx:dataLabels>
            <cx:visibility seriesName="0" categoryName="0" value="1"/>
          </cx:dataLabels>
          <cx:dataId val="0"/>
          <cx:layoutPr>
            <cx:binning intervalClosed="r">
              <cx:binCount val="22"/>
            </cx:binning>
          </cx:layoutPr>
        </cx:series>
      </cx:plotAreaRegion>
      <cx:axis id="0">
        <cx:catScaling gapWidth="0"/>
        <cx:tickLabels/>
        <cx:numFmt formatCode="#,##0.00" sourceLinked="0"/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Frequency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Monte-Carlo Simulation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Monte-Carlo Simulation</a:t>
          </a:r>
        </a:p>
      </cx:txPr>
    </cx:title>
    <cx:plotArea>
      <cx:plotAreaRegion>
        <cx:series layoutId="clusteredColumn" uniqueId="{D7769CC6-F344-469E-BDFA-B6BDF2237213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295468</xdr:colOff>
      <xdr:row>3</xdr:row>
      <xdr:rowOff>148297</xdr:rowOff>
    </xdr:from>
    <xdr:to>
      <xdr:col>27</xdr:col>
      <xdr:colOff>578303</xdr:colOff>
      <xdr:row>25</xdr:row>
      <xdr:rowOff>74839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F8D26B-41AD-4530-B86A-6DBDF5AA92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297051</xdr:colOff>
      <xdr:row>26</xdr:row>
      <xdr:rowOff>419</xdr:rowOff>
    </xdr:from>
    <xdr:to>
      <xdr:col>27</xdr:col>
      <xdr:colOff>579379</xdr:colOff>
      <xdr:row>47</xdr:row>
      <xdr:rowOff>120162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5EB0B9-58C1-4983-AF21-0DBA399B9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295465</xdr:colOff>
      <xdr:row>48</xdr:row>
      <xdr:rowOff>45742</xdr:rowOff>
    </xdr:from>
    <xdr:to>
      <xdr:col>27</xdr:col>
      <xdr:colOff>585105</xdr:colOff>
      <xdr:row>70</xdr:row>
      <xdr:rowOff>52395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98863F-377B-4D61-8BB1-A3A7341F8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300330</xdr:colOff>
      <xdr:row>93</xdr:row>
      <xdr:rowOff>114754</xdr:rowOff>
    </xdr:from>
    <xdr:to>
      <xdr:col>27</xdr:col>
      <xdr:colOff>591910</xdr:colOff>
      <xdr:row>114</xdr:row>
      <xdr:rowOff>139734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D39007CD-9339-44FD-8659-26544809E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293914</xdr:colOff>
      <xdr:row>70</xdr:row>
      <xdr:rowOff>168475</xdr:rowOff>
    </xdr:from>
    <xdr:to>
      <xdr:col>27</xdr:col>
      <xdr:colOff>587827</xdr:colOff>
      <xdr:row>92</xdr:row>
      <xdr:rowOff>189174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B0A04E-7E56-4A0A-A225-3C527CDD52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304800</xdr:colOff>
      <xdr:row>115</xdr:row>
      <xdr:rowOff>65315</xdr:rowOff>
    </xdr:from>
    <xdr:to>
      <xdr:col>27</xdr:col>
      <xdr:colOff>587828</xdr:colOff>
      <xdr:row>136</xdr:row>
      <xdr:rowOff>81021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8B4596-EA0B-42DB-A982-C4AB94CDD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3137</xdr:colOff>
      <xdr:row>26</xdr:row>
      <xdr:rowOff>0</xdr:rowOff>
    </xdr:from>
    <xdr:to>
      <xdr:col>36</xdr:col>
      <xdr:colOff>114015</xdr:colOff>
      <xdr:row>47</xdr:row>
      <xdr:rowOff>119743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8B0712-1F10-4283-ADDA-E4185F1B62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1551</xdr:colOff>
      <xdr:row>48</xdr:row>
      <xdr:rowOff>45323</xdr:rowOff>
    </xdr:from>
    <xdr:to>
      <xdr:col>36</xdr:col>
      <xdr:colOff>119741</xdr:colOff>
      <xdr:row>70</xdr:row>
      <xdr:rowOff>51976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17361B-513D-49F9-BC59-FCD35FD835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6416</xdr:colOff>
      <xdr:row>93</xdr:row>
      <xdr:rowOff>114335</xdr:rowOff>
    </xdr:from>
    <xdr:to>
      <xdr:col>36</xdr:col>
      <xdr:colOff>126546</xdr:colOff>
      <xdr:row>114</xdr:row>
      <xdr:rowOff>139315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732CC9C-92B4-4935-9F69-FA84FEA20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0</xdr:colOff>
      <xdr:row>70</xdr:row>
      <xdr:rowOff>168056</xdr:rowOff>
    </xdr:from>
    <xdr:to>
      <xdr:col>36</xdr:col>
      <xdr:colOff>122463</xdr:colOff>
      <xdr:row>92</xdr:row>
      <xdr:rowOff>181135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2004D3D-3D4E-4DF5-9E9A-F51A4205F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28</xdr:col>
      <xdr:colOff>10886</xdr:colOff>
      <xdr:row>115</xdr:row>
      <xdr:rowOff>64896</xdr:rowOff>
    </xdr:from>
    <xdr:to>
      <xdr:col>36</xdr:col>
      <xdr:colOff>122464</xdr:colOff>
      <xdr:row>136</xdr:row>
      <xdr:rowOff>80602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DC2F950-EFED-4565-A98C-BA3913BAAB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813262</xdr:colOff>
      <xdr:row>29</xdr:row>
      <xdr:rowOff>83128</xdr:rowOff>
    </xdr:from>
    <xdr:to>
      <xdr:col>30</xdr:col>
      <xdr:colOff>0</xdr:colOff>
      <xdr:row>56</xdr:row>
      <xdr:rowOff>116541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BC2F8AA-A09D-D56F-1217-0B9184336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0.13617</cdr:x>
      <cdr:y>0.65734</cdr:y>
    </cdr:from>
    <cdr:to>
      <cdr:x>0.36606</cdr:x>
      <cdr:y>0.72147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CF67981-AD54-D963-67A0-AE3E76DF7845}"/>
            </a:ext>
          </a:extLst>
        </cdr:cNvPr>
        <cdr:cNvSpPr txBox="1"/>
      </cdr:nvSpPr>
      <cdr:spPr>
        <a:xfrm xmlns:a="http://schemas.openxmlformats.org/drawingml/2006/main">
          <a:off x="1051398" y="3215884"/>
          <a:ext cx="1775011" cy="3137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200" b="1" kern="1200"/>
            <a:t>Y = 0.00018</a:t>
          </a:r>
          <a:r>
            <a:rPr lang="en-GB" sz="1200" b="1" kern="1200" baseline="0"/>
            <a:t> </a:t>
          </a:r>
          <a:r>
            <a:rPr lang="en-GB" sz="1200" b="1" kern="1200"/>
            <a:t>+ 0.25544X</a:t>
          </a:r>
        </a:p>
      </cdr:txBody>
    </cdr:sp>
  </cdr:relSizeAnchor>
  <cdr:relSizeAnchor xmlns:cdr="http://schemas.openxmlformats.org/drawingml/2006/chartDrawing">
    <cdr:from>
      <cdr:x>0.24183</cdr:x>
      <cdr:y>0.57488</cdr:y>
    </cdr:from>
    <cdr:to>
      <cdr:x>0.25924</cdr:x>
      <cdr:y>0.661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343B3BBF-9DEE-ED1D-7247-90F5D83BA419}"/>
            </a:ext>
          </a:extLst>
        </cdr:cNvPr>
        <cdr:cNvCxnSpPr/>
      </cdr:nvCxnSpPr>
      <cdr:spPr>
        <a:xfrm xmlns:a="http://schemas.openxmlformats.org/drawingml/2006/main" flipV="1">
          <a:off x="1867185" y="2812472"/>
          <a:ext cx="134471" cy="42134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301343</xdr:colOff>
      <xdr:row>11</xdr:row>
      <xdr:rowOff>54634</xdr:rowOff>
    </xdr:from>
    <xdr:to>
      <xdr:col>41</xdr:col>
      <xdr:colOff>362511</xdr:colOff>
      <xdr:row>32</xdr:row>
      <xdr:rowOff>139434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293914</xdr:colOff>
      <xdr:row>33</xdr:row>
      <xdr:rowOff>103414</xdr:rowOff>
    </xdr:from>
    <xdr:to>
      <xdr:col>41</xdr:col>
      <xdr:colOff>370114</xdr:colOff>
      <xdr:row>58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5D75283-3621-BF51-F897-3D97D3E9C2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153134" y="6138454"/>
              <a:ext cx="7391400" cy="44685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283028</xdr:colOff>
      <xdr:row>1</xdr:row>
      <xdr:rowOff>54428</xdr:rowOff>
    </xdr:from>
    <xdr:to>
      <xdr:col>30</xdr:col>
      <xdr:colOff>96762</xdr:colOff>
      <xdr:row>15</xdr:row>
      <xdr:rowOff>130628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504255F-2EE1-4A6F-83B1-2488015FEC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34308" y="237308"/>
              <a:ext cx="4690534" cy="26365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441960</xdr:colOff>
      <xdr:row>1</xdr:row>
      <xdr:rowOff>144780</xdr:rowOff>
    </xdr:from>
    <xdr:to>
      <xdr:col>11</xdr:col>
      <xdr:colOff>137160</xdr:colOff>
      <xdr:row>16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76AC7E-A3D7-3E56-786C-0A9C2D0E8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175260</xdr:colOff>
      <xdr:row>1</xdr:row>
      <xdr:rowOff>144780</xdr:rowOff>
    </xdr:from>
    <xdr:to>
      <xdr:col>18</xdr:col>
      <xdr:colOff>480060</xdr:colOff>
      <xdr:row>16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9086203-C726-4CB6-8333-F13ABBD44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510540</xdr:colOff>
      <xdr:row>0</xdr:row>
      <xdr:rowOff>160020</xdr:rowOff>
    </xdr:from>
    <xdr:to>
      <xdr:col>16</xdr:col>
      <xdr:colOff>596336</xdr:colOff>
      <xdr:row>28</xdr:row>
      <xdr:rowOff>166254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EDE842-392F-2045-D076-D3382F156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J649"/>
  <sheetViews>
    <sheetView zoomScale="70" zoomScaleNormal="70" zoomScalePageLayoutView="90" workbookViewId="0">
      <pane ySplit="1" topLeftCell="A287" activePane="bottomLeft" state="frozen"/>
      <selection pane="bottomLeft" activeCell="C302" sqref="C302"/>
    </sheetView>
  </sheetViews>
  <sheetFormatPr defaultColWidth="8.88671875" defaultRowHeight="14.4" x14ac:dyDescent="0.3"/>
  <cols>
    <col min="1" max="1" width="8.88671875" style="16"/>
    <col min="2" max="2" width="13.33203125" style="18" customWidth="1"/>
    <col min="3" max="3" width="12.88671875" style="6" bestFit="1" customWidth="1"/>
    <col min="4" max="4" width="15.21875" style="10" bestFit="1" customWidth="1"/>
    <col min="5" max="5" width="8.88671875" style="10"/>
    <col min="6" max="6" width="14" style="14" bestFit="1" customWidth="1"/>
    <col min="7" max="7" width="18" style="10" bestFit="1" customWidth="1"/>
    <col min="8" max="8" width="8.88671875" style="10"/>
    <col min="9" max="9" width="22.21875" style="14" bestFit="1" customWidth="1"/>
    <col min="10" max="10" width="19.88671875" style="10" bestFit="1" customWidth="1"/>
    <col min="11" max="11" width="8.88671875" style="42"/>
    <col min="12" max="12" width="24" style="14" bestFit="1" customWidth="1"/>
    <col min="13" max="13" width="13.109375" style="14" bestFit="1" customWidth="1"/>
    <col min="14" max="14" width="9" style="14" bestFit="1" customWidth="1"/>
    <col min="15" max="15" width="17.21875" style="14" bestFit="1" customWidth="1"/>
    <col min="16" max="16" width="13.21875" style="14" bestFit="1" customWidth="1"/>
    <col min="17" max="17" width="9" style="14" bestFit="1" customWidth="1"/>
    <col min="18" max="18" width="17.33203125" style="14" bestFit="1" customWidth="1"/>
    <col min="19" max="19" width="24" style="14" customWidth="1"/>
    <col min="20" max="20" width="4.44140625" style="28" customWidth="1"/>
    <col min="21" max="21" width="13.44140625" style="12" customWidth="1"/>
    <col min="22" max="22" width="9.88671875" style="12" bestFit="1" customWidth="1"/>
    <col min="23" max="23" width="11.109375" style="12" customWidth="1"/>
    <col min="24" max="24" width="12.109375" style="12" customWidth="1"/>
    <col min="25" max="25" width="11.88671875" style="12" customWidth="1"/>
    <col min="26" max="26" width="8.88671875" style="12"/>
    <col min="27" max="27" width="10.44140625" style="12" bestFit="1" customWidth="1"/>
    <col min="28" max="29" width="9.44140625" style="12" bestFit="1" customWidth="1"/>
    <col min="30" max="30" width="12.44140625" style="12" customWidth="1"/>
    <col min="31" max="31" width="8.88671875" style="12"/>
    <col min="32" max="32" width="10.44140625" style="12" bestFit="1" customWidth="1"/>
    <col min="33" max="33" width="9.44140625" style="12" bestFit="1" customWidth="1"/>
    <col min="34" max="34" width="11.88671875" style="12" customWidth="1"/>
    <col min="35" max="16384" width="8.88671875" style="12"/>
  </cols>
  <sheetData>
    <row r="1" spans="1:21" s="9" customFormat="1" x14ac:dyDescent="0.3">
      <c r="A1" s="15" t="s">
        <v>0</v>
      </c>
      <c r="B1" s="17" t="s">
        <v>5</v>
      </c>
      <c r="C1" s="5" t="s">
        <v>36</v>
      </c>
      <c r="D1" s="8" t="s">
        <v>35</v>
      </c>
      <c r="E1" s="8" t="s">
        <v>45</v>
      </c>
      <c r="F1" s="13" t="s">
        <v>29</v>
      </c>
      <c r="G1" s="7" t="s">
        <v>37</v>
      </c>
      <c r="H1" s="8" t="s">
        <v>45</v>
      </c>
      <c r="I1" s="13" t="s">
        <v>39</v>
      </c>
      <c r="J1" s="7" t="s">
        <v>38</v>
      </c>
      <c r="K1" s="8" t="s">
        <v>45</v>
      </c>
      <c r="L1" s="13" t="s">
        <v>40</v>
      </c>
      <c r="M1" s="7" t="s">
        <v>41</v>
      </c>
      <c r="N1" s="8" t="s">
        <v>45</v>
      </c>
      <c r="O1" s="13" t="s">
        <v>42</v>
      </c>
      <c r="P1" s="41" t="s">
        <v>44</v>
      </c>
      <c r="Q1" s="8" t="s">
        <v>45</v>
      </c>
      <c r="R1" s="13" t="s">
        <v>43</v>
      </c>
      <c r="S1" s="41"/>
      <c r="T1" s="27"/>
    </row>
    <row r="2" spans="1:21" x14ac:dyDescent="0.3">
      <c r="A2" s="16">
        <v>0</v>
      </c>
      <c r="B2" s="3">
        <v>45293</v>
      </c>
      <c r="C2" s="40">
        <v>4742.83</v>
      </c>
      <c r="D2">
        <v>16788.55</v>
      </c>
      <c r="E2">
        <v>7.8155000000000001</v>
      </c>
      <c r="F2" s="14">
        <f>D2/E2</f>
        <v>2148.1095259420381</v>
      </c>
      <c r="G2">
        <v>10789.84</v>
      </c>
      <c r="H2">
        <v>7.8155000000000001</v>
      </c>
      <c r="I2" s="14">
        <f>G2/H2</f>
        <v>1380.5693813575588</v>
      </c>
      <c r="J2">
        <v>3714.77</v>
      </c>
      <c r="K2">
        <v>7.8155000000000001</v>
      </c>
      <c r="L2" s="43">
        <f>J2/K2</f>
        <v>475.30804171198258</v>
      </c>
      <c r="M2">
        <v>5672.53</v>
      </c>
      <c r="N2">
        <v>7.8155000000000001</v>
      </c>
      <c r="O2" s="43">
        <f>M2/N2</f>
        <v>725.80513082976131</v>
      </c>
      <c r="P2">
        <v>3286.69</v>
      </c>
      <c r="Q2">
        <v>7.8155000000000001</v>
      </c>
      <c r="R2" s="43">
        <f>P2/Q2</f>
        <v>420.53483462350459</v>
      </c>
      <c r="S2"/>
      <c r="U2" s="26">
        <f>MIN($B$2:$B$317)</f>
        <v>45293</v>
      </c>
    </row>
    <row r="3" spans="1:21" x14ac:dyDescent="0.3">
      <c r="A3" s="16">
        <v>1</v>
      </c>
      <c r="B3" s="3">
        <v>45294</v>
      </c>
      <c r="C3" s="40">
        <v>4704.8100000000004</v>
      </c>
      <c r="D3">
        <v>16646.41</v>
      </c>
      <c r="E3">
        <v>7.8068999999999997</v>
      </c>
      <c r="F3" s="14">
        <f>D3/E3</f>
        <v>2132.268890340596</v>
      </c>
      <c r="G3">
        <v>10744.19</v>
      </c>
      <c r="H3">
        <v>7.8068999999999997</v>
      </c>
      <c r="I3" s="14">
        <f t="shared" ref="I3:I66" si="0">G3/H3</f>
        <v>1376.242810846815</v>
      </c>
      <c r="J3">
        <v>3646.39</v>
      </c>
      <c r="K3">
        <v>7.8068999999999997</v>
      </c>
      <c r="L3" s="43">
        <f t="shared" ref="L3:L66" si="1">J3/K3</f>
        <v>467.0727177240646</v>
      </c>
      <c r="M3">
        <v>5628.79</v>
      </c>
      <c r="N3">
        <v>7.8068999999999997</v>
      </c>
      <c r="O3" s="43">
        <f t="shared" ref="O3:O66" si="2">M3/N3</f>
        <v>721.00193418642482</v>
      </c>
      <c r="P3">
        <v>3283.44</v>
      </c>
      <c r="Q3">
        <v>7.8068999999999997</v>
      </c>
      <c r="R3" s="43">
        <f t="shared" ref="R3:R66" si="3">P3/Q3</f>
        <v>420.58179302924339</v>
      </c>
      <c r="S3"/>
      <c r="U3" s="26">
        <f>MAX($B$2:$B$317)</f>
        <v>45777</v>
      </c>
    </row>
    <row r="4" spans="1:21" x14ac:dyDescent="0.3">
      <c r="A4" s="16">
        <v>2</v>
      </c>
      <c r="B4" s="3">
        <v>45295</v>
      </c>
      <c r="C4" s="40">
        <v>4688.68</v>
      </c>
      <c r="D4">
        <v>16645.98</v>
      </c>
      <c r="E4">
        <v>7.8080999999999996</v>
      </c>
      <c r="F4" s="14">
        <f t="shared" ref="F4:F66" si="4">D4/E4</f>
        <v>2131.8861182618052</v>
      </c>
      <c r="G4">
        <v>10793.05</v>
      </c>
      <c r="H4">
        <v>7.8080999999999996</v>
      </c>
      <c r="I4" s="14">
        <f t="shared" si="0"/>
        <v>1382.2889051113586</v>
      </c>
      <c r="J4">
        <v>3654.94</v>
      </c>
      <c r="K4">
        <v>7.8080999999999996</v>
      </c>
      <c r="L4" s="43">
        <f t="shared" si="1"/>
        <v>468.09595163996369</v>
      </c>
      <c r="M4">
        <v>5649.23</v>
      </c>
      <c r="N4">
        <v>7.8080999999999996</v>
      </c>
      <c r="O4" s="43">
        <f t="shared" si="2"/>
        <v>723.50892022387006</v>
      </c>
      <c r="P4">
        <v>3312.41</v>
      </c>
      <c r="Q4">
        <v>7.8080999999999996</v>
      </c>
      <c r="R4" s="43">
        <f t="shared" si="3"/>
        <v>424.2274048744253</v>
      </c>
      <c r="S4"/>
    </row>
    <row r="5" spans="1:21" x14ac:dyDescent="0.3">
      <c r="A5" s="16">
        <v>3</v>
      </c>
      <c r="B5" s="3">
        <v>45296</v>
      </c>
      <c r="C5" s="40">
        <v>4697.24</v>
      </c>
      <c r="D5">
        <v>16535.330000000002</v>
      </c>
      <c r="E5">
        <v>7.8112000000000004</v>
      </c>
      <c r="F5" s="14">
        <f t="shared" si="4"/>
        <v>2116.8744879147894</v>
      </c>
      <c r="G5">
        <v>10679.92</v>
      </c>
      <c r="H5">
        <v>7.8112000000000004</v>
      </c>
      <c r="I5" s="14">
        <f t="shared" si="0"/>
        <v>1367.2572716099958</v>
      </c>
      <c r="J5">
        <v>3592.33</v>
      </c>
      <c r="K5">
        <v>7.8112000000000004</v>
      </c>
      <c r="L5" s="43">
        <f t="shared" si="1"/>
        <v>459.89476648914376</v>
      </c>
      <c r="M5">
        <v>5606.98</v>
      </c>
      <c r="N5">
        <v>7.8112000000000004</v>
      </c>
      <c r="O5" s="43">
        <f t="shared" si="2"/>
        <v>717.8128840639082</v>
      </c>
      <c r="P5">
        <v>3313.26</v>
      </c>
      <c r="Q5">
        <v>7.8112000000000004</v>
      </c>
      <c r="R5" s="43">
        <f t="shared" si="3"/>
        <v>424.16786153215895</v>
      </c>
      <c r="S5"/>
    </row>
    <row r="6" spans="1:21" x14ac:dyDescent="0.3">
      <c r="A6" s="16">
        <v>4</v>
      </c>
      <c r="B6" s="3">
        <v>45299</v>
      </c>
      <c r="C6" s="40">
        <v>4763.54</v>
      </c>
      <c r="D6">
        <v>16224.45</v>
      </c>
      <c r="E6">
        <v>7.8064999999999998</v>
      </c>
      <c r="F6" s="14">
        <f t="shared" si="4"/>
        <v>2078.32575417921</v>
      </c>
      <c r="G6">
        <v>10430.36</v>
      </c>
      <c r="H6">
        <v>7.8064999999999998</v>
      </c>
      <c r="I6" s="14">
        <f t="shared" si="0"/>
        <v>1336.1122141804908</v>
      </c>
      <c r="J6">
        <v>3484.75</v>
      </c>
      <c r="K6">
        <v>7.8064999999999998</v>
      </c>
      <c r="L6" s="43">
        <f t="shared" si="1"/>
        <v>446.39082815602382</v>
      </c>
      <c r="M6">
        <v>5480.82</v>
      </c>
      <c r="N6">
        <v>7.8064999999999998</v>
      </c>
      <c r="O6" s="43">
        <f t="shared" si="2"/>
        <v>702.08416063536799</v>
      </c>
      <c r="P6">
        <v>3246.31</v>
      </c>
      <c r="Q6">
        <v>7.8064999999999998</v>
      </c>
      <c r="R6" s="43">
        <f t="shared" si="3"/>
        <v>415.84705053481076</v>
      </c>
      <c r="S6"/>
    </row>
    <row r="7" spans="1:21" x14ac:dyDescent="0.3">
      <c r="A7" s="16">
        <v>5</v>
      </c>
      <c r="B7" s="3">
        <v>45300</v>
      </c>
      <c r="C7" s="40">
        <v>4756.5</v>
      </c>
      <c r="D7">
        <v>16190.02</v>
      </c>
      <c r="E7">
        <v>7.8156999999999996</v>
      </c>
      <c r="F7" s="14">
        <f t="shared" si="4"/>
        <v>2071.4740842151054</v>
      </c>
      <c r="G7">
        <v>10361.99</v>
      </c>
      <c r="H7">
        <v>7.8156999999999996</v>
      </c>
      <c r="I7" s="14">
        <f t="shared" si="0"/>
        <v>1325.7916757296211</v>
      </c>
      <c r="J7">
        <v>3454.5</v>
      </c>
      <c r="K7">
        <v>7.8156999999999996</v>
      </c>
      <c r="L7" s="43">
        <f t="shared" si="1"/>
        <v>441.99495886484897</v>
      </c>
      <c r="M7">
        <v>5449.76</v>
      </c>
      <c r="N7">
        <v>7.8156999999999996</v>
      </c>
      <c r="O7" s="43">
        <f t="shared" si="2"/>
        <v>697.28367260769994</v>
      </c>
      <c r="P7">
        <v>3243.85</v>
      </c>
      <c r="Q7">
        <v>7.8156999999999996</v>
      </c>
      <c r="R7" s="43">
        <f t="shared" si="3"/>
        <v>415.0427984697468</v>
      </c>
      <c r="S7"/>
    </row>
    <row r="8" spans="1:21" x14ac:dyDescent="0.3">
      <c r="A8" s="16">
        <v>6</v>
      </c>
      <c r="B8" s="3">
        <v>45301</v>
      </c>
      <c r="C8" s="40">
        <v>4783.45</v>
      </c>
      <c r="D8">
        <v>16097.28</v>
      </c>
      <c r="E8">
        <v>7.8190999999999997</v>
      </c>
      <c r="F8" s="14">
        <f t="shared" si="4"/>
        <v>2058.712639562098</v>
      </c>
      <c r="G8">
        <v>10335.280000000001</v>
      </c>
      <c r="H8">
        <v>7.8190999999999997</v>
      </c>
      <c r="I8" s="14">
        <f t="shared" si="0"/>
        <v>1321.7991840493153</v>
      </c>
      <c r="J8">
        <v>3428.2</v>
      </c>
      <c r="K8">
        <v>7.8190999999999997</v>
      </c>
      <c r="L8" s="43">
        <f t="shared" si="1"/>
        <v>438.43920655829953</v>
      </c>
      <c r="M8">
        <v>5421.23</v>
      </c>
      <c r="N8">
        <v>7.8190999999999997</v>
      </c>
      <c r="O8" s="43">
        <f t="shared" si="2"/>
        <v>693.33171336854627</v>
      </c>
      <c r="P8">
        <v>3235.89</v>
      </c>
      <c r="Q8">
        <v>7.8190999999999997</v>
      </c>
      <c r="R8" s="43">
        <f t="shared" si="3"/>
        <v>413.84430433170058</v>
      </c>
      <c r="S8"/>
    </row>
    <row r="9" spans="1:21" x14ac:dyDescent="0.3">
      <c r="A9" s="16">
        <v>7</v>
      </c>
      <c r="B9" s="3">
        <v>45302</v>
      </c>
      <c r="C9" s="40">
        <v>4780.24</v>
      </c>
      <c r="D9">
        <v>16302.04</v>
      </c>
      <c r="E9">
        <v>7.8174999999999999</v>
      </c>
      <c r="F9" s="14">
        <f t="shared" si="4"/>
        <v>2085.3265110329389</v>
      </c>
      <c r="G9">
        <v>10495.1</v>
      </c>
      <c r="H9">
        <v>7.8174999999999999</v>
      </c>
      <c r="I9" s="14">
        <f t="shared" si="0"/>
        <v>1342.513591301567</v>
      </c>
      <c r="J9">
        <v>3503.02</v>
      </c>
      <c r="K9">
        <v>7.8174999999999999</v>
      </c>
      <c r="L9" s="43">
        <f t="shared" si="1"/>
        <v>448.09977614326829</v>
      </c>
      <c r="M9">
        <v>5494.48</v>
      </c>
      <c r="N9">
        <v>7.8174999999999999</v>
      </c>
      <c r="O9" s="43">
        <f t="shared" si="2"/>
        <v>702.84362008314679</v>
      </c>
      <c r="P9">
        <v>3247.91</v>
      </c>
      <c r="Q9">
        <v>7.8174999999999999</v>
      </c>
      <c r="R9" s="43">
        <f t="shared" si="3"/>
        <v>415.46658138791173</v>
      </c>
      <c r="S9"/>
    </row>
    <row r="10" spans="1:21" x14ac:dyDescent="0.3">
      <c r="A10" s="16">
        <v>8</v>
      </c>
      <c r="B10" s="3">
        <v>45303</v>
      </c>
      <c r="C10" s="40">
        <v>4783.83</v>
      </c>
      <c r="D10">
        <v>16244.58</v>
      </c>
      <c r="E10">
        <v>7.8211000000000004</v>
      </c>
      <c r="F10" s="14">
        <f t="shared" si="4"/>
        <v>2077.0198565419187</v>
      </c>
      <c r="G10">
        <v>10461.530000000001</v>
      </c>
      <c r="H10">
        <v>7.8211000000000004</v>
      </c>
      <c r="I10" s="14">
        <f t="shared" si="0"/>
        <v>1337.6034061704875</v>
      </c>
      <c r="J10">
        <v>3470.64</v>
      </c>
      <c r="K10">
        <v>7.8211000000000004</v>
      </c>
      <c r="L10" s="43">
        <f t="shared" si="1"/>
        <v>443.75343621741183</v>
      </c>
      <c r="M10">
        <v>5481.94</v>
      </c>
      <c r="N10">
        <v>7.8211000000000004</v>
      </c>
      <c r="O10" s="43">
        <f t="shared" si="2"/>
        <v>700.91675084067447</v>
      </c>
      <c r="P10">
        <v>3261.45</v>
      </c>
      <c r="Q10">
        <v>7.8211000000000004</v>
      </c>
      <c r="R10" s="43">
        <f t="shared" si="3"/>
        <v>417.00655917965497</v>
      </c>
      <c r="S10"/>
    </row>
    <row r="11" spans="1:21" x14ac:dyDescent="0.3">
      <c r="A11" s="16">
        <v>9</v>
      </c>
      <c r="B11" s="3">
        <v>45307</v>
      </c>
      <c r="C11" s="40">
        <v>4765.9799999999996</v>
      </c>
      <c r="D11">
        <v>15865.92</v>
      </c>
      <c r="E11">
        <v>7.8259999999999996</v>
      </c>
      <c r="F11" s="14">
        <f t="shared" si="4"/>
        <v>2027.3345259391772</v>
      </c>
      <c r="G11">
        <v>10195.66</v>
      </c>
      <c r="H11">
        <v>7.8259999999999996</v>
      </c>
      <c r="I11" s="14">
        <f t="shared" si="0"/>
        <v>1302.7932532583695</v>
      </c>
      <c r="J11">
        <v>3325.93</v>
      </c>
      <c r="K11">
        <v>7.8259999999999996</v>
      </c>
      <c r="L11" s="43">
        <f t="shared" si="1"/>
        <v>424.98466649629438</v>
      </c>
      <c r="M11">
        <v>5343.3</v>
      </c>
      <c r="N11">
        <v>7.8259999999999996</v>
      </c>
      <c r="O11" s="43">
        <f t="shared" si="2"/>
        <v>682.76258625095841</v>
      </c>
      <c r="P11">
        <v>3211.88</v>
      </c>
      <c r="Q11">
        <v>7.8259999999999996</v>
      </c>
      <c r="R11" s="43">
        <f t="shared" si="3"/>
        <v>410.41144901610022</v>
      </c>
      <c r="S11"/>
    </row>
    <row r="12" spans="1:21" x14ac:dyDescent="0.3">
      <c r="A12" s="16">
        <v>10</v>
      </c>
      <c r="B12" s="3">
        <v>45308</v>
      </c>
      <c r="C12" s="40">
        <v>4739.21</v>
      </c>
      <c r="D12">
        <v>15276.9</v>
      </c>
      <c r="E12">
        <v>7.8209999999999997</v>
      </c>
      <c r="F12" s="14">
        <f t="shared" si="4"/>
        <v>1953.3179900268508</v>
      </c>
      <c r="G12">
        <v>9784.86</v>
      </c>
      <c r="H12">
        <v>7.8209999999999997</v>
      </c>
      <c r="I12" s="14">
        <f t="shared" si="0"/>
        <v>1251.1008822401229</v>
      </c>
      <c r="J12">
        <v>3160</v>
      </c>
      <c r="K12">
        <v>7.8209999999999997</v>
      </c>
      <c r="L12" s="43">
        <f t="shared" si="1"/>
        <v>404.04040404040404</v>
      </c>
      <c r="M12">
        <v>5132.82</v>
      </c>
      <c r="N12">
        <v>7.8209999999999997</v>
      </c>
      <c r="O12" s="43">
        <f t="shared" si="2"/>
        <v>656.2869198312236</v>
      </c>
      <c r="P12">
        <v>3088.66</v>
      </c>
      <c r="Q12">
        <v>7.8209999999999997</v>
      </c>
      <c r="R12" s="43">
        <f t="shared" si="3"/>
        <v>394.91880833652988</v>
      </c>
      <c r="S12"/>
    </row>
    <row r="13" spans="1:21" x14ac:dyDescent="0.3">
      <c r="A13" s="16">
        <v>11</v>
      </c>
      <c r="B13" s="3">
        <v>45309</v>
      </c>
      <c r="C13" s="40">
        <v>4780.9399999999996</v>
      </c>
      <c r="D13">
        <v>15391.79</v>
      </c>
      <c r="E13">
        <v>7.8208000000000002</v>
      </c>
      <c r="F13" s="14">
        <f t="shared" si="4"/>
        <v>1968.0582549099836</v>
      </c>
      <c r="G13">
        <v>9872.15</v>
      </c>
      <c r="H13">
        <v>7.8208000000000002</v>
      </c>
      <c r="I13" s="14">
        <f t="shared" si="0"/>
        <v>1262.2941387070375</v>
      </c>
      <c r="J13">
        <v>3176.08</v>
      </c>
      <c r="K13">
        <v>7.8208000000000002</v>
      </c>
      <c r="L13" s="43">
        <f t="shared" si="1"/>
        <v>406.10679214402614</v>
      </c>
      <c r="M13">
        <v>5172.05</v>
      </c>
      <c r="N13">
        <v>7.8208000000000002</v>
      </c>
      <c r="O13" s="43">
        <f t="shared" si="2"/>
        <v>661.31981382978722</v>
      </c>
      <c r="P13">
        <v>3114.39</v>
      </c>
      <c r="Q13">
        <v>7.8208000000000002</v>
      </c>
      <c r="R13" s="43">
        <f t="shared" si="3"/>
        <v>398.21885229132567</v>
      </c>
      <c r="S13"/>
    </row>
    <row r="14" spans="1:21" x14ac:dyDescent="0.3">
      <c r="A14" s="16">
        <v>12</v>
      </c>
      <c r="B14" s="3">
        <v>45310</v>
      </c>
      <c r="C14" s="40">
        <v>4839.8100000000004</v>
      </c>
      <c r="D14">
        <v>15308.69</v>
      </c>
      <c r="E14">
        <v>7.8174999999999999</v>
      </c>
      <c r="F14" s="14">
        <f t="shared" si="4"/>
        <v>1958.2590342181004</v>
      </c>
      <c r="G14">
        <v>9787.1299999999992</v>
      </c>
      <c r="H14">
        <v>7.8174999999999999</v>
      </c>
      <c r="I14" s="14">
        <f t="shared" si="0"/>
        <v>1251.9513911096897</v>
      </c>
      <c r="J14">
        <v>3129.92</v>
      </c>
      <c r="K14">
        <v>7.8174999999999999</v>
      </c>
      <c r="L14" s="43">
        <f t="shared" si="1"/>
        <v>400.37352094659417</v>
      </c>
      <c r="M14">
        <v>5127.24</v>
      </c>
      <c r="N14">
        <v>7.8174999999999999</v>
      </c>
      <c r="O14" s="43">
        <f t="shared" si="2"/>
        <v>655.86696514230891</v>
      </c>
      <c r="P14">
        <v>3091.47</v>
      </c>
      <c r="Q14">
        <v>7.8174999999999999</v>
      </c>
      <c r="R14" s="43">
        <f t="shared" si="3"/>
        <v>395.45506875599614</v>
      </c>
      <c r="S14"/>
    </row>
    <row r="15" spans="1:21" x14ac:dyDescent="0.3">
      <c r="A15" s="16">
        <v>13</v>
      </c>
      <c r="B15" s="3">
        <v>45313</v>
      </c>
      <c r="C15" s="40">
        <v>4850.43</v>
      </c>
      <c r="D15">
        <v>14961.18</v>
      </c>
      <c r="E15">
        <v>7.8175999999999997</v>
      </c>
      <c r="F15" s="14">
        <f t="shared" si="4"/>
        <v>1913.7817232910356</v>
      </c>
      <c r="G15">
        <v>9552.2999999999993</v>
      </c>
      <c r="H15">
        <v>7.8175999999999997</v>
      </c>
      <c r="I15" s="14">
        <f t="shared" si="0"/>
        <v>1221.8967458043389</v>
      </c>
      <c r="J15">
        <v>3035.47</v>
      </c>
      <c r="K15">
        <v>7.8175999999999997</v>
      </c>
      <c r="L15" s="43">
        <f t="shared" si="1"/>
        <v>388.28668645108473</v>
      </c>
      <c r="M15">
        <v>5001.95</v>
      </c>
      <c r="N15">
        <v>7.8175999999999997</v>
      </c>
      <c r="O15" s="43">
        <f t="shared" si="2"/>
        <v>639.83191772410976</v>
      </c>
      <c r="P15">
        <v>2968.48</v>
      </c>
      <c r="Q15">
        <v>7.8175999999999997</v>
      </c>
      <c r="R15" s="43">
        <f t="shared" si="3"/>
        <v>379.71756037658616</v>
      </c>
      <c r="S15"/>
    </row>
    <row r="16" spans="1:21" x14ac:dyDescent="0.3">
      <c r="A16" s="16">
        <v>14</v>
      </c>
      <c r="B16" s="3">
        <v>45314</v>
      </c>
      <c r="C16" s="40">
        <v>4864.6000000000004</v>
      </c>
      <c r="D16">
        <v>15353.98</v>
      </c>
      <c r="E16">
        <v>7.8219000000000003</v>
      </c>
      <c r="F16" s="14">
        <f t="shared" si="4"/>
        <v>1962.9476214219051</v>
      </c>
      <c r="G16">
        <v>9840.7800000000007</v>
      </c>
      <c r="H16">
        <v>7.8219000000000003</v>
      </c>
      <c r="I16" s="14">
        <f t="shared" si="0"/>
        <v>1258.1060867564147</v>
      </c>
      <c r="J16">
        <v>3147.81</v>
      </c>
      <c r="K16">
        <v>7.8219000000000003</v>
      </c>
      <c r="L16" s="43">
        <f t="shared" si="1"/>
        <v>402.43546964292563</v>
      </c>
      <c r="M16">
        <v>5140.93</v>
      </c>
      <c r="N16">
        <v>7.8219000000000003</v>
      </c>
      <c r="O16" s="43">
        <f t="shared" si="2"/>
        <v>657.24823891893277</v>
      </c>
      <c r="P16">
        <v>3033.72</v>
      </c>
      <c r="Q16">
        <v>7.8219000000000003</v>
      </c>
      <c r="R16" s="43">
        <f t="shared" si="3"/>
        <v>387.84949948222294</v>
      </c>
      <c r="S16"/>
    </row>
    <row r="17" spans="1:19" x14ac:dyDescent="0.3">
      <c r="A17" s="16">
        <v>15</v>
      </c>
      <c r="B17" s="3">
        <v>45315</v>
      </c>
      <c r="C17" s="40">
        <v>4868.55</v>
      </c>
      <c r="D17">
        <v>15899.87</v>
      </c>
      <c r="E17">
        <v>7.8177000000000003</v>
      </c>
      <c r="F17" s="14">
        <f t="shared" si="4"/>
        <v>2033.8296429896261</v>
      </c>
      <c r="G17">
        <v>10280.91</v>
      </c>
      <c r="H17">
        <v>7.8177000000000003</v>
      </c>
      <c r="I17" s="14">
        <f t="shared" si="0"/>
        <v>1315.081161978587</v>
      </c>
      <c r="J17">
        <v>3281.16</v>
      </c>
      <c r="K17">
        <v>7.8177000000000003</v>
      </c>
      <c r="L17" s="43">
        <f t="shared" si="1"/>
        <v>419.70912160865726</v>
      </c>
      <c r="M17">
        <v>5353.05</v>
      </c>
      <c r="N17">
        <v>7.8177000000000003</v>
      </c>
      <c r="O17" s="43">
        <f t="shared" si="2"/>
        <v>684.73464062320124</v>
      </c>
      <c r="P17">
        <v>3158.17</v>
      </c>
      <c r="Q17">
        <v>7.8177000000000003</v>
      </c>
      <c r="R17" s="43">
        <f t="shared" si="3"/>
        <v>403.97687299333563</v>
      </c>
      <c r="S17"/>
    </row>
    <row r="18" spans="1:19" x14ac:dyDescent="0.3">
      <c r="A18" s="16">
        <v>16</v>
      </c>
      <c r="B18" s="3">
        <v>45316</v>
      </c>
      <c r="C18" s="40">
        <v>4894.16</v>
      </c>
      <c r="D18">
        <v>16211.96</v>
      </c>
      <c r="E18">
        <v>7.8175999999999997</v>
      </c>
      <c r="F18" s="14">
        <f t="shared" si="4"/>
        <v>2073.7771182971755</v>
      </c>
      <c r="G18">
        <v>10501.02</v>
      </c>
      <c r="H18">
        <v>7.8175999999999997</v>
      </c>
      <c r="I18" s="14">
        <f t="shared" si="0"/>
        <v>1343.2536839950881</v>
      </c>
      <c r="J18">
        <v>3310.69</v>
      </c>
      <c r="K18">
        <v>7.8175999999999997</v>
      </c>
      <c r="L18" s="43">
        <f t="shared" si="1"/>
        <v>423.49186451084734</v>
      </c>
      <c r="M18">
        <v>5468.71</v>
      </c>
      <c r="N18">
        <v>7.8175999999999997</v>
      </c>
      <c r="O18" s="43">
        <f t="shared" si="2"/>
        <v>699.53822144903813</v>
      </c>
      <c r="P18">
        <v>3273.7</v>
      </c>
      <c r="Q18">
        <v>7.8175999999999997</v>
      </c>
      <c r="R18" s="43">
        <f t="shared" si="3"/>
        <v>418.76023331968889</v>
      </c>
      <c r="S18"/>
    </row>
    <row r="19" spans="1:19" x14ac:dyDescent="0.3">
      <c r="A19" s="16">
        <v>17</v>
      </c>
      <c r="B19" s="3">
        <v>45317</v>
      </c>
      <c r="C19" s="40">
        <v>4890.97</v>
      </c>
      <c r="D19">
        <v>15952.23</v>
      </c>
      <c r="E19">
        <v>7.8144</v>
      </c>
      <c r="F19" s="14">
        <f t="shared" si="4"/>
        <v>2041.3889742014742</v>
      </c>
      <c r="G19">
        <v>10246.9</v>
      </c>
      <c r="H19">
        <v>7.8144</v>
      </c>
      <c r="I19" s="14">
        <f t="shared" si="0"/>
        <v>1311.2842956592956</v>
      </c>
      <c r="J19">
        <v>3186.49</v>
      </c>
      <c r="K19">
        <v>7.8144</v>
      </c>
      <c r="L19" s="43">
        <f t="shared" si="1"/>
        <v>407.77154995904993</v>
      </c>
      <c r="M19">
        <v>5360.24</v>
      </c>
      <c r="N19">
        <v>7.8144</v>
      </c>
      <c r="O19" s="43">
        <f t="shared" si="2"/>
        <v>685.94389844389843</v>
      </c>
      <c r="P19">
        <v>3249.43</v>
      </c>
      <c r="Q19">
        <v>7.8144</v>
      </c>
      <c r="R19" s="43">
        <f t="shared" si="3"/>
        <v>415.82591113841113</v>
      </c>
      <c r="S19"/>
    </row>
    <row r="20" spans="1:19" x14ac:dyDescent="0.3">
      <c r="A20" s="16">
        <v>18</v>
      </c>
      <c r="B20" s="3">
        <v>45320</v>
      </c>
      <c r="C20" s="40">
        <v>4927.93</v>
      </c>
      <c r="D20">
        <v>16077.24</v>
      </c>
      <c r="E20">
        <v>7.8136000000000001</v>
      </c>
      <c r="F20" s="14">
        <f t="shared" si="4"/>
        <v>2057.5970103409441</v>
      </c>
      <c r="G20">
        <v>10346.629999999999</v>
      </c>
      <c r="H20">
        <v>7.8136000000000001</v>
      </c>
      <c r="I20" s="14">
        <f t="shared" si="0"/>
        <v>1324.1821951469233</v>
      </c>
      <c r="J20">
        <v>3203.59</v>
      </c>
      <c r="K20">
        <v>7.8136000000000001</v>
      </c>
      <c r="L20" s="43">
        <f t="shared" si="1"/>
        <v>410.00179174772194</v>
      </c>
      <c r="M20">
        <v>5408.93</v>
      </c>
      <c r="N20">
        <v>7.8136000000000001</v>
      </c>
      <c r="O20" s="43">
        <f t="shared" si="2"/>
        <v>692.24557182348724</v>
      </c>
      <c r="P20">
        <v>3297.74</v>
      </c>
      <c r="Q20">
        <v>7.8136000000000001</v>
      </c>
      <c r="R20" s="43">
        <f t="shared" si="3"/>
        <v>422.05129517763896</v>
      </c>
      <c r="S20"/>
    </row>
    <row r="21" spans="1:19" x14ac:dyDescent="0.3">
      <c r="A21" s="16">
        <v>19</v>
      </c>
      <c r="B21" s="3">
        <v>45321</v>
      </c>
      <c r="C21" s="40">
        <v>4924.97</v>
      </c>
      <c r="D21">
        <v>15703.45</v>
      </c>
      <c r="E21">
        <v>7.8177000000000003</v>
      </c>
      <c r="F21" s="14">
        <f t="shared" si="4"/>
        <v>2008.7046062141039</v>
      </c>
      <c r="G21">
        <v>10078.469999999999</v>
      </c>
      <c r="H21">
        <v>7.8177000000000003</v>
      </c>
      <c r="I21" s="14">
        <f t="shared" si="0"/>
        <v>1289.1860777466518</v>
      </c>
      <c r="J21">
        <v>3098.87</v>
      </c>
      <c r="K21">
        <v>7.8177000000000003</v>
      </c>
      <c r="L21" s="43">
        <f t="shared" si="1"/>
        <v>396.39152180308781</v>
      </c>
      <c r="M21">
        <v>5275.37</v>
      </c>
      <c r="N21">
        <v>7.8177000000000003</v>
      </c>
      <c r="O21" s="43">
        <f t="shared" si="2"/>
        <v>674.79821430855623</v>
      </c>
      <c r="P21">
        <v>3219.88</v>
      </c>
      <c r="Q21">
        <v>7.8177000000000003</v>
      </c>
      <c r="R21" s="43">
        <f t="shared" si="3"/>
        <v>411.87049899586833</v>
      </c>
      <c r="S21"/>
    </row>
    <row r="22" spans="1:19" x14ac:dyDescent="0.3">
      <c r="A22" s="16">
        <v>20</v>
      </c>
      <c r="B22" s="3">
        <v>45322</v>
      </c>
      <c r="C22" s="40">
        <v>4845.6499999999996</v>
      </c>
      <c r="D22">
        <v>15485.07</v>
      </c>
      <c r="E22">
        <v>7.8179999999999996</v>
      </c>
      <c r="F22" s="14">
        <f t="shared" si="4"/>
        <v>1980.6945510360706</v>
      </c>
      <c r="G22">
        <v>9926.31</v>
      </c>
      <c r="H22">
        <v>7.8179999999999996</v>
      </c>
      <c r="I22" s="14">
        <f t="shared" si="0"/>
        <v>1269.6738296239448</v>
      </c>
      <c r="J22">
        <v>3005.8</v>
      </c>
      <c r="K22">
        <v>7.8179999999999996</v>
      </c>
      <c r="L22" s="43">
        <f t="shared" si="1"/>
        <v>384.47173190074193</v>
      </c>
      <c r="M22">
        <v>5194.04</v>
      </c>
      <c r="N22">
        <v>7.8179999999999996</v>
      </c>
      <c r="O22" s="43">
        <f t="shared" si="2"/>
        <v>664.36940393962652</v>
      </c>
      <c r="P22">
        <v>3193.67</v>
      </c>
      <c r="Q22">
        <v>7.8179999999999996</v>
      </c>
      <c r="R22" s="43">
        <f t="shared" si="3"/>
        <v>408.50217446917372</v>
      </c>
      <c r="S22"/>
    </row>
    <row r="23" spans="1:19" x14ac:dyDescent="0.3">
      <c r="A23" s="16">
        <v>21</v>
      </c>
      <c r="B23" s="3">
        <v>45323</v>
      </c>
      <c r="C23" s="40">
        <v>4906.1899999999996</v>
      </c>
      <c r="D23">
        <v>15566.21</v>
      </c>
      <c r="E23">
        <v>7.8196000000000003</v>
      </c>
      <c r="F23" s="14">
        <f t="shared" si="4"/>
        <v>1990.6657629546266</v>
      </c>
      <c r="G23">
        <v>10007.91</v>
      </c>
      <c r="H23">
        <v>7.8196000000000003</v>
      </c>
      <c r="I23" s="14">
        <f t="shared" si="0"/>
        <v>1279.849352908077</v>
      </c>
      <c r="J23">
        <v>3065.95</v>
      </c>
      <c r="K23">
        <v>7.8196000000000003</v>
      </c>
      <c r="L23" s="43">
        <f t="shared" si="1"/>
        <v>392.08527290398484</v>
      </c>
      <c r="M23">
        <v>5223.4799999999996</v>
      </c>
      <c r="N23">
        <v>7.8196000000000003</v>
      </c>
      <c r="O23" s="43">
        <f t="shared" si="2"/>
        <v>667.99836308762588</v>
      </c>
      <c r="P23">
        <v>3181.79</v>
      </c>
      <c r="Q23">
        <v>7.8196000000000003</v>
      </c>
      <c r="R23" s="43">
        <f t="shared" si="3"/>
        <v>406.89932988899687</v>
      </c>
      <c r="S23"/>
    </row>
    <row r="24" spans="1:19" x14ac:dyDescent="0.3">
      <c r="A24" s="16">
        <v>22</v>
      </c>
      <c r="B24" s="3">
        <v>45324</v>
      </c>
      <c r="C24" s="40">
        <v>4958.6099999999997</v>
      </c>
      <c r="D24">
        <v>15533.56</v>
      </c>
      <c r="E24">
        <v>7.8201000000000001</v>
      </c>
      <c r="F24" s="14">
        <f t="shared" si="4"/>
        <v>1986.3633457372666</v>
      </c>
      <c r="G24">
        <v>9956.02</v>
      </c>
      <c r="H24">
        <v>7.8201000000000001</v>
      </c>
      <c r="I24" s="14">
        <f t="shared" si="0"/>
        <v>1273.1320571348192</v>
      </c>
      <c r="J24">
        <v>3043.9</v>
      </c>
      <c r="K24">
        <v>7.8201000000000001</v>
      </c>
      <c r="L24" s="43">
        <f t="shared" si="1"/>
        <v>389.24054679607679</v>
      </c>
      <c r="M24">
        <v>5218.99</v>
      </c>
      <c r="N24">
        <v>7.8201000000000001</v>
      </c>
      <c r="O24" s="43">
        <f t="shared" si="2"/>
        <v>667.38149128527766</v>
      </c>
      <c r="P24">
        <v>3188.69</v>
      </c>
      <c r="Q24">
        <v>7.8201000000000001</v>
      </c>
      <c r="R24" s="43">
        <f t="shared" si="3"/>
        <v>407.7556552985256</v>
      </c>
      <c r="S24"/>
    </row>
    <row r="25" spans="1:19" x14ac:dyDescent="0.3">
      <c r="A25" s="16">
        <v>23</v>
      </c>
      <c r="B25" s="3">
        <v>45327</v>
      </c>
      <c r="C25" s="40">
        <v>4942.8100000000004</v>
      </c>
      <c r="D25">
        <v>15510.01</v>
      </c>
      <c r="E25">
        <v>7.8215000000000003</v>
      </c>
      <c r="F25" s="14">
        <f t="shared" si="4"/>
        <v>1982.996867608515</v>
      </c>
      <c r="G25">
        <v>9975.3799999999992</v>
      </c>
      <c r="H25">
        <v>7.8215000000000003</v>
      </c>
      <c r="I25" s="14">
        <f t="shared" si="0"/>
        <v>1275.379402927827</v>
      </c>
      <c r="J25">
        <v>3038.84</v>
      </c>
      <c r="K25">
        <v>7.8215000000000003</v>
      </c>
      <c r="L25" s="43">
        <f t="shared" si="1"/>
        <v>388.52394042063543</v>
      </c>
      <c r="M25">
        <v>5217.3599999999997</v>
      </c>
      <c r="N25">
        <v>7.8215000000000003</v>
      </c>
      <c r="O25" s="43">
        <f t="shared" si="2"/>
        <v>667.05363421338609</v>
      </c>
      <c r="P25">
        <v>3164.37</v>
      </c>
      <c r="Q25">
        <v>7.8215000000000003</v>
      </c>
      <c r="R25" s="43">
        <f t="shared" si="3"/>
        <v>404.57329156811352</v>
      </c>
      <c r="S25"/>
    </row>
    <row r="26" spans="1:19" x14ac:dyDescent="0.3">
      <c r="A26" s="16">
        <v>24</v>
      </c>
      <c r="B26" s="3">
        <v>45328</v>
      </c>
      <c r="C26" s="40">
        <v>4954.2299999999996</v>
      </c>
      <c r="D26">
        <v>16136.87</v>
      </c>
      <c r="E26">
        <v>7.8224</v>
      </c>
      <c r="F26" s="14">
        <f t="shared" si="4"/>
        <v>2062.905246471671</v>
      </c>
      <c r="G26">
        <v>10472.75</v>
      </c>
      <c r="H26">
        <v>7.8224</v>
      </c>
      <c r="I26" s="14">
        <f t="shared" si="0"/>
        <v>1338.815453057885</v>
      </c>
      <c r="J26">
        <v>3243.81</v>
      </c>
      <c r="K26">
        <v>7.8224</v>
      </c>
      <c r="L26" s="43">
        <f t="shared" si="1"/>
        <v>414.68219472284721</v>
      </c>
      <c r="M26">
        <v>5473.75</v>
      </c>
      <c r="N26">
        <v>7.8224</v>
      </c>
      <c r="O26" s="43">
        <f t="shared" si="2"/>
        <v>699.75327265289422</v>
      </c>
      <c r="P26">
        <v>3271.55</v>
      </c>
      <c r="Q26">
        <v>7.8224</v>
      </c>
      <c r="R26" s="43">
        <f t="shared" si="3"/>
        <v>418.22842094497855</v>
      </c>
      <c r="S26"/>
    </row>
    <row r="27" spans="1:19" x14ac:dyDescent="0.3">
      <c r="A27" s="16">
        <v>25</v>
      </c>
      <c r="B27" s="3">
        <v>45329</v>
      </c>
      <c r="C27" s="40">
        <v>4995.0600000000004</v>
      </c>
      <c r="D27">
        <v>16081.89</v>
      </c>
      <c r="E27">
        <v>7.8189000000000002</v>
      </c>
      <c r="F27" s="14">
        <f t="shared" si="4"/>
        <v>2056.7969919042321</v>
      </c>
      <c r="G27">
        <v>10419.67</v>
      </c>
      <c r="H27">
        <v>7.8189000000000002</v>
      </c>
      <c r="I27" s="14">
        <f t="shared" si="0"/>
        <v>1332.6260727212268</v>
      </c>
      <c r="J27">
        <v>3190.68</v>
      </c>
      <c r="K27">
        <v>7.8189000000000002</v>
      </c>
      <c r="L27" s="43">
        <f t="shared" si="1"/>
        <v>408.07274680581662</v>
      </c>
      <c r="M27">
        <v>5421.53</v>
      </c>
      <c r="N27">
        <v>7.8189000000000002</v>
      </c>
      <c r="O27" s="43">
        <f t="shared" si="2"/>
        <v>693.3878167005588</v>
      </c>
      <c r="P27">
        <v>3248.14</v>
      </c>
      <c r="Q27">
        <v>7.8189000000000002</v>
      </c>
      <c r="R27" s="43">
        <f t="shared" si="3"/>
        <v>415.42160661985696</v>
      </c>
      <c r="S27"/>
    </row>
    <row r="28" spans="1:19" x14ac:dyDescent="0.3">
      <c r="A28" s="16">
        <v>26</v>
      </c>
      <c r="B28" s="3">
        <v>45330</v>
      </c>
      <c r="C28" s="40">
        <v>4997.91</v>
      </c>
      <c r="D28">
        <v>15878.07</v>
      </c>
      <c r="E28">
        <v>7.8209999999999997</v>
      </c>
      <c r="F28" s="14">
        <f t="shared" si="4"/>
        <v>2030.1841196777907</v>
      </c>
      <c r="G28">
        <v>10264.11</v>
      </c>
      <c r="H28">
        <v>7.8209999999999997</v>
      </c>
      <c r="I28" s="14">
        <f t="shared" si="0"/>
        <v>1312.3782125047949</v>
      </c>
      <c r="J28">
        <v>3168.55</v>
      </c>
      <c r="K28">
        <v>7.8209999999999997</v>
      </c>
      <c r="L28" s="43">
        <f t="shared" si="1"/>
        <v>405.13361462728557</v>
      </c>
      <c r="M28">
        <v>5360.08</v>
      </c>
      <c r="N28">
        <v>7.8209999999999997</v>
      </c>
      <c r="O28" s="43">
        <f t="shared" si="2"/>
        <v>685.34458509142053</v>
      </c>
      <c r="P28">
        <v>3245.87</v>
      </c>
      <c r="Q28">
        <v>7.8209999999999997</v>
      </c>
      <c r="R28" s="43">
        <f t="shared" si="3"/>
        <v>415.01981843753998</v>
      </c>
      <c r="S28"/>
    </row>
    <row r="29" spans="1:19" x14ac:dyDescent="0.3">
      <c r="A29" s="16">
        <v>27</v>
      </c>
      <c r="B29" s="3">
        <v>45331</v>
      </c>
      <c r="C29" s="40">
        <v>5026.6099999999997</v>
      </c>
      <c r="D29">
        <v>15746.58</v>
      </c>
      <c r="E29">
        <v>7.8197000000000001</v>
      </c>
      <c r="F29" s="14">
        <f t="shared" si="4"/>
        <v>2013.7064081742267</v>
      </c>
      <c r="G29">
        <v>10158.370000000001</v>
      </c>
      <c r="H29">
        <v>7.8197000000000001</v>
      </c>
      <c r="I29" s="14">
        <f t="shared" si="0"/>
        <v>1299.0741332787704</v>
      </c>
      <c r="J29">
        <v>3127.22</v>
      </c>
      <c r="K29">
        <v>7.8197000000000001</v>
      </c>
      <c r="L29" s="43">
        <f t="shared" si="1"/>
        <v>399.91559778508122</v>
      </c>
      <c r="M29">
        <v>5306.79</v>
      </c>
      <c r="N29">
        <v>7.8197000000000001</v>
      </c>
      <c r="O29" s="43">
        <f t="shared" si="2"/>
        <v>678.64368198268471</v>
      </c>
      <c r="P29">
        <v>3196.95</v>
      </c>
      <c r="Q29">
        <v>7.8197000000000001</v>
      </c>
      <c r="R29" s="43">
        <f t="shared" si="3"/>
        <v>408.832819673389</v>
      </c>
      <c r="S29"/>
    </row>
    <row r="30" spans="1:19" x14ac:dyDescent="0.3">
      <c r="A30" s="16">
        <v>28</v>
      </c>
      <c r="B30" s="3">
        <v>45336</v>
      </c>
      <c r="C30" s="40">
        <v>5000.62</v>
      </c>
      <c r="D30">
        <v>15879.38</v>
      </c>
      <c r="E30">
        <v>7.8182</v>
      </c>
      <c r="F30" s="14">
        <f t="shared" si="4"/>
        <v>2031.0787649331046</v>
      </c>
      <c r="G30">
        <v>10316.25</v>
      </c>
      <c r="H30">
        <v>7.8182</v>
      </c>
      <c r="I30" s="14">
        <f t="shared" si="0"/>
        <v>1319.5172801923716</v>
      </c>
      <c r="J30">
        <v>3197.87</v>
      </c>
      <c r="K30">
        <v>7.8182</v>
      </c>
      <c r="L30" s="43">
        <f t="shared" si="1"/>
        <v>409.02893249085463</v>
      </c>
      <c r="M30">
        <v>5386.31</v>
      </c>
      <c r="N30">
        <v>7.8182</v>
      </c>
      <c r="O30" s="43">
        <f t="shared" si="2"/>
        <v>688.9450257092426</v>
      </c>
      <c r="P30">
        <v>3189.56</v>
      </c>
      <c r="Q30">
        <v>7.8182</v>
      </c>
      <c r="R30" s="43">
        <f t="shared" si="3"/>
        <v>407.96602798598144</v>
      </c>
      <c r="S30"/>
    </row>
    <row r="31" spans="1:19" x14ac:dyDescent="0.3">
      <c r="A31" s="16">
        <v>29</v>
      </c>
      <c r="B31" s="3">
        <v>45337</v>
      </c>
      <c r="C31" s="40">
        <v>5029.7299999999996</v>
      </c>
      <c r="D31">
        <v>15944.63</v>
      </c>
      <c r="E31">
        <v>7.8193000000000001</v>
      </c>
      <c r="F31" s="14">
        <f t="shared" si="4"/>
        <v>2039.1377744810916</v>
      </c>
      <c r="G31">
        <v>10363.75</v>
      </c>
      <c r="H31">
        <v>7.8193000000000001</v>
      </c>
      <c r="I31" s="14">
        <f t="shared" si="0"/>
        <v>1325.4063662987735</v>
      </c>
      <c r="J31">
        <v>3223.1</v>
      </c>
      <c r="K31">
        <v>7.8193000000000001</v>
      </c>
      <c r="L31" s="43">
        <f t="shared" si="1"/>
        <v>412.19802284091924</v>
      </c>
      <c r="M31">
        <v>5410.94</v>
      </c>
      <c r="N31">
        <v>7.8193000000000001</v>
      </c>
      <c r="O31" s="43">
        <f t="shared" si="2"/>
        <v>691.99800493650321</v>
      </c>
      <c r="P31">
        <v>3181.88</v>
      </c>
      <c r="Q31">
        <v>7.8193000000000001</v>
      </c>
      <c r="R31" s="43">
        <f t="shared" si="3"/>
        <v>406.92645121686087</v>
      </c>
      <c r="S31"/>
    </row>
    <row r="32" spans="1:19" x14ac:dyDescent="0.3">
      <c r="A32" s="16">
        <v>30</v>
      </c>
      <c r="B32" s="3">
        <v>45338</v>
      </c>
      <c r="C32" s="40">
        <v>5005.57</v>
      </c>
      <c r="D32">
        <v>16339.96</v>
      </c>
      <c r="E32">
        <v>7.8223000000000003</v>
      </c>
      <c r="F32" s="14">
        <f t="shared" si="4"/>
        <v>2088.8945706505756</v>
      </c>
      <c r="G32">
        <v>10648.51</v>
      </c>
      <c r="H32">
        <v>7.8223000000000003</v>
      </c>
      <c r="I32" s="14">
        <f t="shared" si="0"/>
        <v>1361.3016631936898</v>
      </c>
      <c r="J32">
        <v>3342.73</v>
      </c>
      <c r="K32">
        <v>7.8223000000000003</v>
      </c>
      <c r="L32" s="43">
        <f t="shared" si="1"/>
        <v>427.33339299183103</v>
      </c>
      <c r="M32">
        <v>5558.86</v>
      </c>
      <c r="N32">
        <v>7.8223000000000003</v>
      </c>
      <c r="O32" s="43">
        <f t="shared" si="2"/>
        <v>710.64264986001558</v>
      </c>
      <c r="P32">
        <v>3284.63</v>
      </c>
      <c r="Q32">
        <v>7.8223000000000003</v>
      </c>
      <c r="R32" s="43">
        <f t="shared" si="3"/>
        <v>419.90591002646278</v>
      </c>
      <c r="S32"/>
    </row>
    <row r="33" spans="1:19" x14ac:dyDescent="0.3">
      <c r="A33" s="16">
        <v>31</v>
      </c>
      <c r="B33" s="3">
        <v>45342</v>
      </c>
      <c r="C33" s="40">
        <v>4975.51</v>
      </c>
      <c r="D33">
        <v>16247.51</v>
      </c>
      <c r="E33">
        <v>7.8207000000000004</v>
      </c>
      <c r="F33" s="14">
        <f t="shared" si="4"/>
        <v>2077.5007352283042</v>
      </c>
      <c r="G33">
        <v>10575.6</v>
      </c>
      <c r="H33">
        <v>7.8207000000000004</v>
      </c>
      <c r="I33" s="14">
        <f t="shared" si="0"/>
        <v>1352.2574705589013</v>
      </c>
      <c r="J33">
        <v>3264.4</v>
      </c>
      <c r="K33">
        <v>7.8207000000000004</v>
      </c>
      <c r="L33" s="43">
        <f t="shared" si="1"/>
        <v>417.40509161583998</v>
      </c>
      <c r="M33">
        <v>5519.23</v>
      </c>
      <c r="N33">
        <v>7.8207000000000004</v>
      </c>
      <c r="O33" s="43">
        <f t="shared" si="2"/>
        <v>705.72071553697231</v>
      </c>
      <c r="P33">
        <v>3348.9</v>
      </c>
      <c r="Q33">
        <v>7.8207000000000004</v>
      </c>
      <c r="R33" s="43">
        <f t="shared" si="3"/>
        <v>428.20975104530282</v>
      </c>
      <c r="S33"/>
    </row>
    <row r="34" spans="1:19" x14ac:dyDescent="0.3">
      <c r="A34" s="16">
        <v>32</v>
      </c>
      <c r="B34" s="3">
        <v>45343</v>
      </c>
      <c r="C34" s="40">
        <v>4981.8</v>
      </c>
      <c r="D34">
        <v>16503.099999999999</v>
      </c>
      <c r="E34">
        <v>7.8209</v>
      </c>
      <c r="F34" s="14">
        <f t="shared" si="4"/>
        <v>2110.127990384738</v>
      </c>
      <c r="G34">
        <v>10816.77</v>
      </c>
      <c r="H34">
        <v>7.8209</v>
      </c>
      <c r="I34" s="14">
        <f t="shared" si="0"/>
        <v>1383.0594944315872</v>
      </c>
      <c r="J34">
        <v>3351.22</v>
      </c>
      <c r="K34">
        <v>7.8209</v>
      </c>
      <c r="L34" s="43">
        <f t="shared" si="1"/>
        <v>428.495441701083</v>
      </c>
      <c r="M34">
        <v>5642.78</v>
      </c>
      <c r="N34">
        <v>7.8209</v>
      </c>
      <c r="O34" s="43">
        <f t="shared" si="2"/>
        <v>721.50008311063937</v>
      </c>
      <c r="P34">
        <v>3396.66</v>
      </c>
      <c r="Q34">
        <v>7.8209</v>
      </c>
      <c r="R34" s="43">
        <f t="shared" si="3"/>
        <v>434.30551471058317</v>
      </c>
      <c r="S34"/>
    </row>
    <row r="35" spans="1:19" x14ac:dyDescent="0.3">
      <c r="A35" s="16">
        <v>33</v>
      </c>
      <c r="B35" s="3">
        <v>45344</v>
      </c>
      <c r="C35" s="40">
        <v>5087.03</v>
      </c>
      <c r="D35">
        <v>16742.95</v>
      </c>
      <c r="E35">
        <v>7.8221999999999996</v>
      </c>
      <c r="F35" s="14">
        <f t="shared" si="4"/>
        <v>2140.4400296591753</v>
      </c>
      <c r="G35">
        <v>11023.47</v>
      </c>
      <c r="H35">
        <v>7.8221999999999996</v>
      </c>
      <c r="I35" s="14">
        <f t="shared" si="0"/>
        <v>1409.2544297000843</v>
      </c>
      <c r="J35">
        <v>3410.02</v>
      </c>
      <c r="K35">
        <v>7.8221999999999996</v>
      </c>
      <c r="L35" s="43">
        <f t="shared" si="1"/>
        <v>435.94129528777074</v>
      </c>
      <c r="M35">
        <v>5758.46</v>
      </c>
      <c r="N35">
        <v>7.8221999999999996</v>
      </c>
      <c r="O35" s="43">
        <f t="shared" si="2"/>
        <v>736.16885275242259</v>
      </c>
      <c r="P35">
        <v>3500.64</v>
      </c>
      <c r="Q35">
        <v>7.8221999999999996</v>
      </c>
      <c r="R35" s="43">
        <f t="shared" si="3"/>
        <v>447.52627138145277</v>
      </c>
      <c r="S35"/>
    </row>
    <row r="36" spans="1:19" x14ac:dyDescent="0.3">
      <c r="A36" s="16">
        <v>34</v>
      </c>
      <c r="B36" s="3">
        <v>45345</v>
      </c>
      <c r="C36" s="40">
        <v>5088.8</v>
      </c>
      <c r="D36">
        <v>16725.86</v>
      </c>
      <c r="E36">
        <v>7.8238000000000003</v>
      </c>
      <c r="F36" s="14">
        <f t="shared" si="4"/>
        <v>2137.8179401313942</v>
      </c>
      <c r="G36">
        <v>11063.46</v>
      </c>
      <c r="H36">
        <v>7.8238000000000003</v>
      </c>
      <c r="I36" s="14">
        <f t="shared" si="0"/>
        <v>1414.0775582197907</v>
      </c>
      <c r="J36">
        <v>3399.84</v>
      </c>
      <c r="K36">
        <v>7.8238000000000003</v>
      </c>
      <c r="L36" s="43">
        <f t="shared" si="1"/>
        <v>434.55098545463841</v>
      </c>
      <c r="M36">
        <v>5765.1</v>
      </c>
      <c r="N36">
        <v>7.8238000000000003</v>
      </c>
      <c r="O36" s="43">
        <f t="shared" si="2"/>
        <v>736.86699557759653</v>
      </c>
      <c r="P36">
        <v>3514.97</v>
      </c>
      <c r="Q36">
        <v>7.8238000000000003</v>
      </c>
      <c r="R36" s="43">
        <f t="shared" si="3"/>
        <v>449.26634116414016</v>
      </c>
      <c r="S36"/>
    </row>
    <row r="37" spans="1:19" x14ac:dyDescent="0.3">
      <c r="A37" s="16">
        <v>35</v>
      </c>
      <c r="B37" s="3">
        <v>45348</v>
      </c>
      <c r="C37" s="40">
        <v>5069.53</v>
      </c>
      <c r="D37">
        <v>16634.740000000002</v>
      </c>
      <c r="E37">
        <v>7.8238000000000003</v>
      </c>
      <c r="F37" s="14">
        <f t="shared" si="4"/>
        <v>2126.1714256499399</v>
      </c>
      <c r="G37">
        <v>10964.1</v>
      </c>
      <c r="H37">
        <v>7.8238000000000003</v>
      </c>
      <c r="I37" s="14">
        <f t="shared" si="0"/>
        <v>1401.3778470819807</v>
      </c>
      <c r="J37">
        <v>3393.29</v>
      </c>
      <c r="K37">
        <v>7.8238000000000003</v>
      </c>
      <c r="L37" s="43">
        <f t="shared" si="1"/>
        <v>433.71379636493771</v>
      </c>
      <c r="M37">
        <v>5723.36</v>
      </c>
      <c r="N37">
        <v>7.8238000000000003</v>
      </c>
      <c r="O37" s="43">
        <f t="shared" si="2"/>
        <v>731.53199212658808</v>
      </c>
      <c r="P37">
        <v>3497.92</v>
      </c>
      <c r="Q37">
        <v>7.8238000000000003</v>
      </c>
      <c r="R37" s="43">
        <f t="shared" si="3"/>
        <v>447.08709322835449</v>
      </c>
      <c r="S37"/>
    </row>
    <row r="38" spans="1:19" x14ac:dyDescent="0.3">
      <c r="A38" s="16">
        <v>36</v>
      </c>
      <c r="B38" s="3">
        <v>45349</v>
      </c>
      <c r="C38" s="40">
        <v>5078.18</v>
      </c>
      <c r="D38">
        <v>16790.8</v>
      </c>
      <c r="E38">
        <v>7.8240999999999996</v>
      </c>
      <c r="F38" s="14">
        <f t="shared" si="4"/>
        <v>2146.035965797983</v>
      </c>
      <c r="G38">
        <v>11102.17</v>
      </c>
      <c r="H38">
        <v>7.8240999999999996</v>
      </c>
      <c r="I38" s="14">
        <f t="shared" si="0"/>
        <v>1418.9708720491815</v>
      </c>
      <c r="J38">
        <v>3503.17</v>
      </c>
      <c r="K38">
        <v>7.8240999999999996</v>
      </c>
      <c r="L38" s="43">
        <f t="shared" si="1"/>
        <v>447.74095423115762</v>
      </c>
      <c r="M38">
        <v>5806.9</v>
      </c>
      <c r="N38">
        <v>7.8240999999999996</v>
      </c>
      <c r="O38" s="43">
        <f t="shared" si="2"/>
        <v>742.18120934037142</v>
      </c>
      <c r="P38">
        <v>3481.74</v>
      </c>
      <c r="Q38">
        <v>7.8240999999999996</v>
      </c>
      <c r="R38" s="43">
        <f t="shared" si="3"/>
        <v>445.00198105852428</v>
      </c>
      <c r="S38"/>
    </row>
    <row r="39" spans="1:19" x14ac:dyDescent="0.3">
      <c r="A39" s="16">
        <v>37</v>
      </c>
      <c r="B39" s="3">
        <v>45350</v>
      </c>
      <c r="C39" s="40">
        <v>5069.76</v>
      </c>
      <c r="D39">
        <v>16536.849999999999</v>
      </c>
      <c r="E39">
        <v>7.8278999999999996</v>
      </c>
      <c r="F39" s="14">
        <f t="shared" si="4"/>
        <v>2112.5525364401692</v>
      </c>
      <c r="G39">
        <v>10915.64</v>
      </c>
      <c r="H39">
        <v>7.8278999999999996</v>
      </c>
      <c r="I39" s="14">
        <f t="shared" si="0"/>
        <v>1394.4531739036013</v>
      </c>
      <c r="J39">
        <v>3426.61</v>
      </c>
      <c r="K39">
        <v>7.8278999999999996</v>
      </c>
      <c r="L39" s="43">
        <f t="shared" si="1"/>
        <v>437.74320060297146</v>
      </c>
      <c r="M39">
        <v>5688.46</v>
      </c>
      <c r="N39">
        <v>7.8278999999999996</v>
      </c>
      <c r="O39" s="43">
        <f t="shared" si="2"/>
        <v>726.69042782866416</v>
      </c>
      <c r="P39">
        <v>3426.61</v>
      </c>
      <c r="Q39">
        <v>7.8278999999999996</v>
      </c>
      <c r="R39" s="43">
        <f t="shared" si="3"/>
        <v>437.74320060297146</v>
      </c>
      <c r="S39"/>
    </row>
    <row r="40" spans="1:19" x14ac:dyDescent="0.3">
      <c r="A40" s="16">
        <v>38</v>
      </c>
      <c r="B40" s="3">
        <v>45351</v>
      </c>
      <c r="C40" s="40">
        <v>5096.2700000000004</v>
      </c>
      <c r="D40">
        <v>16511.439999999999</v>
      </c>
      <c r="E40">
        <v>7.8288000000000002</v>
      </c>
      <c r="F40" s="14">
        <f t="shared" si="4"/>
        <v>2109.0639689352133</v>
      </c>
      <c r="G40">
        <v>10883.74</v>
      </c>
      <c r="H40">
        <v>7.8288000000000002</v>
      </c>
      <c r="I40" s="14">
        <f t="shared" si="0"/>
        <v>1390.2181688125893</v>
      </c>
      <c r="J40">
        <v>3431.3</v>
      </c>
      <c r="K40">
        <v>7.8288000000000002</v>
      </c>
      <c r="L40" s="43">
        <f t="shared" si="1"/>
        <v>438.29194768035973</v>
      </c>
      <c r="M40">
        <v>5677.88</v>
      </c>
      <c r="N40">
        <v>7.8288000000000002</v>
      </c>
      <c r="O40" s="43">
        <f t="shared" si="2"/>
        <v>725.25546699366441</v>
      </c>
      <c r="P40">
        <v>3397.89</v>
      </c>
      <c r="Q40">
        <v>7.8288000000000002</v>
      </c>
      <c r="R40" s="43">
        <f t="shared" si="3"/>
        <v>434.02437155119554</v>
      </c>
      <c r="S40"/>
    </row>
    <row r="41" spans="1:19" x14ac:dyDescent="0.3">
      <c r="A41" s="16">
        <v>39</v>
      </c>
      <c r="B41" s="3">
        <v>45352</v>
      </c>
      <c r="C41" s="40">
        <v>5137.08</v>
      </c>
      <c r="D41">
        <v>16589.439999999999</v>
      </c>
      <c r="E41">
        <v>7.8285</v>
      </c>
      <c r="F41" s="14">
        <f t="shared" si="4"/>
        <v>2119.1083860254198</v>
      </c>
      <c r="G41">
        <v>10970.9</v>
      </c>
      <c r="H41">
        <v>7.8285</v>
      </c>
      <c r="I41" s="14">
        <f t="shared" si="0"/>
        <v>1401.40512230951</v>
      </c>
      <c r="J41">
        <v>3488.13</v>
      </c>
      <c r="K41">
        <v>7.8285</v>
      </c>
      <c r="L41" s="43">
        <f t="shared" si="1"/>
        <v>445.56811649741331</v>
      </c>
      <c r="M41">
        <v>5728.84</v>
      </c>
      <c r="N41">
        <v>7.8285</v>
      </c>
      <c r="O41" s="43">
        <f t="shared" si="2"/>
        <v>731.79280832854317</v>
      </c>
      <c r="P41">
        <v>3393.22</v>
      </c>
      <c r="Q41">
        <v>7.8285</v>
      </c>
      <c r="R41" s="43">
        <f t="shared" si="3"/>
        <v>433.44446573417639</v>
      </c>
      <c r="S41"/>
    </row>
    <row r="42" spans="1:19" x14ac:dyDescent="0.3">
      <c r="A42" s="16">
        <v>40</v>
      </c>
      <c r="B42" s="3">
        <v>45355</v>
      </c>
      <c r="C42" s="40">
        <v>5130.95</v>
      </c>
      <c r="D42">
        <v>16595.97</v>
      </c>
      <c r="E42">
        <v>7.8247</v>
      </c>
      <c r="F42" s="14">
        <f t="shared" si="4"/>
        <v>2120.9720500466474</v>
      </c>
      <c r="G42">
        <v>10928.96</v>
      </c>
      <c r="H42">
        <v>7.8247</v>
      </c>
      <c r="I42" s="14">
        <f t="shared" si="0"/>
        <v>1396.7257530640152</v>
      </c>
      <c r="J42">
        <v>3474.77</v>
      </c>
      <c r="K42">
        <v>7.8247</v>
      </c>
      <c r="L42" s="43">
        <f t="shared" si="1"/>
        <v>444.07708921747798</v>
      </c>
      <c r="M42">
        <v>5712.83</v>
      </c>
      <c r="N42">
        <v>7.8247</v>
      </c>
      <c r="O42" s="43">
        <f t="shared" si="2"/>
        <v>730.10211254105593</v>
      </c>
      <c r="P42">
        <v>3378.68</v>
      </c>
      <c r="Q42">
        <v>7.8247</v>
      </c>
      <c r="R42" s="43">
        <f t="shared" si="3"/>
        <v>431.79674620113229</v>
      </c>
      <c r="S42"/>
    </row>
    <row r="43" spans="1:19" x14ac:dyDescent="0.3">
      <c r="A43" s="16">
        <v>41</v>
      </c>
      <c r="B43" s="3">
        <v>45356</v>
      </c>
      <c r="C43" s="40">
        <v>5078.6499999999996</v>
      </c>
      <c r="D43">
        <v>16162.64</v>
      </c>
      <c r="E43">
        <v>7.8239999999999998</v>
      </c>
      <c r="F43" s="14">
        <f t="shared" si="4"/>
        <v>2065.7770961145193</v>
      </c>
      <c r="G43">
        <v>10610.91</v>
      </c>
      <c r="H43">
        <v>7.8239999999999998</v>
      </c>
      <c r="I43" s="14">
        <f t="shared" si="0"/>
        <v>1356.2001533742332</v>
      </c>
      <c r="J43">
        <v>3323.89</v>
      </c>
      <c r="K43">
        <v>7.8239999999999998</v>
      </c>
      <c r="L43" s="43">
        <f t="shared" si="1"/>
        <v>424.83256646216768</v>
      </c>
      <c r="M43">
        <v>5562.73</v>
      </c>
      <c r="N43">
        <v>7.8239999999999998</v>
      </c>
      <c r="O43" s="43">
        <f t="shared" si="2"/>
        <v>710.9828732106339</v>
      </c>
      <c r="P43">
        <v>3334.93</v>
      </c>
      <c r="Q43">
        <v>7.8239999999999998</v>
      </c>
      <c r="R43" s="43">
        <f t="shared" si="3"/>
        <v>426.24360940695294</v>
      </c>
      <c r="S43"/>
    </row>
    <row r="44" spans="1:19" x14ac:dyDescent="0.3">
      <c r="A44" s="16">
        <v>42</v>
      </c>
      <c r="B44" s="3">
        <v>45357</v>
      </c>
      <c r="C44" s="40">
        <v>5104.76</v>
      </c>
      <c r="D44">
        <v>16438.09</v>
      </c>
      <c r="E44">
        <v>7.8251999999999997</v>
      </c>
      <c r="F44" s="14">
        <f t="shared" si="4"/>
        <v>2100.6606859888566</v>
      </c>
      <c r="G44">
        <v>10836.35</v>
      </c>
      <c r="H44">
        <v>7.8251999999999997</v>
      </c>
      <c r="I44" s="14">
        <f t="shared" si="0"/>
        <v>1384.8016664110824</v>
      </c>
      <c r="J44">
        <v>3412.57</v>
      </c>
      <c r="K44">
        <v>7.8251999999999997</v>
      </c>
      <c r="L44" s="43">
        <f t="shared" si="1"/>
        <v>436.10003578183307</v>
      </c>
      <c r="M44">
        <v>5672.97</v>
      </c>
      <c r="N44">
        <v>7.8251999999999997</v>
      </c>
      <c r="O44" s="43">
        <f t="shared" si="2"/>
        <v>724.96166232172982</v>
      </c>
      <c r="P44">
        <v>3390.73</v>
      </c>
      <c r="Q44">
        <v>7.8251999999999997</v>
      </c>
      <c r="R44" s="43">
        <f t="shared" si="3"/>
        <v>433.3090528037622</v>
      </c>
      <c r="S44"/>
    </row>
    <row r="45" spans="1:19" x14ac:dyDescent="0.3">
      <c r="A45" s="16">
        <v>43</v>
      </c>
      <c r="B45" s="3">
        <v>45358</v>
      </c>
      <c r="C45" s="40">
        <v>5157.3599999999997</v>
      </c>
      <c r="D45">
        <v>16229.78</v>
      </c>
      <c r="E45">
        <v>7.8207000000000004</v>
      </c>
      <c r="F45" s="14">
        <f t="shared" si="4"/>
        <v>2075.2336747349982</v>
      </c>
      <c r="G45">
        <v>10690.77</v>
      </c>
      <c r="H45">
        <v>7.8207000000000004</v>
      </c>
      <c r="I45" s="14">
        <f t="shared" si="0"/>
        <v>1366.983773830987</v>
      </c>
      <c r="J45">
        <v>3359.34</v>
      </c>
      <c r="K45">
        <v>7.8207000000000004</v>
      </c>
      <c r="L45" s="43">
        <f t="shared" si="1"/>
        <v>429.54466991445776</v>
      </c>
      <c r="M45">
        <v>5613.83</v>
      </c>
      <c r="N45">
        <v>7.8207000000000004</v>
      </c>
      <c r="O45" s="43">
        <f t="shared" si="2"/>
        <v>717.81681946628817</v>
      </c>
      <c r="P45">
        <v>3384.24</v>
      </c>
      <c r="Q45">
        <v>7.8207000000000004</v>
      </c>
      <c r="R45" s="43">
        <f t="shared" si="3"/>
        <v>432.72852813686751</v>
      </c>
      <c r="S45"/>
    </row>
    <row r="46" spans="1:19" x14ac:dyDescent="0.3">
      <c r="A46" s="16">
        <v>44</v>
      </c>
      <c r="B46" s="3">
        <v>45359</v>
      </c>
      <c r="C46" s="40">
        <v>5123.6899999999996</v>
      </c>
      <c r="D46">
        <v>16353.39</v>
      </c>
      <c r="E46">
        <v>7.8202999999999996</v>
      </c>
      <c r="F46" s="14">
        <f t="shared" si="4"/>
        <v>2091.1461197140775</v>
      </c>
      <c r="G46">
        <v>10758.76</v>
      </c>
      <c r="H46">
        <v>7.8202999999999996</v>
      </c>
      <c r="I46" s="14">
        <f t="shared" si="0"/>
        <v>1375.7477334629107</v>
      </c>
      <c r="J46">
        <v>3385.58</v>
      </c>
      <c r="K46">
        <v>7.8202999999999996</v>
      </c>
      <c r="L46" s="43">
        <f t="shared" si="1"/>
        <v>432.92201066455254</v>
      </c>
      <c r="M46">
        <v>5656.72</v>
      </c>
      <c r="N46">
        <v>7.8202999999999996</v>
      </c>
      <c r="O46" s="43">
        <f t="shared" si="2"/>
        <v>723.33797936140559</v>
      </c>
      <c r="P46">
        <v>3420.54</v>
      </c>
      <c r="Q46">
        <v>7.8202999999999996</v>
      </c>
      <c r="R46" s="43">
        <f t="shared" si="3"/>
        <v>437.39242740048337</v>
      </c>
      <c r="S46"/>
    </row>
    <row r="47" spans="1:19" x14ac:dyDescent="0.3">
      <c r="A47" s="16">
        <v>45</v>
      </c>
      <c r="B47" s="3">
        <v>45362</v>
      </c>
      <c r="C47" s="40">
        <v>5117.9399999999996</v>
      </c>
      <c r="D47">
        <v>16587.57</v>
      </c>
      <c r="E47">
        <v>7.8216000000000001</v>
      </c>
      <c r="F47" s="14">
        <f t="shared" si="4"/>
        <v>2120.7387235348265</v>
      </c>
      <c r="G47">
        <v>10953.44</v>
      </c>
      <c r="H47">
        <v>7.8216000000000001</v>
      </c>
      <c r="I47" s="14">
        <f t="shared" si="0"/>
        <v>1400.4091234530019</v>
      </c>
      <c r="J47">
        <v>3482.29</v>
      </c>
      <c r="K47">
        <v>7.8216000000000001</v>
      </c>
      <c r="L47" s="43">
        <f t="shared" si="1"/>
        <v>445.2145341106679</v>
      </c>
      <c r="M47">
        <v>5748.89</v>
      </c>
      <c r="N47">
        <v>7.8216000000000001</v>
      </c>
      <c r="O47" s="43">
        <f t="shared" si="2"/>
        <v>735.00178991510688</v>
      </c>
      <c r="P47">
        <v>3416.81</v>
      </c>
      <c r="Q47">
        <v>7.8216000000000001</v>
      </c>
      <c r="R47" s="43">
        <f t="shared" si="3"/>
        <v>436.84284545361561</v>
      </c>
      <c r="S47"/>
    </row>
    <row r="48" spans="1:19" x14ac:dyDescent="0.3">
      <c r="A48" s="16">
        <v>46</v>
      </c>
      <c r="B48" s="3">
        <v>45363</v>
      </c>
      <c r="C48" s="40">
        <v>5175.2700000000004</v>
      </c>
      <c r="D48">
        <v>17093.5</v>
      </c>
      <c r="E48">
        <v>7.8235000000000001</v>
      </c>
      <c r="F48" s="14">
        <f t="shared" si="4"/>
        <v>2184.8916725250847</v>
      </c>
      <c r="G48">
        <v>11324.92</v>
      </c>
      <c r="H48">
        <v>7.8235000000000001</v>
      </c>
      <c r="I48" s="14">
        <f t="shared" si="0"/>
        <v>1447.5516073368697</v>
      </c>
      <c r="J48">
        <v>3643.91</v>
      </c>
      <c r="K48">
        <v>7.8235000000000001</v>
      </c>
      <c r="L48" s="43">
        <f t="shared" si="1"/>
        <v>465.76468332587712</v>
      </c>
      <c r="M48">
        <v>5949.52</v>
      </c>
      <c r="N48">
        <v>7.8235000000000001</v>
      </c>
      <c r="O48" s="43">
        <f t="shared" si="2"/>
        <v>760.46782130759891</v>
      </c>
      <c r="P48">
        <v>3522.89</v>
      </c>
      <c r="Q48">
        <v>7.8235000000000001</v>
      </c>
      <c r="R48" s="43">
        <f t="shared" si="3"/>
        <v>450.29590336805774</v>
      </c>
      <c r="S48"/>
    </row>
    <row r="49" spans="1:19" x14ac:dyDescent="0.3">
      <c r="A49" s="16">
        <v>47</v>
      </c>
      <c r="B49" s="3">
        <v>45364</v>
      </c>
      <c r="C49" s="40">
        <v>5165.3100000000004</v>
      </c>
      <c r="D49">
        <v>17082.11</v>
      </c>
      <c r="E49">
        <v>7.8232999999999997</v>
      </c>
      <c r="F49" s="14">
        <f t="shared" si="4"/>
        <v>2183.4916211828768</v>
      </c>
      <c r="G49">
        <v>11298.78</v>
      </c>
      <c r="H49">
        <v>7.8232999999999997</v>
      </c>
      <c r="I49" s="14">
        <f t="shared" si="0"/>
        <v>1444.2473125151791</v>
      </c>
      <c r="J49">
        <v>3656.3</v>
      </c>
      <c r="K49">
        <v>7.8232999999999997</v>
      </c>
      <c r="L49" s="43">
        <f t="shared" si="1"/>
        <v>467.36032109212232</v>
      </c>
      <c r="M49">
        <v>5932.46</v>
      </c>
      <c r="N49">
        <v>7.8232999999999997</v>
      </c>
      <c r="O49" s="43">
        <f t="shared" si="2"/>
        <v>758.30659696036207</v>
      </c>
      <c r="P49">
        <v>3527.9</v>
      </c>
      <c r="Q49">
        <v>7.8232999999999997</v>
      </c>
      <c r="R49" s="43">
        <f t="shared" si="3"/>
        <v>450.94780974780468</v>
      </c>
      <c r="S49"/>
    </row>
    <row r="50" spans="1:19" x14ac:dyDescent="0.3">
      <c r="A50" s="16">
        <v>48</v>
      </c>
      <c r="B50" s="3">
        <v>45365</v>
      </c>
      <c r="C50" s="40">
        <v>5150.4799999999996</v>
      </c>
      <c r="D50">
        <v>16961.66</v>
      </c>
      <c r="E50">
        <v>7.8221999999999996</v>
      </c>
      <c r="F50" s="14">
        <f t="shared" si="4"/>
        <v>2168.4001943187341</v>
      </c>
      <c r="G50">
        <v>11245.23</v>
      </c>
      <c r="H50">
        <v>7.8221999999999996</v>
      </c>
      <c r="I50" s="14">
        <f t="shared" si="0"/>
        <v>1437.604510240086</v>
      </c>
      <c r="J50">
        <v>3603.83</v>
      </c>
      <c r="K50">
        <v>7.8221999999999996</v>
      </c>
      <c r="L50" s="43">
        <f t="shared" si="1"/>
        <v>460.71821226764848</v>
      </c>
      <c r="M50">
        <v>5906.88</v>
      </c>
      <c r="N50">
        <v>7.8221999999999996</v>
      </c>
      <c r="O50" s="43">
        <f t="shared" si="2"/>
        <v>755.14305438367728</v>
      </c>
      <c r="P50">
        <v>3540.62</v>
      </c>
      <c r="Q50">
        <v>7.8221999999999996</v>
      </c>
      <c r="R50" s="43">
        <f t="shared" si="3"/>
        <v>452.63736544706092</v>
      </c>
      <c r="S50"/>
    </row>
    <row r="51" spans="1:19" x14ac:dyDescent="0.3">
      <c r="A51" s="16">
        <v>49</v>
      </c>
      <c r="B51" s="3">
        <v>45366</v>
      </c>
      <c r="C51" s="40">
        <v>5117.09</v>
      </c>
      <c r="D51">
        <v>16720.89</v>
      </c>
      <c r="E51">
        <v>7.8215000000000003</v>
      </c>
      <c r="F51" s="14">
        <f t="shared" si="4"/>
        <v>2137.8111615419034</v>
      </c>
      <c r="G51">
        <v>11060.97</v>
      </c>
      <c r="H51">
        <v>7.8215000000000003</v>
      </c>
      <c r="I51" s="14">
        <f t="shared" si="0"/>
        <v>1414.1750303650194</v>
      </c>
      <c r="J51">
        <v>3549.84</v>
      </c>
      <c r="K51">
        <v>7.8215000000000003</v>
      </c>
      <c r="L51" s="43">
        <f t="shared" si="1"/>
        <v>453.85667710797162</v>
      </c>
      <c r="M51">
        <v>5820.5</v>
      </c>
      <c r="N51">
        <v>7.8215000000000003</v>
      </c>
      <c r="O51" s="43">
        <f t="shared" si="2"/>
        <v>744.16671993863065</v>
      </c>
      <c r="P51">
        <v>3517.77</v>
      </c>
      <c r="Q51">
        <v>7.8215000000000003</v>
      </c>
      <c r="R51" s="43">
        <f t="shared" si="3"/>
        <v>449.75644058045128</v>
      </c>
      <c r="S51"/>
    </row>
    <row r="52" spans="1:19" x14ac:dyDescent="0.3">
      <c r="A52" s="16">
        <v>50</v>
      </c>
      <c r="B52" s="3">
        <v>45369</v>
      </c>
      <c r="C52" s="40">
        <v>5149.42</v>
      </c>
      <c r="D52">
        <v>16737.12</v>
      </c>
      <c r="E52">
        <v>7.8192000000000004</v>
      </c>
      <c r="F52" s="14">
        <f t="shared" si="4"/>
        <v>2140.5156537753219</v>
      </c>
      <c r="G52">
        <v>11099.11</v>
      </c>
      <c r="H52">
        <v>7.8192000000000004</v>
      </c>
      <c r="I52" s="14">
        <f t="shared" si="0"/>
        <v>1419.468743605484</v>
      </c>
      <c r="J52">
        <v>3594.22</v>
      </c>
      <c r="K52">
        <v>7.8192000000000004</v>
      </c>
      <c r="L52" s="43">
        <f t="shared" si="1"/>
        <v>459.66595048086754</v>
      </c>
      <c r="M52">
        <v>5848.15</v>
      </c>
      <c r="N52">
        <v>7.8192000000000004</v>
      </c>
      <c r="O52" s="43">
        <f t="shared" si="2"/>
        <v>747.92178227951706</v>
      </c>
      <c r="P52">
        <v>3537.45</v>
      </c>
      <c r="Q52">
        <v>7.8192000000000004</v>
      </c>
      <c r="R52" s="43">
        <f t="shared" si="3"/>
        <v>452.40561694290972</v>
      </c>
      <c r="S52"/>
    </row>
    <row r="53" spans="1:19" x14ac:dyDescent="0.3">
      <c r="A53" s="16">
        <v>51</v>
      </c>
      <c r="B53" s="3">
        <v>45370</v>
      </c>
      <c r="C53" s="40">
        <v>5178.51</v>
      </c>
      <c r="D53">
        <v>16529.48</v>
      </c>
      <c r="E53">
        <v>7.8230000000000004</v>
      </c>
      <c r="F53" s="14">
        <f t="shared" si="4"/>
        <v>2112.9336571647705</v>
      </c>
      <c r="G53">
        <v>10945.86</v>
      </c>
      <c r="H53">
        <v>7.8230000000000004</v>
      </c>
      <c r="I53" s="14">
        <f t="shared" si="0"/>
        <v>1399.1895692189696</v>
      </c>
      <c r="J53">
        <v>3528.47</v>
      </c>
      <c r="K53">
        <v>7.8230000000000004</v>
      </c>
      <c r="L53" s="43">
        <f t="shared" si="1"/>
        <v>451.03796497507346</v>
      </c>
      <c r="M53">
        <v>5780.21</v>
      </c>
      <c r="N53">
        <v>7.8230000000000004</v>
      </c>
      <c r="O53" s="43">
        <f t="shared" si="2"/>
        <v>738.87383356768498</v>
      </c>
      <c r="P53">
        <v>3489.49</v>
      </c>
      <c r="Q53">
        <v>7.8230000000000004</v>
      </c>
      <c r="R53" s="43">
        <f t="shared" si="3"/>
        <v>446.05522178192507</v>
      </c>
      <c r="S53"/>
    </row>
    <row r="54" spans="1:19" x14ac:dyDescent="0.3">
      <c r="A54" s="16">
        <v>52</v>
      </c>
      <c r="B54" s="3">
        <v>45371</v>
      </c>
      <c r="C54" s="40">
        <v>5224.62</v>
      </c>
      <c r="D54">
        <v>16543.07</v>
      </c>
      <c r="E54">
        <v>7.8228</v>
      </c>
      <c r="F54" s="14">
        <f t="shared" si="4"/>
        <v>2114.7249066830291</v>
      </c>
      <c r="G54">
        <v>10967.37</v>
      </c>
      <c r="H54">
        <v>7.8228</v>
      </c>
      <c r="I54" s="14">
        <f t="shared" si="0"/>
        <v>1401.9749961650562</v>
      </c>
      <c r="J54">
        <v>3551.42</v>
      </c>
      <c r="K54">
        <v>7.8228</v>
      </c>
      <c r="L54" s="43">
        <f t="shared" si="1"/>
        <v>453.9832285115304</v>
      </c>
      <c r="M54">
        <v>5803.99</v>
      </c>
      <c r="N54">
        <v>7.8228</v>
      </c>
      <c r="O54" s="43">
        <f t="shared" si="2"/>
        <v>741.93255611801396</v>
      </c>
      <c r="P54">
        <v>3485.52</v>
      </c>
      <c r="Q54">
        <v>7.8228</v>
      </c>
      <c r="R54" s="43">
        <f t="shared" si="3"/>
        <v>445.55913483663136</v>
      </c>
      <c r="S54"/>
    </row>
    <row r="55" spans="1:19" x14ac:dyDescent="0.3">
      <c r="A55" s="16">
        <v>53</v>
      </c>
      <c r="B55" s="3">
        <v>45372</v>
      </c>
      <c r="C55" s="40">
        <v>5241.53</v>
      </c>
      <c r="D55">
        <v>16863.099999999999</v>
      </c>
      <c r="E55">
        <v>7.8216000000000001</v>
      </c>
      <c r="F55" s="14">
        <f t="shared" si="4"/>
        <v>2155.9655313490844</v>
      </c>
      <c r="G55">
        <v>11173.12</v>
      </c>
      <c r="H55">
        <v>7.8216000000000001</v>
      </c>
      <c r="I55" s="14">
        <f t="shared" si="0"/>
        <v>1428.4954485015855</v>
      </c>
      <c r="J55">
        <v>3582.9</v>
      </c>
      <c r="K55">
        <v>7.8216000000000001</v>
      </c>
      <c r="L55" s="43">
        <f t="shared" si="1"/>
        <v>458.0776311752071</v>
      </c>
      <c r="M55">
        <v>5905.27</v>
      </c>
      <c r="N55">
        <v>7.8216000000000001</v>
      </c>
      <c r="O55" s="43">
        <f t="shared" si="2"/>
        <v>754.99514165899564</v>
      </c>
      <c r="P55">
        <v>3559.39</v>
      </c>
      <c r="Q55">
        <v>7.8216000000000001</v>
      </c>
      <c r="R55" s="43">
        <f t="shared" si="3"/>
        <v>455.07185230643347</v>
      </c>
      <c r="S55"/>
    </row>
    <row r="56" spans="1:19" x14ac:dyDescent="0.3">
      <c r="A56" s="16">
        <v>54</v>
      </c>
      <c r="B56" s="3">
        <v>45373</v>
      </c>
      <c r="C56" s="40">
        <v>5234.18</v>
      </c>
      <c r="D56">
        <v>16499.47</v>
      </c>
      <c r="E56">
        <v>7.8216000000000001</v>
      </c>
      <c r="F56" s="14">
        <f t="shared" si="4"/>
        <v>2109.4750434693669</v>
      </c>
      <c r="G56">
        <v>10903.6</v>
      </c>
      <c r="H56">
        <v>7.8216000000000001</v>
      </c>
      <c r="I56" s="14">
        <f t="shared" si="0"/>
        <v>1394.0370256724966</v>
      </c>
      <c r="J56">
        <v>3455.88</v>
      </c>
      <c r="K56">
        <v>7.8216000000000001</v>
      </c>
      <c r="L56" s="43">
        <f t="shared" si="1"/>
        <v>441.83798711261124</v>
      </c>
      <c r="M56">
        <v>5757.67</v>
      </c>
      <c r="N56">
        <v>7.8216000000000001</v>
      </c>
      <c r="O56" s="43">
        <f t="shared" si="2"/>
        <v>736.12432238928102</v>
      </c>
      <c r="P56">
        <v>3485.45</v>
      </c>
      <c r="Q56">
        <v>7.8216000000000001</v>
      </c>
      <c r="R56" s="43">
        <f t="shared" si="3"/>
        <v>445.61854352050727</v>
      </c>
      <c r="S56"/>
    </row>
    <row r="57" spans="1:19" x14ac:dyDescent="0.3">
      <c r="A57" s="16">
        <v>55</v>
      </c>
      <c r="B57" s="3">
        <v>45376</v>
      </c>
      <c r="C57" s="40">
        <v>5218.1899999999996</v>
      </c>
      <c r="D57">
        <v>16473.64</v>
      </c>
      <c r="E57">
        <v>7.8216000000000001</v>
      </c>
      <c r="F57" s="14">
        <f t="shared" si="4"/>
        <v>2106.1726500971668</v>
      </c>
      <c r="G57">
        <v>10912.73</v>
      </c>
      <c r="H57">
        <v>7.8216000000000001</v>
      </c>
      <c r="I57" s="14">
        <f t="shared" si="0"/>
        <v>1395.2043060243427</v>
      </c>
      <c r="J57">
        <v>3437.2</v>
      </c>
      <c r="K57">
        <v>7.8216000000000001</v>
      </c>
      <c r="L57" s="43">
        <f t="shared" si="1"/>
        <v>439.44972895571237</v>
      </c>
      <c r="M57">
        <v>5754.65</v>
      </c>
      <c r="N57">
        <v>7.8216000000000001</v>
      </c>
      <c r="O57" s="43">
        <f t="shared" si="2"/>
        <v>735.73821213051031</v>
      </c>
      <c r="P57">
        <v>3487.47</v>
      </c>
      <c r="Q57">
        <v>7.8216000000000001</v>
      </c>
      <c r="R57" s="43">
        <f t="shared" si="3"/>
        <v>445.87680270021474</v>
      </c>
      <c r="S57"/>
    </row>
    <row r="58" spans="1:19" x14ac:dyDescent="0.3">
      <c r="A58" s="16">
        <v>56</v>
      </c>
      <c r="B58" s="3">
        <v>45377</v>
      </c>
      <c r="C58" s="40">
        <v>5203.58</v>
      </c>
      <c r="D58">
        <v>16618.32</v>
      </c>
      <c r="E58">
        <v>7.8236999999999997</v>
      </c>
      <c r="F58" s="14">
        <f t="shared" si="4"/>
        <v>2124.0998504543886</v>
      </c>
      <c r="G58">
        <v>11048.05</v>
      </c>
      <c r="H58">
        <v>7.8236999999999997</v>
      </c>
      <c r="I58" s="14">
        <f t="shared" si="0"/>
        <v>1412.1259762005188</v>
      </c>
      <c r="J58">
        <v>3471.49</v>
      </c>
      <c r="K58">
        <v>7.8236999999999997</v>
      </c>
      <c r="L58" s="43">
        <f t="shared" si="1"/>
        <v>443.71461073405163</v>
      </c>
      <c r="M58">
        <v>5825.42</v>
      </c>
      <c r="N58">
        <v>7.8236999999999997</v>
      </c>
      <c r="O58" s="43">
        <f t="shared" si="2"/>
        <v>744.5863210501426</v>
      </c>
      <c r="P58">
        <v>3462.95</v>
      </c>
      <c r="Q58">
        <v>7.8236999999999997</v>
      </c>
      <c r="R58" s="43">
        <f t="shared" si="3"/>
        <v>442.62305558750973</v>
      </c>
      <c r="S58"/>
    </row>
    <row r="59" spans="1:19" x14ac:dyDescent="0.3">
      <c r="A59" s="16">
        <v>57</v>
      </c>
      <c r="B59" s="3">
        <v>45378</v>
      </c>
      <c r="C59" s="40">
        <v>5248.49</v>
      </c>
      <c r="D59">
        <v>16392.84</v>
      </c>
      <c r="E59">
        <v>7.8239000000000001</v>
      </c>
      <c r="F59" s="14">
        <f t="shared" si="4"/>
        <v>2095.2261659786041</v>
      </c>
      <c r="G59">
        <v>10885.57</v>
      </c>
      <c r="H59">
        <v>7.8239000000000001</v>
      </c>
      <c r="I59" s="14">
        <f t="shared" si="0"/>
        <v>1391.322741855085</v>
      </c>
      <c r="J59">
        <v>3393.43</v>
      </c>
      <c r="K59">
        <v>7.8239000000000001</v>
      </c>
      <c r="L59" s="43">
        <f t="shared" si="1"/>
        <v>433.72614680657983</v>
      </c>
      <c r="M59">
        <v>5728.13</v>
      </c>
      <c r="N59">
        <v>7.8239000000000001</v>
      </c>
      <c r="O59" s="43">
        <f t="shared" si="2"/>
        <v>732.13231252955688</v>
      </c>
      <c r="P59">
        <v>3396.88</v>
      </c>
      <c r="Q59">
        <v>7.8239000000000001</v>
      </c>
      <c r="R59" s="43">
        <f t="shared" si="3"/>
        <v>434.16710336277305</v>
      </c>
      <c r="S59"/>
    </row>
    <row r="60" spans="1:19" x14ac:dyDescent="0.3">
      <c r="A60" s="16">
        <v>58</v>
      </c>
      <c r="B60" s="3">
        <v>45379</v>
      </c>
      <c r="C60" s="40">
        <v>5254.35</v>
      </c>
      <c r="D60">
        <v>16541.419999999998</v>
      </c>
      <c r="E60">
        <v>7.8265000000000002</v>
      </c>
      <c r="F60" s="14">
        <f t="shared" si="4"/>
        <v>2113.5143422986007</v>
      </c>
      <c r="G60">
        <v>11040.85</v>
      </c>
      <c r="H60">
        <v>7.8265000000000002</v>
      </c>
      <c r="I60" s="14">
        <f t="shared" si="0"/>
        <v>1410.7008241231713</v>
      </c>
      <c r="J60">
        <v>3477.55</v>
      </c>
      <c r="K60">
        <v>7.8265000000000002</v>
      </c>
      <c r="L60" s="43">
        <f t="shared" si="1"/>
        <v>444.33016035264808</v>
      </c>
      <c r="M60">
        <v>5810.79</v>
      </c>
      <c r="N60">
        <v>7.8265000000000002</v>
      </c>
      <c r="O60" s="43">
        <f t="shared" si="2"/>
        <v>742.45064843799912</v>
      </c>
      <c r="P60">
        <v>3410.83</v>
      </c>
      <c r="Q60">
        <v>7.8265000000000002</v>
      </c>
      <c r="R60" s="43">
        <f t="shared" si="3"/>
        <v>435.80527694371682</v>
      </c>
      <c r="S60"/>
    </row>
    <row r="61" spans="1:19" x14ac:dyDescent="0.3">
      <c r="A61" s="16">
        <v>59</v>
      </c>
      <c r="B61" s="3">
        <v>45384</v>
      </c>
      <c r="C61" s="40">
        <v>5205.8100000000004</v>
      </c>
      <c r="D61">
        <v>16931.52</v>
      </c>
      <c r="E61">
        <v>7.8291000000000004</v>
      </c>
      <c r="F61" s="14">
        <f t="shared" si="4"/>
        <v>2162.6393838372228</v>
      </c>
      <c r="G61">
        <v>11312.7</v>
      </c>
      <c r="H61">
        <v>7.8291000000000004</v>
      </c>
      <c r="I61" s="14">
        <f t="shared" si="0"/>
        <v>1444.9553588535082</v>
      </c>
      <c r="J61">
        <v>3543.12</v>
      </c>
      <c r="K61">
        <v>7.8291000000000004</v>
      </c>
      <c r="L61" s="43">
        <f t="shared" si="1"/>
        <v>452.55776526037471</v>
      </c>
      <c r="M61">
        <v>5960.72</v>
      </c>
      <c r="N61">
        <v>7.8291000000000004</v>
      </c>
      <c r="O61" s="43">
        <f t="shared" si="2"/>
        <v>761.35443409842765</v>
      </c>
      <c r="P61">
        <v>3502.65</v>
      </c>
      <c r="Q61">
        <v>7.8291000000000004</v>
      </c>
      <c r="R61" s="43">
        <f t="shared" si="3"/>
        <v>447.38858872667356</v>
      </c>
      <c r="S61"/>
    </row>
    <row r="62" spans="1:19" x14ac:dyDescent="0.3">
      <c r="A62" s="16">
        <v>60</v>
      </c>
      <c r="B62" s="3">
        <v>45385</v>
      </c>
      <c r="C62" s="40">
        <v>5211.49</v>
      </c>
      <c r="D62">
        <v>16725.099999999999</v>
      </c>
      <c r="E62">
        <v>7.8287000000000004</v>
      </c>
      <c r="F62" s="14">
        <f t="shared" si="4"/>
        <v>2136.3827966329018</v>
      </c>
      <c r="G62">
        <v>11175.8</v>
      </c>
      <c r="H62">
        <v>7.8287000000000004</v>
      </c>
      <c r="I62" s="14">
        <f t="shared" si="0"/>
        <v>1427.5422483937307</v>
      </c>
      <c r="J62">
        <v>3460.87</v>
      </c>
      <c r="K62">
        <v>7.8287000000000004</v>
      </c>
      <c r="L62" s="43">
        <f t="shared" si="1"/>
        <v>442.07467395608461</v>
      </c>
      <c r="M62">
        <v>5874.99</v>
      </c>
      <c r="N62">
        <v>7.8287000000000004</v>
      </c>
      <c r="O62" s="43">
        <f t="shared" si="2"/>
        <v>750.44260222003641</v>
      </c>
      <c r="P62">
        <v>3472.51</v>
      </c>
      <c r="Q62">
        <v>7.8287000000000004</v>
      </c>
      <c r="R62" s="43">
        <f t="shared" si="3"/>
        <v>443.56151085109917</v>
      </c>
      <c r="S62"/>
    </row>
    <row r="63" spans="1:19" x14ac:dyDescent="0.3">
      <c r="A63" s="16">
        <v>61</v>
      </c>
      <c r="B63" s="3">
        <v>45387</v>
      </c>
      <c r="C63" s="40">
        <v>5204.34</v>
      </c>
      <c r="D63">
        <v>16723.919999999998</v>
      </c>
      <c r="E63">
        <v>7.8282999999999996</v>
      </c>
      <c r="F63" s="14">
        <f t="shared" si="4"/>
        <v>2136.3412235095743</v>
      </c>
      <c r="G63">
        <v>11141.59</v>
      </c>
      <c r="H63">
        <v>7.8282999999999996</v>
      </c>
      <c r="I63" s="14">
        <f t="shared" si="0"/>
        <v>1423.2451490106409</v>
      </c>
      <c r="J63">
        <v>3450.89</v>
      </c>
      <c r="K63">
        <v>7.8282999999999996</v>
      </c>
      <c r="L63" s="43">
        <f t="shared" si="1"/>
        <v>440.82240077666927</v>
      </c>
      <c r="M63">
        <v>5863.57</v>
      </c>
      <c r="N63">
        <v>7.8282999999999996</v>
      </c>
      <c r="O63" s="43">
        <f t="shared" si="2"/>
        <v>749.02213762885935</v>
      </c>
      <c r="P63">
        <v>3443.74</v>
      </c>
      <c r="Q63">
        <v>7.8282999999999996</v>
      </c>
      <c r="R63" s="43">
        <f t="shared" si="3"/>
        <v>439.90904794144325</v>
      </c>
      <c r="S63"/>
    </row>
    <row r="64" spans="1:19" x14ac:dyDescent="0.3">
      <c r="A64" s="16">
        <v>62</v>
      </c>
      <c r="B64" s="3">
        <v>45390</v>
      </c>
      <c r="C64" s="40">
        <v>5202.3900000000003</v>
      </c>
      <c r="D64">
        <v>16732.849999999999</v>
      </c>
      <c r="E64">
        <v>7.8315999999999999</v>
      </c>
      <c r="F64" s="14">
        <f t="shared" si="4"/>
        <v>2136.5812860718115</v>
      </c>
      <c r="G64">
        <v>11164.93</v>
      </c>
      <c r="H64">
        <v>7.8315999999999999</v>
      </c>
      <c r="I64" s="14">
        <f t="shared" si="0"/>
        <v>1425.6256703611011</v>
      </c>
      <c r="J64">
        <v>3444.61</v>
      </c>
      <c r="K64">
        <v>7.8315999999999999</v>
      </c>
      <c r="L64" s="43">
        <f t="shared" si="1"/>
        <v>439.83477194953781</v>
      </c>
      <c r="M64">
        <v>5868.97</v>
      </c>
      <c r="N64">
        <v>7.8315999999999999</v>
      </c>
      <c r="O64" s="43">
        <f t="shared" si="2"/>
        <v>749.39603656979421</v>
      </c>
      <c r="P64">
        <v>3455.05</v>
      </c>
      <c r="Q64">
        <v>7.8315999999999999</v>
      </c>
      <c r="R64" s="43">
        <f t="shared" si="3"/>
        <v>441.16783288216971</v>
      </c>
      <c r="S64"/>
    </row>
    <row r="65" spans="1:21" x14ac:dyDescent="0.3">
      <c r="A65" s="16">
        <v>63</v>
      </c>
      <c r="B65" s="3">
        <v>45391</v>
      </c>
      <c r="C65" s="40">
        <v>5209.91</v>
      </c>
      <c r="D65">
        <v>16828.07</v>
      </c>
      <c r="E65">
        <v>7.8304</v>
      </c>
      <c r="F65" s="14">
        <f t="shared" si="4"/>
        <v>2149.0690130772373</v>
      </c>
      <c r="G65">
        <v>11211.42</v>
      </c>
      <c r="H65">
        <v>7.8304</v>
      </c>
      <c r="I65" s="14">
        <f t="shared" si="0"/>
        <v>1431.7812627707397</v>
      </c>
      <c r="J65">
        <v>3478.24</v>
      </c>
      <c r="K65">
        <v>7.8304</v>
      </c>
      <c r="L65" s="43">
        <f t="shared" si="1"/>
        <v>444.19697588884344</v>
      </c>
      <c r="M65">
        <v>5895.32</v>
      </c>
      <c r="N65">
        <v>7.8304</v>
      </c>
      <c r="O65" s="43">
        <f t="shared" si="2"/>
        <v>752.87597057621576</v>
      </c>
      <c r="P65">
        <v>3470.19</v>
      </c>
      <c r="Q65">
        <v>7.8304</v>
      </c>
      <c r="R65" s="43">
        <f t="shared" si="3"/>
        <v>443.16893134450351</v>
      </c>
      <c r="S65"/>
    </row>
    <row r="66" spans="1:21" x14ac:dyDescent="0.3">
      <c r="A66" s="16">
        <v>64</v>
      </c>
      <c r="B66" s="3">
        <v>45392</v>
      </c>
      <c r="C66" s="40">
        <v>5160.6400000000003</v>
      </c>
      <c r="D66">
        <v>17139.169999999998</v>
      </c>
      <c r="E66">
        <v>7.8353999999999999</v>
      </c>
      <c r="F66" s="14">
        <f t="shared" si="4"/>
        <v>2187.4020471194831</v>
      </c>
      <c r="G66">
        <v>11449.75</v>
      </c>
      <c r="H66">
        <v>7.8353999999999999</v>
      </c>
      <c r="I66" s="14">
        <f t="shared" si="0"/>
        <v>1461.2846823391276</v>
      </c>
      <c r="J66">
        <v>3552.01</v>
      </c>
      <c r="K66">
        <v>7.8353999999999999</v>
      </c>
      <c r="L66" s="43">
        <f t="shared" si="1"/>
        <v>453.32848354902114</v>
      </c>
      <c r="M66">
        <v>6016.83</v>
      </c>
      <c r="N66">
        <v>7.8353999999999999</v>
      </c>
      <c r="O66" s="43">
        <f t="shared" si="2"/>
        <v>767.90336166628379</v>
      </c>
      <c r="P66">
        <v>3522.49</v>
      </c>
      <c r="Q66">
        <v>7.8353999999999999</v>
      </c>
      <c r="R66" s="43">
        <f t="shared" si="3"/>
        <v>449.56096689384077</v>
      </c>
      <c r="S66"/>
    </row>
    <row r="67" spans="1:21" x14ac:dyDescent="0.3">
      <c r="A67" s="16">
        <v>65</v>
      </c>
      <c r="B67" s="3">
        <v>45393</v>
      </c>
      <c r="C67" s="40">
        <v>5199.0600000000004</v>
      </c>
      <c r="D67">
        <v>17095.03</v>
      </c>
      <c r="E67">
        <v>7.8379000000000003</v>
      </c>
      <c r="F67" s="14">
        <f t="shared" ref="F67:F130" si="5">D67/E67</f>
        <v>2181.072736319677</v>
      </c>
      <c r="G67">
        <v>11418.18</v>
      </c>
      <c r="H67">
        <v>7.8379000000000003</v>
      </c>
      <c r="I67" s="14">
        <f t="shared" ref="I67:I130" si="6">G67/H67</f>
        <v>1456.7907220046186</v>
      </c>
      <c r="J67">
        <v>3538.39</v>
      </c>
      <c r="K67">
        <v>7.8379000000000003</v>
      </c>
      <c r="L67" s="43">
        <f t="shared" ref="L67:L130" si="7">J67/K67</f>
        <v>451.44617818548335</v>
      </c>
      <c r="M67">
        <v>6003.97</v>
      </c>
      <c r="N67">
        <v>7.8379000000000003</v>
      </c>
      <c r="O67" s="43">
        <f t="shared" ref="O67:O130" si="8">M67/N67</f>
        <v>766.01768330802895</v>
      </c>
      <c r="P67">
        <v>3532.61</v>
      </c>
      <c r="Q67">
        <v>7.8379000000000003</v>
      </c>
      <c r="R67" s="43">
        <f t="shared" ref="R67:R130" si="9">P67/Q67</f>
        <v>450.70873575830262</v>
      </c>
      <c r="S67"/>
    </row>
    <row r="68" spans="1:21" x14ac:dyDescent="0.3">
      <c r="A68" s="16">
        <v>66</v>
      </c>
      <c r="B68" s="3">
        <v>45394</v>
      </c>
      <c r="C68" s="40">
        <v>5123.41</v>
      </c>
      <c r="D68">
        <v>16721.689999999999</v>
      </c>
      <c r="E68">
        <v>7.8372999999999999</v>
      </c>
      <c r="F68" s="14">
        <f t="shared" si="5"/>
        <v>2133.6034093373992</v>
      </c>
      <c r="G68">
        <v>11196.81</v>
      </c>
      <c r="H68">
        <v>7.8372999999999999</v>
      </c>
      <c r="I68" s="14">
        <f t="shared" si="6"/>
        <v>1428.6565526393017</v>
      </c>
      <c r="J68">
        <v>3474.47</v>
      </c>
      <c r="K68">
        <v>7.8372999999999999</v>
      </c>
      <c r="L68" s="43">
        <f t="shared" si="7"/>
        <v>443.32486953415076</v>
      </c>
      <c r="M68">
        <v>5879.58</v>
      </c>
      <c r="N68">
        <v>7.8372999999999999</v>
      </c>
      <c r="O68" s="43">
        <f t="shared" si="8"/>
        <v>750.20478991489415</v>
      </c>
      <c r="P68">
        <v>3461.57</v>
      </c>
      <c r="Q68">
        <v>7.8372999999999999</v>
      </c>
      <c r="R68" s="43">
        <f t="shared" si="9"/>
        <v>441.67889451724449</v>
      </c>
      <c r="S68"/>
      <c r="U68" s="38"/>
    </row>
    <row r="69" spans="1:21" x14ac:dyDescent="0.3">
      <c r="A69" s="16">
        <v>67</v>
      </c>
      <c r="B69" s="3">
        <v>45397</v>
      </c>
      <c r="C69" s="40">
        <v>5061.82</v>
      </c>
      <c r="D69">
        <v>16600.46</v>
      </c>
      <c r="E69">
        <v>7.8285999999999998</v>
      </c>
      <c r="F69" s="14">
        <f t="shared" si="5"/>
        <v>2120.4889763176047</v>
      </c>
      <c r="G69">
        <v>11144.86</v>
      </c>
      <c r="H69">
        <v>7.8285999999999998</v>
      </c>
      <c r="I69" s="14">
        <f t="shared" si="6"/>
        <v>1423.6083079988759</v>
      </c>
      <c r="J69">
        <v>3442.49</v>
      </c>
      <c r="K69">
        <v>7.8285999999999998</v>
      </c>
      <c r="L69" s="43">
        <f t="shared" si="7"/>
        <v>439.73251922438237</v>
      </c>
      <c r="M69">
        <v>5856.44</v>
      </c>
      <c r="N69">
        <v>7.8285999999999998</v>
      </c>
      <c r="O69" s="43">
        <f t="shared" si="8"/>
        <v>748.08267123112682</v>
      </c>
      <c r="P69">
        <v>3461.2</v>
      </c>
      <c r="Q69">
        <v>7.8285999999999998</v>
      </c>
      <c r="R69" s="43">
        <f t="shared" si="9"/>
        <v>442.1224740055693</v>
      </c>
      <c r="S69"/>
      <c r="U69" s="38"/>
    </row>
    <row r="70" spans="1:21" x14ac:dyDescent="0.3">
      <c r="A70" s="16">
        <v>68</v>
      </c>
      <c r="B70" s="3">
        <v>45398</v>
      </c>
      <c r="C70" s="40">
        <v>5051.41</v>
      </c>
      <c r="D70">
        <v>16248.97</v>
      </c>
      <c r="E70">
        <v>7.8315999999999999</v>
      </c>
      <c r="F70" s="14">
        <f t="shared" si="5"/>
        <v>2074.7956994739261</v>
      </c>
      <c r="G70">
        <v>10944.89</v>
      </c>
      <c r="H70">
        <v>7.8315999999999999</v>
      </c>
      <c r="I70" s="14">
        <f t="shared" si="6"/>
        <v>1397.5292405127943</v>
      </c>
      <c r="J70">
        <v>3337.85</v>
      </c>
      <c r="K70">
        <v>7.8315999999999999</v>
      </c>
      <c r="L70" s="43">
        <f t="shared" si="7"/>
        <v>426.20281934725983</v>
      </c>
      <c r="M70">
        <v>5743.78</v>
      </c>
      <c r="N70">
        <v>7.8315999999999999</v>
      </c>
      <c r="O70" s="43">
        <f t="shared" si="8"/>
        <v>733.41079728280295</v>
      </c>
      <c r="P70">
        <v>3410.52</v>
      </c>
      <c r="Q70">
        <v>7.8315999999999999</v>
      </c>
      <c r="R70" s="43">
        <f t="shared" si="9"/>
        <v>435.48189386587671</v>
      </c>
      <c r="S70"/>
      <c r="U70" s="38"/>
    </row>
    <row r="71" spans="1:21" x14ac:dyDescent="0.3">
      <c r="A71" s="16">
        <v>69</v>
      </c>
      <c r="B71" s="3">
        <v>45399</v>
      </c>
      <c r="C71" s="40">
        <v>5022.21</v>
      </c>
      <c r="D71">
        <v>16251.84</v>
      </c>
      <c r="E71">
        <v>7.8301999999999996</v>
      </c>
      <c r="F71" s="14">
        <f t="shared" si="5"/>
        <v>2075.5331920002045</v>
      </c>
      <c r="G71">
        <v>10951.05</v>
      </c>
      <c r="H71">
        <v>7.8301999999999996</v>
      </c>
      <c r="I71" s="14">
        <f t="shared" si="6"/>
        <v>1398.5658093024444</v>
      </c>
      <c r="J71">
        <v>3340.22</v>
      </c>
      <c r="K71">
        <v>7.8301999999999996</v>
      </c>
      <c r="L71" s="43">
        <f t="shared" si="7"/>
        <v>426.58169650839056</v>
      </c>
      <c r="M71">
        <v>5749.69</v>
      </c>
      <c r="N71">
        <v>7.8301999999999996</v>
      </c>
      <c r="O71" s="43">
        <f t="shared" si="8"/>
        <v>734.29669740236523</v>
      </c>
      <c r="P71">
        <v>3431.77</v>
      </c>
      <c r="Q71">
        <v>7.8301999999999996</v>
      </c>
      <c r="R71" s="43">
        <f t="shared" si="9"/>
        <v>438.27360731526653</v>
      </c>
      <c r="S71"/>
      <c r="U71" s="38"/>
    </row>
    <row r="72" spans="1:21" x14ac:dyDescent="0.3">
      <c r="A72" s="16">
        <v>70</v>
      </c>
      <c r="B72" s="3">
        <v>45400</v>
      </c>
      <c r="C72" s="40">
        <v>5011.12</v>
      </c>
      <c r="D72">
        <v>16385.87</v>
      </c>
      <c r="E72">
        <v>7.8311999999999999</v>
      </c>
      <c r="F72" s="14">
        <f t="shared" si="5"/>
        <v>2092.3830319746653</v>
      </c>
      <c r="G72">
        <v>11071.92</v>
      </c>
      <c r="H72">
        <v>7.8311999999999999</v>
      </c>
      <c r="I72" s="14">
        <f t="shared" si="6"/>
        <v>1413.8216365307999</v>
      </c>
      <c r="J72">
        <v>3356.82</v>
      </c>
      <c r="K72">
        <v>7.8311999999999999</v>
      </c>
      <c r="L72" s="43">
        <f t="shared" si="7"/>
        <v>428.64695065890288</v>
      </c>
      <c r="M72">
        <v>5803.86</v>
      </c>
      <c r="N72">
        <v>7.8311999999999999</v>
      </c>
      <c r="O72" s="43">
        <f t="shared" si="8"/>
        <v>741.12013484523436</v>
      </c>
      <c r="P72">
        <v>3443.08</v>
      </c>
      <c r="Q72">
        <v>7.8311999999999999</v>
      </c>
      <c r="R72" s="43">
        <f t="shared" si="9"/>
        <v>439.6618653590765</v>
      </c>
      <c r="S72"/>
      <c r="U72" s="38"/>
    </row>
    <row r="73" spans="1:21" x14ac:dyDescent="0.3">
      <c r="A73" s="16">
        <v>71</v>
      </c>
      <c r="B73" s="3">
        <v>45401</v>
      </c>
      <c r="C73" s="40">
        <v>4967.2299999999996</v>
      </c>
      <c r="D73">
        <v>16224.14</v>
      </c>
      <c r="E73">
        <v>7.8320999999999996</v>
      </c>
      <c r="F73" s="14">
        <f t="shared" si="5"/>
        <v>2071.4929584658012</v>
      </c>
      <c r="G73">
        <v>10973.85</v>
      </c>
      <c r="H73">
        <v>7.8320999999999996</v>
      </c>
      <c r="I73" s="14">
        <f t="shared" si="6"/>
        <v>1401.1376259240817</v>
      </c>
      <c r="J73">
        <v>3278.06</v>
      </c>
      <c r="K73">
        <v>7.8320999999999996</v>
      </c>
      <c r="L73" s="43">
        <f t="shared" si="7"/>
        <v>418.54164272672722</v>
      </c>
      <c r="M73">
        <v>5746.61</v>
      </c>
      <c r="N73">
        <v>7.8320999999999996</v>
      </c>
      <c r="O73" s="43">
        <f t="shared" si="8"/>
        <v>733.72530994241652</v>
      </c>
      <c r="P73">
        <v>3445.65</v>
      </c>
      <c r="Q73">
        <v>7.8320999999999996</v>
      </c>
      <c r="R73" s="43">
        <f t="shared" si="9"/>
        <v>439.939479832995</v>
      </c>
      <c r="S73"/>
      <c r="U73" s="38"/>
    </row>
    <row r="74" spans="1:21" x14ac:dyDescent="0.3">
      <c r="A74" s="16">
        <v>72</v>
      </c>
      <c r="B74" s="3">
        <v>45404</v>
      </c>
      <c r="C74" s="40">
        <v>5010.6000000000004</v>
      </c>
      <c r="D74">
        <v>16511.689999999999</v>
      </c>
      <c r="E74">
        <v>7.8354999999999997</v>
      </c>
      <c r="F74" s="14">
        <f t="shared" si="5"/>
        <v>2107.2924510241846</v>
      </c>
      <c r="G74">
        <v>11130.87</v>
      </c>
      <c r="H74">
        <v>7.8354999999999997</v>
      </c>
      <c r="I74" s="14">
        <f t="shared" si="6"/>
        <v>1420.5692042626508</v>
      </c>
      <c r="J74">
        <v>3336.35</v>
      </c>
      <c r="K74">
        <v>7.8354999999999997</v>
      </c>
      <c r="L74" s="43">
        <f t="shared" si="7"/>
        <v>425.7992470167826</v>
      </c>
      <c r="M74">
        <v>5831.26</v>
      </c>
      <c r="N74">
        <v>7.8354999999999997</v>
      </c>
      <c r="O74" s="43">
        <f t="shared" si="8"/>
        <v>744.21032480377778</v>
      </c>
      <c r="P74">
        <v>3463.72</v>
      </c>
      <c r="Q74">
        <v>7.8354999999999997</v>
      </c>
      <c r="R74" s="43">
        <f t="shared" si="9"/>
        <v>442.05475081360476</v>
      </c>
      <c r="S74"/>
      <c r="U74" s="38"/>
    </row>
    <row r="75" spans="1:21" x14ac:dyDescent="0.3">
      <c r="A75" s="16">
        <v>73</v>
      </c>
      <c r="B75" s="3">
        <v>45405</v>
      </c>
      <c r="C75" s="40">
        <v>5070.55</v>
      </c>
      <c r="D75">
        <v>16828.93</v>
      </c>
      <c r="E75">
        <v>7.8345000000000002</v>
      </c>
      <c r="F75" s="14">
        <f t="shared" si="5"/>
        <v>2148.0541195992087</v>
      </c>
      <c r="G75">
        <v>11363.88</v>
      </c>
      <c r="H75">
        <v>7.8345000000000002</v>
      </c>
      <c r="I75" s="14">
        <f t="shared" si="6"/>
        <v>1450.4920543748801</v>
      </c>
      <c r="J75">
        <v>3449.1</v>
      </c>
      <c r="K75">
        <v>7.8345000000000002</v>
      </c>
      <c r="L75" s="43">
        <f t="shared" si="7"/>
        <v>440.24506988320888</v>
      </c>
      <c r="M75">
        <v>5954.62</v>
      </c>
      <c r="N75">
        <v>7.8345000000000002</v>
      </c>
      <c r="O75" s="43">
        <f t="shared" si="8"/>
        <v>760.0510562256685</v>
      </c>
      <c r="P75">
        <v>3491.02</v>
      </c>
      <c r="Q75">
        <v>7.8345000000000002</v>
      </c>
      <c r="R75" s="43">
        <f t="shared" si="9"/>
        <v>445.59576233326948</v>
      </c>
      <c r="S75"/>
      <c r="U75" s="38"/>
    </row>
    <row r="76" spans="1:21" x14ac:dyDescent="0.3">
      <c r="A76" s="16">
        <v>74</v>
      </c>
      <c r="B76" s="3">
        <v>45406</v>
      </c>
      <c r="C76" s="40">
        <v>5071.63</v>
      </c>
      <c r="D76">
        <v>17201.27</v>
      </c>
      <c r="E76">
        <v>7.8315999999999999</v>
      </c>
      <c r="F76" s="14">
        <f t="shared" si="5"/>
        <v>2196.3928188365085</v>
      </c>
      <c r="G76">
        <v>11646.18</v>
      </c>
      <c r="H76">
        <v>7.8315999999999999</v>
      </c>
      <c r="I76" s="14">
        <f t="shared" si="6"/>
        <v>1487.0754379692528</v>
      </c>
      <c r="J76">
        <v>3573.59</v>
      </c>
      <c r="K76">
        <v>7.8315999999999999</v>
      </c>
      <c r="L76" s="43">
        <f t="shared" si="7"/>
        <v>456.30394810766643</v>
      </c>
      <c r="M76">
        <v>6100.22</v>
      </c>
      <c r="N76">
        <v>7.8315999999999999</v>
      </c>
      <c r="O76" s="43">
        <f t="shared" si="8"/>
        <v>778.923846978906</v>
      </c>
      <c r="P76">
        <v>3552.65</v>
      </c>
      <c r="Q76">
        <v>7.8315999999999999</v>
      </c>
      <c r="R76" s="43">
        <f t="shared" si="9"/>
        <v>453.63016497267483</v>
      </c>
      <c r="S76"/>
      <c r="U76" s="38"/>
    </row>
    <row r="77" spans="1:21" x14ac:dyDescent="0.3">
      <c r="A77" s="16">
        <v>75</v>
      </c>
      <c r="B77" s="3">
        <v>45407</v>
      </c>
      <c r="C77" s="40">
        <v>5048.42</v>
      </c>
      <c r="D77">
        <v>17284.54</v>
      </c>
      <c r="E77">
        <v>7.8277000000000001</v>
      </c>
      <c r="F77" s="14">
        <f t="shared" si="5"/>
        <v>2208.1249920155346</v>
      </c>
      <c r="G77">
        <v>11672.86</v>
      </c>
      <c r="H77">
        <v>7.8277000000000001</v>
      </c>
      <c r="I77" s="14">
        <f t="shared" si="6"/>
        <v>1491.2247531203291</v>
      </c>
      <c r="J77">
        <v>3554.3</v>
      </c>
      <c r="K77">
        <v>7.8277000000000001</v>
      </c>
      <c r="L77" s="43">
        <f t="shared" si="7"/>
        <v>454.0669673084048</v>
      </c>
      <c r="M77">
        <v>6120.37</v>
      </c>
      <c r="N77">
        <v>7.8277000000000001</v>
      </c>
      <c r="O77" s="43">
        <f t="shared" si="8"/>
        <v>781.88612236033566</v>
      </c>
      <c r="P77">
        <v>3605.28</v>
      </c>
      <c r="Q77">
        <v>7.8277000000000001</v>
      </c>
      <c r="R77" s="43">
        <f t="shared" si="9"/>
        <v>460.57973606551099</v>
      </c>
      <c r="S77"/>
      <c r="U77" s="38"/>
    </row>
    <row r="78" spans="1:21" x14ac:dyDescent="0.3">
      <c r="A78" s="16">
        <v>76</v>
      </c>
      <c r="B78" s="3">
        <v>45408</v>
      </c>
      <c r="C78" s="40">
        <v>5099.96</v>
      </c>
      <c r="D78">
        <v>17651.150000000001</v>
      </c>
      <c r="E78">
        <v>7.8282999999999996</v>
      </c>
      <c r="F78" s="14">
        <f t="shared" si="5"/>
        <v>2254.7871185314821</v>
      </c>
      <c r="G78">
        <v>11932.83</v>
      </c>
      <c r="H78">
        <v>7.8282999999999996</v>
      </c>
      <c r="I78" s="14">
        <f t="shared" si="6"/>
        <v>1524.3194563315153</v>
      </c>
      <c r="J78">
        <v>3718.27</v>
      </c>
      <c r="K78">
        <v>7.8282999999999996</v>
      </c>
      <c r="L78" s="43">
        <f t="shared" si="7"/>
        <v>474.97796456446486</v>
      </c>
      <c r="M78">
        <v>6269.76</v>
      </c>
      <c r="N78">
        <v>7.8282999999999996</v>
      </c>
      <c r="O78" s="43">
        <f t="shared" si="8"/>
        <v>800.90952058556786</v>
      </c>
      <c r="P78">
        <v>3672.68</v>
      </c>
      <c r="Q78">
        <v>7.8282999999999996</v>
      </c>
      <c r="R78" s="43">
        <f t="shared" si="9"/>
        <v>469.15422250041519</v>
      </c>
      <c r="S78"/>
      <c r="U78" s="38"/>
    </row>
    <row r="79" spans="1:21" x14ac:dyDescent="0.3">
      <c r="A79" s="16">
        <v>77</v>
      </c>
      <c r="B79" s="3">
        <v>45411</v>
      </c>
      <c r="C79" s="40">
        <v>5116.17</v>
      </c>
      <c r="D79">
        <v>17746.91</v>
      </c>
      <c r="E79">
        <v>7.8246000000000002</v>
      </c>
      <c r="F79" s="14">
        <f t="shared" si="5"/>
        <v>2268.0916596375532</v>
      </c>
      <c r="G79">
        <v>11965.36</v>
      </c>
      <c r="H79">
        <v>7.8246000000000002</v>
      </c>
      <c r="I79" s="14">
        <f t="shared" si="6"/>
        <v>1529.1976586662577</v>
      </c>
      <c r="J79">
        <v>3713.32</v>
      </c>
      <c r="K79">
        <v>7.8246000000000002</v>
      </c>
      <c r="L79" s="43">
        <f t="shared" si="7"/>
        <v>474.56994606753062</v>
      </c>
      <c r="M79">
        <v>6282.86</v>
      </c>
      <c r="N79">
        <v>7.8246000000000002</v>
      </c>
      <c r="O79" s="43">
        <f t="shared" si="8"/>
        <v>802.96245175472222</v>
      </c>
      <c r="P79">
        <v>3689.94</v>
      </c>
      <c r="Q79">
        <v>7.8246000000000002</v>
      </c>
      <c r="R79" s="43">
        <f t="shared" si="9"/>
        <v>471.58193390077446</v>
      </c>
      <c r="S79"/>
      <c r="U79" s="38"/>
    </row>
    <row r="80" spans="1:21" x14ac:dyDescent="0.3">
      <c r="A80" s="16">
        <v>78</v>
      </c>
      <c r="B80" s="3">
        <v>45412</v>
      </c>
      <c r="C80" s="40">
        <v>5035.6899999999996</v>
      </c>
      <c r="D80">
        <v>17763.03</v>
      </c>
      <c r="E80">
        <v>7.8235000000000001</v>
      </c>
      <c r="F80" s="14">
        <f t="shared" si="5"/>
        <v>2270.4710168083338</v>
      </c>
      <c r="G80">
        <v>11914.96</v>
      </c>
      <c r="H80">
        <v>7.8235000000000001</v>
      </c>
      <c r="I80" s="14">
        <f t="shared" si="6"/>
        <v>1522.9705374832236</v>
      </c>
      <c r="J80">
        <v>3700.67</v>
      </c>
      <c r="K80">
        <v>7.8235000000000001</v>
      </c>
      <c r="L80" s="43">
        <f t="shared" si="7"/>
        <v>473.0197481945421</v>
      </c>
      <c r="M80">
        <v>6273.75</v>
      </c>
      <c r="N80">
        <v>7.8235000000000001</v>
      </c>
      <c r="O80" s="43">
        <f t="shared" si="8"/>
        <v>801.91090943950917</v>
      </c>
      <c r="P80">
        <v>3697.42</v>
      </c>
      <c r="Q80">
        <v>7.8235000000000001</v>
      </c>
      <c r="R80" s="43">
        <f t="shared" si="9"/>
        <v>472.60433309899662</v>
      </c>
      <c r="S80"/>
      <c r="U80" s="38"/>
    </row>
    <row r="81" spans="1:21" x14ac:dyDescent="0.3">
      <c r="A81" s="16">
        <v>79</v>
      </c>
      <c r="B81" s="3">
        <v>45414</v>
      </c>
      <c r="C81" s="40">
        <v>5064.2</v>
      </c>
      <c r="D81">
        <v>18207.13</v>
      </c>
      <c r="E81">
        <v>7.8127000000000004</v>
      </c>
      <c r="F81" s="14">
        <f t="shared" si="5"/>
        <v>2330.4529804037015</v>
      </c>
      <c r="G81">
        <v>12174.96</v>
      </c>
      <c r="H81">
        <v>7.8127000000000004</v>
      </c>
      <c r="I81" s="14">
        <f t="shared" si="6"/>
        <v>1558.3549861123554</v>
      </c>
      <c r="J81">
        <v>3865.48</v>
      </c>
      <c r="K81">
        <v>7.8127000000000004</v>
      </c>
      <c r="L81" s="43">
        <f t="shared" si="7"/>
        <v>494.76877391938763</v>
      </c>
      <c r="M81">
        <v>6437.09</v>
      </c>
      <c r="N81">
        <v>7.8127000000000004</v>
      </c>
      <c r="O81" s="43">
        <f t="shared" si="8"/>
        <v>823.92642748345645</v>
      </c>
      <c r="P81">
        <v>3727.94</v>
      </c>
      <c r="Q81">
        <v>7.8127000000000004</v>
      </c>
      <c r="R81" s="43">
        <f t="shared" si="9"/>
        <v>477.16410459892222</v>
      </c>
      <c r="S81"/>
      <c r="U81" s="38"/>
    </row>
    <row r="82" spans="1:21" x14ac:dyDescent="0.3">
      <c r="A82" s="16">
        <v>80</v>
      </c>
      <c r="B82" s="3">
        <v>45415</v>
      </c>
      <c r="C82" s="40">
        <v>5127.79</v>
      </c>
      <c r="D82">
        <v>18475.919999999998</v>
      </c>
      <c r="E82">
        <v>7.8105000000000002</v>
      </c>
      <c r="F82" s="14">
        <f t="shared" si="5"/>
        <v>2365.5233339734968</v>
      </c>
      <c r="G82">
        <v>12431.17</v>
      </c>
      <c r="H82">
        <v>7.8105000000000002</v>
      </c>
      <c r="I82" s="14">
        <f t="shared" si="6"/>
        <v>1591.5972088854746</v>
      </c>
      <c r="J82">
        <v>3971.29</v>
      </c>
      <c r="K82">
        <v>7.8105000000000002</v>
      </c>
      <c r="L82" s="43">
        <f t="shared" si="7"/>
        <v>508.45528455284551</v>
      </c>
      <c r="M82">
        <v>6547.29</v>
      </c>
      <c r="N82">
        <v>7.8105000000000002</v>
      </c>
      <c r="O82" s="43">
        <f t="shared" si="8"/>
        <v>838.26771653543301</v>
      </c>
      <c r="P82">
        <v>3764.69</v>
      </c>
      <c r="Q82">
        <v>7.8105000000000002</v>
      </c>
      <c r="R82" s="43">
        <f t="shared" si="9"/>
        <v>482.00371295051531</v>
      </c>
      <c r="S82"/>
      <c r="U82" s="38"/>
    </row>
    <row r="83" spans="1:21" x14ac:dyDescent="0.3">
      <c r="A83" s="16">
        <v>81</v>
      </c>
      <c r="B83" s="3">
        <v>45418</v>
      </c>
      <c r="C83" s="40">
        <v>5180.74</v>
      </c>
      <c r="D83">
        <v>18578.3</v>
      </c>
      <c r="E83">
        <v>7.8182</v>
      </c>
      <c r="F83" s="14">
        <f t="shared" si="5"/>
        <v>2376.2886597938145</v>
      </c>
      <c r="G83">
        <v>12524.51</v>
      </c>
      <c r="H83">
        <v>7.8182</v>
      </c>
      <c r="I83" s="14">
        <f t="shared" si="6"/>
        <v>1601.9684837942239</v>
      </c>
      <c r="J83">
        <v>4007.78</v>
      </c>
      <c r="K83">
        <v>7.8182</v>
      </c>
      <c r="L83" s="43">
        <f t="shared" si="7"/>
        <v>512.62183111202069</v>
      </c>
      <c r="M83">
        <v>6572.45</v>
      </c>
      <c r="N83">
        <v>7.8182</v>
      </c>
      <c r="O83" s="43">
        <f t="shared" si="8"/>
        <v>840.66025427847842</v>
      </c>
      <c r="P83">
        <v>3767.98</v>
      </c>
      <c r="Q83">
        <v>7.8182</v>
      </c>
      <c r="R83" s="43">
        <f t="shared" si="9"/>
        <v>481.94980941904788</v>
      </c>
      <c r="S83"/>
      <c r="U83" s="38"/>
    </row>
    <row r="84" spans="1:21" x14ac:dyDescent="0.3">
      <c r="A84" s="16">
        <v>82</v>
      </c>
      <c r="B84" s="3">
        <v>45419</v>
      </c>
      <c r="C84" s="40">
        <v>5187.7</v>
      </c>
      <c r="D84">
        <v>18479.37</v>
      </c>
      <c r="E84">
        <v>7.8212999999999999</v>
      </c>
      <c r="F84" s="14">
        <f t="shared" si="5"/>
        <v>2362.6980169537032</v>
      </c>
      <c r="G84">
        <v>12407.6</v>
      </c>
      <c r="H84">
        <v>7.8212999999999999</v>
      </c>
      <c r="I84" s="14">
        <f t="shared" si="6"/>
        <v>1586.3858949279531</v>
      </c>
      <c r="J84">
        <v>3922.54</v>
      </c>
      <c r="K84">
        <v>7.8212999999999999</v>
      </c>
      <c r="L84" s="43">
        <f t="shared" si="7"/>
        <v>501.5202076381164</v>
      </c>
      <c r="M84">
        <v>6526.67</v>
      </c>
      <c r="N84">
        <v>7.8212999999999999</v>
      </c>
      <c r="O84" s="43">
        <f t="shared" si="8"/>
        <v>834.47380870187817</v>
      </c>
      <c r="P84">
        <v>3803.85</v>
      </c>
      <c r="Q84">
        <v>7.8212999999999999</v>
      </c>
      <c r="R84" s="43">
        <f t="shared" si="9"/>
        <v>486.34498101338653</v>
      </c>
      <c r="S84"/>
      <c r="U84" s="38"/>
    </row>
    <row r="85" spans="1:21" x14ac:dyDescent="0.3">
      <c r="A85" s="16">
        <v>83</v>
      </c>
      <c r="B85" s="3">
        <v>45420</v>
      </c>
      <c r="C85" s="40">
        <v>5187.67</v>
      </c>
      <c r="D85">
        <v>18313.86</v>
      </c>
      <c r="E85">
        <v>7.8170000000000002</v>
      </c>
      <c r="F85" s="14">
        <f t="shared" si="5"/>
        <v>2342.824613022899</v>
      </c>
      <c r="G85">
        <v>12281.28</v>
      </c>
      <c r="H85">
        <v>7.8170000000000002</v>
      </c>
      <c r="I85" s="14">
        <f t="shared" si="6"/>
        <v>1571.0988870410645</v>
      </c>
      <c r="J85">
        <v>3872.01</v>
      </c>
      <c r="K85">
        <v>7.8170000000000002</v>
      </c>
      <c r="L85" s="43">
        <f t="shared" si="7"/>
        <v>495.33196878597931</v>
      </c>
      <c r="M85">
        <v>6456.72</v>
      </c>
      <c r="N85">
        <v>7.8170000000000002</v>
      </c>
      <c r="O85" s="43">
        <f t="shared" si="8"/>
        <v>825.98439298963797</v>
      </c>
      <c r="P85">
        <v>3744.5</v>
      </c>
      <c r="Q85">
        <v>7.8170000000000002</v>
      </c>
      <c r="R85" s="43">
        <f t="shared" si="9"/>
        <v>479.02008443136754</v>
      </c>
      <c r="S85"/>
      <c r="U85" s="38"/>
    </row>
    <row r="86" spans="1:21" x14ac:dyDescent="0.3">
      <c r="A86" s="16">
        <v>84</v>
      </c>
      <c r="B86" s="3">
        <v>45421</v>
      </c>
      <c r="C86" s="40">
        <v>5214.08</v>
      </c>
      <c r="D86">
        <v>18537.810000000001</v>
      </c>
      <c r="E86">
        <v>7.8136000000000001</v>
      </c>
      <c r="F86" s="14">
        <f t="shared" si="5"/>
        <v>2372.505631207126</v>
      </c>
      <c r="G86">
        <v>12466.9</v>
      </c>
      <c r="H86">
        <v>7.8136000000000001</v>
      </c>
      <c r="I86" s="14">
        <f t="shared" si="6"/>
        <v>1595.5385481724172</v>
      </c>
      <c r="J86">
        <v>3947.41</v>
      </c>
      <c r="K86">
        <v>7.8136000000000001</v>
      </c>
      <c r="L86" s="43">
        <f t="shared" si="7"/>
        <v>505.19734821337153</v>
      </c>
      <c r="M86">
        <v>6560.67</v>
      </c>
      <c r="N86">
        <v>7.8136000000000001</v>
      </c>
      <c r="O86" s="43">
        <f t="shared" si="8"/>
        <v>839.64753762670216</v>
      </c>
      <c r="P86">
        <v>3816.33</v>
      </c>
      <c r="Q86">
        <v>7.8136000000000001</v>
      </c>
      <c r="R86" s="43">
        <f t="shared" si="9"/>
        <v>488.42147025698779</v>
      </c>
      <c r="S86"/>
      <c r="U86" s="38"/>
    </row>
    <row r="87" spans="1:21" x14ac:dyDescent="0.3">
      <c r="A87" s="16">
        <v>85</v>
      </c>
      <c r="B87" s="3">
        <v>45422</v>
      </c>
      <c r="C87" s="40">
        <v>5222.68</v>
      </c>
      <c r="D87">
        <v>18963.68</v>
      </c>
      <c r="E87">
        <v>7.8132000000000001</v>
      </c>
      <c r="F87" s="14">
        <f t="shared" si="5"/>
        <v>2427.1335688322324</v>
      </c>
      <c r="G87">
        <v>12761.81</v>
      </c>
      <c r="H87">
        <v>7.8132000000000001</v>
      </c>
      <c r="I87" s="14">
        <f t="shared" si="6"/>
        <v>1633.3653304663901</v>
      </c>
      <c r="J87">
        <v>3962.32</v>
      </c>
      <c r="K87">
        <v>7.8132000000000001</v>
      </c>
      <c r="L87" s="43">
        <f t="shared" si="7"/>
        <v>507.131521015717</v>
      </c>
      <c r="M87">
        <v>6718.86</v>
      </c>
      <c r="N87">
        <v>7.8132000000000001</v>
      </c>
      <c r="O87" s="43">
        <f t="shared" si="8"/>
        <v>859.93702964214401</v>
      </c>
      <c r="P87">
        <v>3966.09</v>
      </c>
      <c r="Q87">
        <v>7.8132000000000001</v>
      </c>
      <c r="R87" s="43">
        <f t="shared" si="9"/>
        <v>507.61403778221472</v>
      </c>
      <c r="S87"/>
      <c r="U87" s="38"/>
    </row>
    <row r="88" spans="1:21" x14ac:dyDescent="0.3">
      <c r="A88" s="16">
        <v>86</v>
      </c>
      <c r="B88" s="3">
        <v>45425</v>
      </c>
      <c r="C88" s="40">
        <v>5221.42</v>
      </c>
      <c r="D88">
        <v>19115.060000000001</v>
      </c>
      <c r="E88">
        <v>7.8117000000000001</v>
      </c>
      <c r="F88" s="14">
        <f t="shared" si="5"/>
        <v>2446.978250572859</v>
      </c>
      <c r="G88">
        <v>12892.88</v>
      </c>
      <c r="H88">
        <v>7.8117000000000001</v>
      </c>
      <c r="I88" s="14">
        <f t="shared" si="6"/>
        <v>1650.4576468630387</v>
      </c>
      <c r="J88">
        <v>4018.69</v>
      </c>
      <c r="K88">
        <v>7.8117000000000001</v>
      </c>
      <c r="L88" s="43">
        <f t="shared" si="7"/>
        <v>514.44499916791483</v>
      </c>
      <c r="M88">
        <v>6761.64</v>
      </c>
      <c r="N88">
        <v>7.8117000000000001</v>
      </c>
      <c r="O88" s="43">
        <f t="shared" si="8"/>
        <v>865.57855524405704</v>
      </c>
      <c r="P88">
        <v>3981.52</v>
      </c>
      <c r="Q88">
        <v>7.8117000000000001</v>
      </c>
      <c r="R88" s="43">
        <f t="shared" si="9"/>
        <v>509.68675192339697</v>
      </c>
      <c r="S88"/>
      <c r="U88" s="38"/>
    </row>
    <row r="89" spans="1:21" x14ac:dyDescent="0.3">
      <c r="A89" s="16">
        <v>87</v>
      </c>
      <c r="B89" s="3">
        <v>45426</v>
      </c>
      <c r="C89" s="40">
        <v>5246.68</v>
      </c>
      <c r="D89">
        <v>19073.71</v>
      </c>
      <c r="E89">
        <v>7.8112000000000004</v>
      </c>
      <c r="F89" s="14">
        <f t="shared" si="5"/>
        <v>2441.8412023760752</v>
      </c>
      <c r="G89">
        <v>12878.06</v>
      </c>
      <c r="H89">
        <v>7.8112000000000004</v>
      </c>
      <c r="I89" s="14">
        <f t="shared" si="6"/>
        <v>1648.6660180253994</v>
      </c>
      <c r="J89">
        <v>4041.45</v>
      </c>
      <c r="K89">
        <v>7.8112000000000004</v>
      </c>
      <c r="L89" s="43">
        <f t="shared" si="7"/>
        <v>517.39169397787782</v>
      </c>
      <c r="M89">
        <v>6741.41</v>
      </c>
      <c r="N89">
        <v>7.8112000000000004</v>
      </c>
      <c r="O89" s="43">
        <f t="shared" si="8"/>
        <v>863.04409053666529</v>
      </c>
      <c r="P89">
        <v>3955.67</v>
      </c>
      <c r="Q89">
        <v>7.8112000000000004</v>
      </c>
      <c r="R89" s="43">
        <f t="shared" si="9"/>
        <v>506.41002662843096</v>
      </c>
      <c r="S89"/>
      <c r="U89" s="38"/>
    </row>
    <row r="90" spans="1:21" x14ac:dyDescent="0.3">
      <c r="A90" s="16">
        <v>88</v>
      </c>
      <c r="B90" s="3">
        <v>45428</v>
      </c>
      <c r="C90" s="40">
        <v>5297.1</v>
      </c>
      <c r="D90">
        <v>19376.53</v>
      </c>
      <c r="E90">
        <v>7.8011999999999997</v>
      </c>
      <c r="F90" s="14">
        <f t="shared" si="5"/>
        <v>2483.7883915295083</v>
      </c>
      <c r="G90">
        <v>13158.43</v>
      </c>
      <c r="H90">
        <v>7.8011999999999997</v>
      </c>
      <c r="I90" s="14">
        <f t="shared" si="6"/>
        <v>1686.7187099420603</v>
      </c>
      <c r="J90">
        <v>4072.15</v>
      </c>
      <c r="K90">
        <v>7.8011999999999997</v>
      </c>
      <c r="L90" s="43">
        <f t="shared" si="7"/>
        <v>521.9902066348767</v>
      </c>
      <c r="M90">
        <v>6871.38</v>
      </c>
      <c r="N90">
        <v>7.8011999999999997</v>
      </c>
      <c r="O90" s="43">
        <f t="shared" si="8"/>
        <v>880.81064451622831</v>
      </c>
      <c r="P90">
        <v>3997.28</v>
      </c>
      <c r="Q90">
        <v>7.8011999999999997</v>
      </c>
      <c r="R90" s="43">
        <f t="shared" si="9"/>
        <v>512.39296518484343</v>
      </c>
      <c r="S90"/>
      <c r="U90" s="38"/>
    </row>
    <row r="91" spans="1:21" x14ac:dyDescent="0.3">
      <c r="A91" s="16">
        <v>89</v>
      </c>
      <c r="B91" s="3">
        <v>45429</v>
      </c>
      <c r="C91" s="40">
        <v>5303.27</v>
      </c>
      <c r="D91">
        <v>19553.61</v>
      </c>
      <c r="E91">
        <v>7.8021000000000003</v>
      </c>
      <c r="F91" s="14">
        <f t="shared" si="5"/>
        <v>2506.198331218518</v>
      </c>
      <c r="G91">
        <v>13329.46</v>
      </c>
      <c r="H91">
        <v>7.8021000000000003</v>
      </c>
      <c r="I91" s="14">
        <f t="shared" si="6"/>
        <v>1708.4451621999203</v>
      </c>
      <c r="J91">
        <v>4112.59</v>
      </c>
      <c r="K91">
        <v>7.8021000000000003</v>
      </c>
      <c r="L91" s="43">
        <f t="shared" si="7"/>
        <v>527.11321310929111</v>
      </c>
      <c r="M91">
        <v>6934.7</v>
      </c>
      <c r="N91">
        <v>7.8021000000000003</v>
      </c>
      <c r="O91" s="43">
        <f t="shared" si="8"/>
        <v>888.82480357852364</v>
      </c>
      <c r="P91">
        <v>4046</v>
      </c>
      <c r="Q91">
        <v>7.8021000000000003</v>
      </c>
      <c r="R91" s="43">
        <f t="shared" si="9"/>
        <v>518.57833147485928</v>
      </c>
      <c r="S91"/>
      <c r="U91" s="38"/>
    </row>
    <row r="92" spans="1:21" x14ac:dyDescent="0.3">
      <c r="A92" s="16">
        <v>90</v>
      </c>
      <c r="B92" s="3">
        <v>45432</v>
      </c>
      <c r="C92" s="40">
        <v>5308.13</v>
      </c>
      <c r="D92">
        <v>19636.22</v>
      </c>
      <c r="E92">
        <v>7.7983000000000002</v>
      </c>
      <c r="F92" s="14">
        <f t="shared" si="5"/>
        <v>2518.0129002474901</v>
      </c>
      <c r="G92">
        <v>13363.95</v>
      </c>
      <c r="H92">
        <v>7.7983000000000002</v>
      </c>
      <c r="I92" s="14">
        <f t="shared" si="6"/>
        <v>1713.7004218868215</v>
      </c>
      <c r="J92">
        <v>4135.38</v>
      </c>
      <c r="K92">
        <v>7.7983000000000002</v>
      </c>
      <c r="L92" s="43">
        <f t="shared" si="7"/>
        <v>530.29249964735902</v>
      </c>
      <c r="M92">
        <v>6964.99</v>
      </c>
      <c r="N92">
        <v>7.7983000000000002</v>
      </c>
      <c r="O92" s="43">
        <f t="shared" si="8"/>
        <v>893.1420950720028</v>
      </c>
      <c r="P92">
        <v>4067.24</v>
      </c>
      <c r="Q92">
        <v>7.7983000000000002</v>
      </c>
      <c r="R92" s="43">
        <f t="shared" si="9"/>
        <v>521.55469781875536</v>
      </c>
      <c r="S92"/>
      <c r="U92" s="38"/>
    </row>
    <row r="93" spans="1:21" x14ac:dyDescent="0.3">
      <c r="A93" s="16">
        <v>91</v>
      </c>
      <c r="B93" s="3">
        <v>45433</v>
      </c>
      <c r="C93" s="40">
        <v>5321.41</v>
      </c>
      <c r="D93">
        <v>19220.62</v>
      </c>
      <c r="E93">
        <v>7.8044000000000002</v>
      </c>
      <c r="F93" s="14">
        <f t="shared" si="5"/>
        <v>2462.7927835579926</v>
      </c>
      <c r="G93">
        <v>13082.77</v>
      </c>
      <c r="H93">
        <v>7.8044000000000002</v>
      </c>
      <c r="I93" s="14">
        <f t="shared" si="6"/>
        <v>1676.3325816206243</v>
      </c>
      <c r="J93">
        <v>3980.63</v>
      </c>
      <c r="K93">
        <v>7.8044000000000002</v>
      </c>
      <c r="L93" s="43">
        <f t="shared" si="7"/>
        <v>510.04945927938087</v>
      </c>
      <c r="M93">
        <v>6820.97</v>
      </c>
      <c r="N93">
        <v>7.8044000000000002</v>
      </c>
      <c r="O93" s="43">
        <f t="shared" si="8"/>
        <v>873.99031315668083</v>
      </c>
      <c r="P93">
        <v>4008.68</v>
      </c>
      <c r="Q93">
        <v>7.8044000000000002</v>
      </c>
      <c r="R93" s="43">
        <f t="shared" si="9"/>
        <v>513.64358566962221</v>
      </c>
      <c r="S93"/>
      <c r="U93" s="38"/>
    </row>
    <row r="94" spans="1:21" x14ac:dyDescent="0.3">
      <c r="A94" s="16">
        <v>92</v>
      </c>
      <c r="B94" s="3">
        <v>45434</v>
      </c>
      <c r="C94" s="40">
        <v>5307.01</v>
      </c>
      <c r="D94">
        <v>19195.599999999999</v>
      </c>
      <c r="E94">
        <v>7.8078000000000003</v>
      </c>
      <c r="F94" s="14">
        <f t="shared" si="5"/>
        <v>2458.5158431312275</v>
      </c>
      <c r="G94">
        <v>13025.89</v>
      </c>
      <c r="H94">
        <v>7.8078000000000003</v>
      </c>
      <c r="I94" s="14">
        <f t="shared" si="6"/>
        <v>1668.3175798560412</v>
      </c>
      <c r="J94">
        <v>3992.59</v>
      </c>
      <c r="K94">
        <v>7.8078000000000003</v>
      </c>
      <c r="L94" s="43">
        <f t="shared" si="7"/>
        <v>511.359153666846</v>
      </c>
      <c r="M94">
        <v>6817.68</v>
      </c>
      <c r="N94">
        <v>7.8078000000000003</v>
      </c>
      <c r="O94" s="43">
        <f t="shared" si="8"/>
        <v>873.18835011142698</v>
      </c>
      <c r="P94">
        <v>3997.43</v>
      </c>
      <c r="Q94">
        <v>7.8078000000000003</v>
      </c>
      <c r="R94" s="43">
        <f t="shared" si="9"/>
        <v>511.97904659443117</v>
      </c>
      <c r="S94"/>
      <c r="U94" s="38"/>
    </row>
    <row r="95" spans="1:21" x14ac:dyDescent="0.3">
      <c r="A95" s="16">
        <v>93</v>
      </c>
      <c r="B95" s="3">
        <v>45435</v>
      </c>
      <c r="C95" s="40">
        <v>5267.84</v>
      </c>
      <c r="D95">
        <v>18868.71</v>
      </c>
      <c r="E95">
        <v>7.8091999999999997</v>
      </c>
      <c r="F95" s="14">
        <f t="shared" si="5"/>
        <v>2416.2154894227319</v>
      </c>
      <c r="G95">
        <v>12756.95</v>
      </c>
      <c r="H95">
        <v>7.8091999999999997</v>
      </c>
      <c r="I95" s="14">
        <f t="shared" si="6"/>
        <v>1633.5796240331917</v>
      </c>
      <c r="J95">
        <v>3896.19</v>
      </c>
      <c r="K95">
        <v>7.8091999999999997</v>
      </c>
      <c r="L95" s="43">
        <f t="shared" si="7"/>
        <v>498.92306510269941</v>
      </c>
      <c r="M95">
        <v>6701.78</v>
      </c>
      <c r="N95">
        <v>7.8091999999999997</v>
      </c>
      <c r="O95" s="43">
        <f t="shared" si="8"/>
        <v>858.19033959944682</v>
      </c>
      <c r="P95">
        <v>3955.43</v>
      </c>
      <c r="Q95">
        <v>7.8091999999999997</v>
      </c>
      <c r="R95" s="43">
        <f t="shared" si="9"/>
        <v>506.50898939712135</v>
      </c>
      <c r="S95"/>
      <c r="U95" s="38"/>
    </row>
    <row r="96" spans="1:21" x14ac:dyDescent="0.3">
      <c r="A96" s="16">
        <v>94</v>
      </c>
      <c r="B96" s="3">
        <v>45436</v>
      </c>
      <c r="C96" s="40">
        <v>5304.72</v>
      </c>
      <c r="D96">
        <v>18608.939999999999</v>
      </c>
      <c r="E96">
        <v>7.8122999999999996</v>
      </c>
      <c r="F96" s="14">
        <f t="shared" si="5"/>
        <v>2382.005299335663</v>
      </c>
      <c r="G96">
        <v>12568.52</v>
      </c>
      <c r="H96">
        <v>7.8122999999999996</v>
      </c>
      <c r="I96" s="14">
        <f t="shared" si="6"/>
        <v>1608.8117455806871</v>
      </c>
      <c r="J96">
        <v>3799.47</v>
      </c>
      <c r="K96">
        <v>7.8122999999999996</v>
      </c>
      <c r="L96" s="43">
        <f t="shared" si="7"/>
        <v>486.34461042202679</v>
      </c>
      <c r="M96">
        <v>6605.24</v>
      </c>
      <c r="N96">
        <v>7.8122999999999996</v>
      </c>
      <c r="O96" s="43">
        <f t="shared" si="8"/>
        <v>845.49236460453392</v>
      </c>
      <c r="P96">
        <v>3928.89</v>
      </c>
      <c r="Q96">
        <v>7.8122999999999996</v>
      </c>
      <c r="R96" s="43">
        <f t="shared" si="9"/>
        <v>502.91079451633965</v>
      </c>
      <c r="S96"/>
      <c r="U96" s="38"/>
    </row>
    <row r="97" spans="1:21" x14ac:dyDescent="0.3">
      <c r="A97" s="16">
        <v>95</v>
      </c>
      <c r="B97" s="3">
        <v>45440</v>
      </c>
      <c r="C97" s="40">
        <v>5306.04</v>
      </c>
      <c r="D97">
        <v>18821.16</v>
      </c>
      <c r="E97">
        <v>7.8113999999999999</v>
      </c>
      <c r="F97" s="14">
        <f t="shared" si="5"/>
        <v>2409.447730240418</v>
      </c>
      <c r="G97">
        <v>12677.14</v>
      </c>
      <c r="H97">
        <v>7.8113999999999999</v>
      </c>
      <c r="I97" s="14">
        <f t="shared" si="6"/>
        <v>1622.9024246613922</v>
      </c>
      <c r="J97">
        <v>3854.57</v>
      </c>
      <c r="K97">
        <v>7.8113999999999999</v>
      </c>
      <c r="L97" s="43">
        <f t="shared" si="7"/>
        <v>493.45443838492463</v>
      </c>
      <c r="M97">
        <v>6686.13</v>
      </c>
      <c r="N97">
        <v>7.8113999999999999</v>
      </c>
      <c r="O97" s="43">
        <f t="shared" si="8"/>
        <v>855.94515707811661</v>
      </c>
      <c r="P97">
        <v>3999.44</v>
      </c>
      <c r="Q97">
        <v>7.8113999999999999</v>
      </c>
      <c r="R97" s="43">
        <f t="shared" si="9"/>
        <v>512.00040965767982</v>
      </c>
      <c r="S97"/>
      <c r="U97" s="38"/>
    </row>
    <row r="98" spans="1:21" x14ac:dyDescent="0.3">
      <c r="A98" s="16">
        <v>96</v>
      </c>
      <c r="B98" s="3">
        <v>45441</v>
      </c>
      <c r="C98" s="40">
        <v>5266.95</v>
      </c>
      <c r="D98">
        <v>18477.009999999998</v>
      </c>
      <c r="E98">
        <v>7.8135000000000003</v>
      </c>
      <c r="F98" s="14">
        <f t="shared" si="5"/>
        <v>2364.7545914122989</v>
      </c>
      <c r="G98">
        <v>12407.53</v>
      </c>
      <c r="H98">
        <v>7.8135000000000003</v>
      </c>
      <c r="I98" s="14">
        <f t="shared" si="6"/>
        <v>1587.9605810456262</v>
      </c>
      <c r="J98">
        <v>3765.24</v>
      </c>
      <c r="K98">
        <v>7.8135000000000003</v>
      </c>
      <c r="L98" s="43">
        <f t="shared" si="7"/>
        <v>481.88903820310998</v>
      </c>
      <c r="M98">
        <v>6557.48</v>
      </c>
      <c r="N98">
        <v>7.8135000000000003</v>
      </c>
      <c r="O98" s="43">
        <f t="shared" si="8"/>
        <v>839.25001599795212</v>
      </c>
      <c r="P98">
        <v>3959.43</v>
      </c>
      <c r="Q98">
        <v>7.8135000000000003</v>
      </c>
      <c r="R98" s="43">
        <f t="shared" si="9"/>
        <v>506.7421770013438</v>
      </c>
      <c r="S98"/>
      <c r="U98" s="38"/>
    </row>
    <row r="99" spans="1:21" x14ac:dyDescent="0.3">
      <c r="A99" s="16">
        <v>97</v>
      </c>
      <c r="B99" s="3">
        <v>45442</v>
      </c>
      <c r="C99" s="40">
        <v>5235.4799999999996</v>
      </c>
      <c r="D99">
        <v>18230.189999999999</v>
      </c>
      <c r="E99">
        <v>7.8173000000000004</v>
      </c>
      <c r="F99" s="14">
        <f t="shared" si="5"/>
        <v>2332.0315198342137</v>
      </c>
      <c r="G99">
        <v>12216.86</v>
      </c>
      <c r="H99">
        <v>7.8173000000000004</v>
      </c>
      <c r="I99" s="14">
        <f t="shared" si="6"/>
        <v>1562.7978969721003</v>
      </c>
      <c r="J99">
        <v>3752.76</v>
      </c>
      <c r="K99">
        <v>7.8173000000000004</v>
      </c>
      <c r="L99" s="43">
        <f t="shared" si="7"/>
        <v>480.05833216072045</v>
      </c>
      <c r="M99">
        <v>6462.95</v>
      </c>
      <c r="N99">
        <v>7.8173000000000004</v>
      </c>
      <c r="O99" s="43">
        <f t="shared" si="8"/>
        <v>826.74964501810086</v>
      </c>
      <c r="P99">
        <v>3898.44</v>
      </c>
      <c r="Q99">
        <v>7.8173000000000004</v>
      </c>
      <c r="R99" s="43">
        <f t="shared" si="9"/>
        <v>498.69392245404424</v>
      </c>
      <c r="S99"/>
      <c r="U99" s="38"/>
    </row>
    <row r="100" spans="1:21" x14ac:dyDescent="0.3">
      <c r="A100" s="16">
        <v>98</v>
      </c>
      <c r="B100" s="3">
        <v>45443</v>
      </c>
      <c r="C100" s="40">
        <v>5277.51</v>
      </c>
      <c r="D100">
        <v>18079.61</v>
      </c>
      <c r="E100">
        <v>7.8186999999999998</v>
      </c>
      <c r="F100" s="14">
        <f t="shared" si="5"/>
        <v>2312.3549950759079</v>
      </c>
      <c r="G100">
        <v>12053.73</v>
      </c>
      <c r="H100">
        <v>7.8186999999999998</v>
      </c>
      <c r="I100" s="14">
        <f t="shared" si="6"/>
        <v>1541.6539833987747</v>
      </c>
      <c r="J100">
        <v>3690.76</v>
      </c>
      <c r="K100">
        <v>7.8186999999999998</v>
      </c>
      <c r="L100" s="43">
        <f t="shared" si="7"/>
        <v>472.04266693951683</v>
      </c>
      <c r="M100">
        <v>6392.58</v>
      </c>
      <c r="N100">
        <v>7.8186999999999998</v>
      </c>
      <c r="O100" s="43">
        <f t="shared" si="8"/>
        <v>817.60139153567729</v>
      </c>
      <c r="P100">
        <v>3868.63</v>
      </c>
      <c r="Q100">
        <v>7.8186999999999998</v>
      </c>
      <c r="R100" s="43">
        <f t="shared" si="9"/>
        <v>494.79197309015569</v>
      </c>
      <c r="S100"/>
      <c r="U100" s="38"/>
    </row>
    <row r="101" spans="1:21" x14ac:dyDescent="0.3">
      <c r="A101" s="16">
        <v>99</v>
      </c>
      <c r="B101" s="3">
        <v>45446</v>
      </c>
      <c r="C101" s="40">
        <v>5283.4</v>
      </c>
      <c r="D101">
        <v>18403.04</v>
      </c>
      <c r="E101">
        <v>7.8194999999999997</v>
      </c>
      <c r="F101" s="14">
        <f t="shared" si="5"/>
        <v>2353.4804015602022</v>
      </c>
      <c r="G101">
        <v>12332.94</v>
      </c>
      <c r="H101">
        <v>7.8194999999999997</v>
      </c>
      <c r="I101" s="14">
        <f t="shared" si="6"/>
        <v>1577.203145981201</v>
      </c>
      <c r="J101">
        <v>3784.04</v>
      </c>
      <c r="K101">
        <v>7.8194999999999997</v>
      </c>
      <c r="L101" s="43">
        <f t="shared" si="7"/>
        <v>483.92352452202829</v>
      </c>
      <c r="M101">
        <v>6531.99</v>
      </c>
      <c r="N101">
        <v>7.8194999999999997</v>
      </c>
      <c r="O101" s="43">
        <f t="shared" si="8"/>
        <v>835.34624976021485</v>
      </c>
      <c r="P101">
        <v>3927.74</v>
      </c>
      <c r="Q101">
        <v>7.8194999999999997</v>
      </c>
      <c r="R101" s="43">
        <f t="shared" si="9"/>
        <v>502.30065860988555</v>
      </c>
      <c r="S101"/>
      <c r="U101" s="38"/>
    </row>
    <row r="102" spans="1:21" x14ac:dyDescent="0.3">
      <c r="A102" s="16">
        <v>100</v>
      </c>
      <c r="B102" s="3">
        <v>45447</v>
      </c>
      <c r="C102" s="40">
        <v>5291.34</v>
      </c>
      <c r="D102">
        <v>18444.11</v>
      </c>
      <c r="E102">
        <v>7.8132999999999999</v>
      </c>
      <c r="F102" s="14">
        <f t="shared" si="5"/>
        <v>2360.6043541141389</v>
      </c>
      <c r="G102">
        <v>12367.53</v>
      </c>
      <c r="H102">
        <v>7.8132999999999999</v>
      </c>
      <c r="I102" s="14">
        <f t="shared" si="6"/>
        <v>1582.8817529085022</v>
      </c>
      <c r="J102">
        <v>3796.17</v>
      </c>
      <c r="K102">
        <v>7.8132999999999999</v>
      </c>
      <c r="L102" s="43">
        <f t="shared" si="7"/>
        <v>485.86000793518747</v>
      </c>
      <c r="M102">
        <v>6554.32</v>
      </c>
      <c r="N102">
        <v>7.8132999999999999</v>
      </c>
      <c r="O102" s="43">
        <f t="shared" si="8"/>
        <v>838.86706001305458</v>
      </c>
      <c r="P102">
        <v>3974.3</v>
      </c>
      <c r="Q102">
        <v>7.8132999999999999</v>
      </c>
      <c r="R102" s="43">
        <f t="shared" si="9"/>
        <v>508.65831338870902</v>
      </c>
      <c r="S102"/>
      <c r="U102" s="38"/>
    </row>
    <row r="103" spans="1:21" x14ac:dyDescent="0.3">
      <c r="A103" s="16">
        <v>101</v>
      </c>
      <c r="B103" s="3">
        <v>45448</v>
      </c>
      <c r="C103" s="40">
        <v>5354.03</v>
      </c>
      <c r="D103">
        <v>18424.96</v>
      </c>
      <c r="E103">
        <v>7.8116000000000003</v>
      </c>
      <c r="F103" s="14">
        <f t="shared" si="5"/>
        <v>2358.6665983921343</v>
      </c>
      <c r="G103">
        <v>12367.71</v>
      </c>
      <c r="H103">
        <v>7.8116000000000003</v>
      </c>
      <c r="I103" s="14">
        <f t="shared" si="6"/>
        <v>1583.2492703159403</v>
      </c>
      <c r="J103">
        <v>3807.73</v>
      </c>
      <c r="K103">
        <v>7.8116000000000003</v>
      </c>
      <c r="L103" s="43">
        <f t="shared" si="7"/>
        <v>487.44559373239798</v>
      </c>
      <c r="M103">
        <v>6542.47</v>
      </c>
      <c r="N103">
        <v>7.8116000000000003</v>
      </c>
      <c r="O103" s="43">
        <f t="shared" si="8"/>
        <v>837.5326437605612</v>
      </c>
      <c r="P103">
        <v>3920.71</v>
      </c>
      <c r="Q103">
        <v>7.8116000000000003</v>
      </c>
      <c r="R103" s="43">
        <f t="shared" si="9"/>
        <v>501.90869988222641</v>
      </c>
      <c r="S103"/>
      <c r="U103" s="38"/>
    </row>
    <row r="104" spans="1:21" x14ac:dyDescent="0.3">
      <c r="A104" s="16">
        <v>102</v>
      </c>
      <c r="B104" s="3">
        <v>45449</v>
      </c>
      <c r="C104" s="40">
        <v>5352.96</v>
      </c>
      <c r="D104">
        <v>18476.8</v>
      </c>
      <c r="E104">
        <v>7.8094000000000001</v>
      </c>
      <c r="F104" s="14">
        <f t="shared" si="5"/>
        <v>2365.9692165851407</v>
      </c>
      <c r="G104">
        <v>12390.68</v>
      </c>
      <c r="H104">
        <v>7.8094000000000001</v>
      </c>
      <c r="I104" s="14">
        <f t="shared" si="6"/>
        <v>1586.6366174097882</v>
      </c>
      <c r="J104">
        <v>3840.66</v>
      </c>
      <c r="K104">
        <v>7.8094000000000001</v>
      </c>
      <c r="L104" s="43">
        <f t="shared" si="7"/>
        <v>491.79962609163312</v>
      </c>
      <c r="M104">
        <v>6555.06</v>
      </c>
      <c r="N104">
        <v>7.8094000000000001</v>
      </c>
      <c r="O104" s="43">
        <f t="shared" si="8"/>
        <v>839.38074628012396</v>
      </c>
      <c r="P104">
        <v>3935.43</v>
      </c>
      <c r="Q104">
        <v>7.8094000000000001</v>
      </c>
      <c r="R104" s="43">
        <f t="shared" si="9"/>
        <v>503.93500140855889</v>
      </c>
      <c r="S104"/>
      <c r="U104" s="38"/>
    </row>
    <row r="105" spans="1:21" x14ac:dyDescent="0.3">
      <c r="A105" s="16">
        <v>103</v>
      </c>
      <c r="B105" s="3">
        <v>45450</v>
      </c>
      <c r="C105" s="40">
        <v>5346.99</v>
      </c>
      <c r="D105">
        <v>18366.95</v>
      </c>
      <c r="E105">
        <v>7.8117999999999999</v>
      </c>
      <c r="F105" s="14">
        <f t="shared" si="5"/>
        <v>2351.1802657518115</v>
      </c>
      <c r="G105">
        <v>12317.62</v>
      </c>
      <c r="H105">
        <v>7.8117999999999999</v>
      </c>
      <c r="I105" s="14">
        <f t="shared" si="6"/>
        <v>1576.796640979032</v>
      </c>
      <c r="J105">
        <v>3772.47</v>
      </c>
      <c r="K105">
        <v>7.8117999999999999</v>
      </c>
      <c r="L105" s="43">
        <f t="shared" si="7"/>
        <v>482.91942958089044</v>
      </c>
      <c r="M105">
        <v>6510.37</v>
      </c>
      <c r="N105">
        <v>7.8117999999999999</v>
      </c>
      <c r="O105" s="43">
        <f t="shared" si="8"/>
        <v>833.40203282214088</v>
      </c>
      <c r="P105">
        <v>3975.68</v>
      </c>
      <c r="Q105">
        <v>7.8117999999999999</v>
      </c>
      <c r="R105" s="43">
        <f t="shared" si="9"/>
        <v>508.93264036457663</v>
      </c>
      <c r="S105"/>
      <c r="U105" s="38"/>
    </row>
    <row r="106" spans="1:21" x14ac:dyDescent="0.3">
      <c r="A106" s="16">
        <v>104</v>
      </c>
      <c r="B106" s="3">
        <v>45454</v>
      </c>
      <c r="C106" s="40">
        <v>5375.32</v>
      </c>
      <c r="D106">
        <v>18176.34</v>
      </c>
      <c r="E106">
        <v>7.8121</v>
      </c>
      <c r="F106" s="14">
        <f t="shared" si="5"/>
        <v>2326.6906465611041</v>
      </c>
      <c r="G106">
        <v>12206.31</v>
      </c>
      <c r="H106">
        <v>7.8121</v>
      </c>
      <c r="I106" s="14">
        <f t="shared" si="6"/>
        <v>1562.4876793691835</v>
      </c>
      <c r="J106">
        <v>3755.42</v>
      </c>
      <c r="K106">
        <v>7.8121</v>
      </c>
      <c r="L106" s="43">
        <f t="shared" si="7"/>
        <v>480.71837278068637</v>
      </c>
      <c r="M106">
        <v>6452.06</v>
      </c>
      <c r="N106">
        <v>7.8121</v>
      </c>
      <c r="O106" s="43">
        <f t="shared" si="8"/>
        <v>825.90596638547902</v>
      </c>
      <c r="P106">
        <v>3891.63</v>
      </c>
      <c r="Q106">
        <v>7.8121</v>
      </c>
      <c r="R106" s="43">
        <f t="shared" si="9"/>
        <v>498.1541454922492</v>
      </c>
      <c r="S106"/>
      <c r="U106" s="38"/>
    </row>
    <row r="107" spans="1:21" x14ac:dyDescent="0.3">
      <c r="A107" s="16">
        <v>105</v>
      </c>
      <c r="B107" s="3">
        <v>45455</v>
      </c>
      <c r="C107" s="40">
        <v>5421.03</v>
      </c>
      <c r="D107">
        <v>17937.84</v>
      </c>
      <c r="E107">
        <v>7.8093000000000004</v>
      </c>
      <c r="F107" s="14">
        <f t="shared" si="5"/>
        <v>2296.9843647958201</v>
      </c>
      <c r="G107">
        <v>12035.12</v>
      </c>
      <c r="H107">
        <v>7.8093000000000004</v>
      </c>
      <c r="I107" s="14">
        <f t="shared" si="6"/>
        <v>1541.1266054575954</v>
      </c>
      <c r="J107">
        <v>3691.28</v>
      </c>
      <c r="K107">
        <v>7.8093000000000004</v>
      </c>
      <c r="L107" s="43">
        <f t="shared" si="7"/>
        <v>472.67744868298053</v>
      </c>
      <c r="M107">
        <v>6359.36</v>
      </c>
      <c r="N107">
        <v>7.8093000000000004</v>
      </c>
      <c r="O107" s="43">
        <f t="shared" si="8"/>
        <v>814.33163023574446</v>
      </c>
      <c r="P107">
        <v>3849.14</v>
      </c>
      <c r="Q107">
        <v>7.8093000000000004</v>
      </c>
      <c r="R107" s="43">
        <f t="shared" si="9"/>
        <v>492.8918084847553</v>
      </c>
      <c r="S107"/>
      <c r="U107" s="38"/>
    </row>
    <row r="108" spans="1:21" x14ac:dyDescent="0.3">
      <c r="A108" s="16">
        <v>106</v>
      </c>
      <c r="B108" s="3">
        <v>45456</v>
      </c>
      <c r="C108" s="40">
        <v>5433.74</v>
      </c>
      <c r="D108">
        <v>18112.63</v>
      </c>
      <c r="E108">
        <v>7.8101000000000003</v>
      </c>
      <c r="F108" s="14">
        <f t="shared" si="5"/>
        <v>2319.129076452286</v>
      </c>
      <c r="G108">
        <v>12161.88</v>
      </c>
      <c r="H108">
        <v>7.8101000000000003</v>
      </c>
      <c r="I108" s="14">
        <f t="shared" si="6"/>
        <v>1557.1990115363437</v>
      </c>
      <c r="J108">
        <v>3739.14</v>
      </c>
      <c r="K108">
        <v>7.8101000000000003</v>
      </c>
      <c r="L108" s="43">
        <f t="shared" si="7"/>
        <v>478.75699414860242</v>
      </c>
      <c r="M108">
        <v>6421.81</v>
      </c>
      <c r="N108">
        <v>7.8101000000000003</v>
      </c>
      <c r="O108" s="43">
        <f t="shared" si="8"/>
        <v>822.24427344080107</v>
      </c>
      <c r="P108">
        <v>3885.27</v>
      </c>
      <c r="Q108">
        <v>7.8101000000000003</v>
      </c>
      <c r="R108" s="43">
        <f t="shared" si="9"/>
        <v>497.46738197974418</v>
      </c>
      <c r="S108"/>
      <c r="U108" s="38"/>
    </row>
    <row r="109" spans="1:21" x14ac:dyDescent="0.3">
      <c r="A109" s="16">
        <v>107</v>
      </c>
      <c r="B109" s="3">
        <v>45457</v>
      </c>
      <c r="C109" s="40">
        <v>5431.6</v>
      </c>
      <c r="D109">
        <v>17941.78</v>
      </c>
      <c r="E109">
        <v>7.8106</v>
      </c>
      <c r="F109" s="14">
        <f t="shared" si="5"/>
        <v>2297.1064962998998</v>
      </c>
      <c r="G109">
        <v>12090.71</v>
      </c>
      <c r="H109">
        <v>7.8106</v>
      </c>
      <c r="I109" s="14">
        <f t="shared" si="6"/>
        <v>1547.9873505236471</v>
      </c>
      <c r="J109">
        <v>3707.62</v>
      </c>
      <c r="K109">
        <v>7.8106</v>
      </c>
      <c r="L109" s="43">
        <f t="shared" si="7"/>
        <v>474.69080480372827</v>
      </c>
      <c r="M109">
        <v>6374.66</v>
      </c>
      <c r="N109">
        <v>7.8106</v>
      </c>
      <c r="O109" s="43">
        <f t="shared" si="8"/>
        <v>816.1549688884337</v>
      </c>
      <c r="P109">
        <v>3892.72</v>
      </c>
      <c r="Q109">
        <v>7.8106</v>
      </c>
      <c r="R109" s="43">
        <f t="shared" si="9"/>
        <v>498.38936829436915</v>
      </c>
      <c r="S109"/>
      <c r="U109" s="38"/>
    </row>
    <row r="110" spans="1:21" x14ac:dyDescent="0.3">
      <c r="A110" s="16">
        <v>108</v>
      </c>
      <c r="B110" s="3">
        <v>45460</v>
      </c>
      <c r="C110" s="40">
        <v>5473.23</v>
      </c>
      <c r="D110">
        <v>17936.12</v>
      </c>
      <c r="E110">
        <v>7.8101000000000003</v>
      </c>
      <c r="F110" s="14">
        <f t="shared" si="5"/>
        <v>2296.5288536638454</v>
      </c>
      <c r="G110">
        <v>12091.12</v>
      </c>
      <c r="H110">
        <v>7.8101000000000003</v>
      </c>
      <c r="I110" s="14">
        <f t="shared" si="6"/>
        <v>1548.1389482849131</v>
      </c>
      <c r="J110">
        <v>3709.35</v>
      </c>
      <c r="K110">
        <v>7.8101000000000003</v>
      </c>
      <c r="L110" s="43">
        <f t="shared" si="7"/>
        <v>474.94270239817666</v>
      </c>
      <c r="M110">
        <v>6373.48</v>
      </c>
      <c r="N110">
        <v>7.8101000000000003</v>
      </c>
      <c r="O110" s="43">
        <f t="shared" si="8"/>
        <v>816.05613244388667</v>
      </c>
      <c r="P110">
        <v>3848.11</v>
      </c>
      <c r="Q110">
        <v>7.8101000000000003</v>
      </c>
      <c r="R110" s="43">
        <f t="shared" si="9"/>
        <v>492.70944034007249</v>
      </c>
      <c r="S110"/>
      <c r="U110" s="38"/>
    </row>
    <row r="111" spans="1:21" x14ac:dyDescent="0.3">
      <c r="A111" s="16">
        <v>109</v>
      </c>
      <c r="B111" s="3">
        <v>45461</v>
      </c>
      <c r="C111" s="40">
        <v>5487.03</v>
      </c>
      <c r="D111">
        <v>17915.55</v>
      </c>
      <c r="E111">
        <v>7.8071000000000002</v>
      </c>
      <c r="F111" s="14">
        <f t="shared" si="5"/>
        <v>2294.7765495510494</v>
      </c>
      <c r="G111">
        <v>12043.6</v>
      </c>
      <c r="H111">
        <v>7.8071000000000002</v>
      </c>
      <c r="I111" s="14">
        <f t="shared" si="6"/>
        <v>1542.6470776600786</v>
      </c>
      <c r="J111">
        <v>3697.21</v>
      </c>
      <c r="K111">
        <v>7.8071000000000002</v>
      </c>
      <c r="L111" s="43">
        <f t="shared" si="7"/>
        <v>473.57021173034803</v>
      </c>
      <c r="M111">
        <v>6368.1</v>
      </c>
      <c r="N111">
        <v>7.8071000000000002</v>
      </c>
      <c r="O111" s="43">
        <f t="shared" si="8"/>
        <v>815.68059842963464</v>
      </c>
      <c r="P111">
        <v>3851.29</v>
      </c>
      <c r="Q111">
        <v>7.8071000000000002</v>
      </c>
      <c r="R111" s="43">
        <f t="shared" si="9"/>
        <v>493.3060931716002</v>
      </c>
      <c r="S111"/>
      <c r="U111" s="38"/>
    </row>
    <row r="112" spans="1:21" x14ac:dyDescent="0.3">
      <c r="A112" s="16">
        <v>110</v>
      </c>
      <c r="B112" s="3">
        <v>45463</v>
      </c>
      <c r="C112" s="40">
        <v>5473.17</v>
      </c>
      <c r="D112">
        <v>18335.32</v>
      </c>
      <c r="E112">
        <v>7.8042999999999996</v>
      </c>
      <c r="F112" s="14">
        <f t="shared" si="5"/>
        <v>2349.3868764655385</v>
      </c>
      <c r="G112">
        <v>12369.04</v>
      </c>
      <c r="H112">
        <v>7.8042999999999996</v>
      </c>
      <c r="I112" s="14">
        <f t="shared" si="6"/>
        <v>1584.9006317030357</v>
      </c>
      <c r="J112">
        <v>3767.88</v>
      </c>
      <c r="K112">
        <v>7.8042999999999996</v>
      </c>
      <c r="L112" s="43">
        <f t="shared" si="7"/>
        <v>482.79538203298188</v>
      </c>
      <c r="M112">
        <v>6556.1</v>
      </c>
      <c r="N112">
        <v>7.8042999999999996</v>
      </c>
      <c r="O112" s="43">
        <f t="shared" si="8"/>
        <v>840.06252963110092</v>
      </c>
      <c r="P112">
        <v>3944.52</v>
      </c>
      <c r="Q112">
        <v>7.8042999999999996</v>
      </c>
      <c r="R112" s="43">
        <f t="shared" si="9"/>
        <v>505.42905833963329</v>
      </c>
      <c r="S112"/>
      <c r="U112" s="38"/>
    </row>
    <row r="113" spans="1:21" x14ac:dyDescent="0.3">
      <c r="A113" s="16">
        <v>111</v>
      </c>
      <c r="B113" s="3">
        <v>45464</v>
      </c>
      <c r="C113" s="40">
        <v>5464.62</v>
      </c>
      <c r="D113">
        <v>18028.52</v>
      </c>
      <c r="E113">
        <v>7.8056999999999999</v>
      </c>
      <c r="F113" s="14">
        <f t="shared" si="5"/>
        <v>2309.6608888376445</v>
      </c>
      <c r="G113">
        <v>12141.65</v>
      </c>
      <c r="H113">
        <v>7.8056999999999999</v>
      </c>
      <c r="I113" s="14">
        <f t="shared" si="6"/>
        <v>1555.4850942260143</v>
      </c>
      <c r="J113">
        <v>3701.4</v>
      </c>
      <c r="K113">
        <v>7.8056999999999999</v>
      </c>
      <c r="L113" s="43">
        <f t="shared" si="7"/>
        <v>474.19193666167035</v>
      </c>
      <c r="M113">
        <v>6439.82</v>
      </c>
      <c r="N113">
        <v>7.8056999999999999</v>
      </c>
      <c r="O113" s="43">
        <f t="shared" si="8"/>
        <v>825.01505310222012</v>
      </c>
      <c r="P113">
        <v>3897.34</v>
      </c>
      <c r="Q113">
        <v>7.8056999999999999</v>
      </c>
      <c r="R113" s="43">
        <f t="shared" si="9"/>
        <v>499.29410558950514</v>
      </c>
      <c r="S113"/>
      <c r="U113" s="38"/>
    </row>
    <row r="114" spans="1:21" x14ac:dyDescent="0.3">
      <c r="A114" s="16">
        <v>112</v>
      </c>
      <c r="B114" s="3">
        <v>45467</v>
      </c>
      <c r="C114" s="40">
        <v>5447.87</v>
      </c>
      <c r="D114">
        <v>18027.71</v>
      </c>
      <c r="E114">
        <v>7.8075000000000001</v>
      </c>
      <c r="F114" s="14">
        <f t="shared" si="5"/>
        <v>2309.0246557796991</v>
      </c>
      <c r="G114">
        <v>12150.81</v>
      </c>
      <c r="H114">
        <v>7.8075000000000001</v>
      </c>
      <c r="I114" s="14">
        <f t="shared" si="6"/>
        <v>1556.299711815562</v>
      </c>
      <c r="J114">
        <v>3677.51</v>
      </c>
      <c r="K114">
        <v>7.8075000000000001</v>
      </c>
      <c r="L114" s="43">
        <f t="shared" si="7"/>
        <v>471.02273455011209</v>
      </c>
      <c r="M114">
        <v>6441.16</v>
      </c>
      <c r="N114">
        <v>7.8075000000000001</v>
      </c>
      <c r="O114" s="43">
        <f t="shared" si="8"/>
        <v>824.99647774575726</v>
      </c>
      <c r="P114">
        <v>3890.44</v>
      </c>
      <c r="Q114">
        <v>7.8075000000000001</v>
      </c>
      <c r="R114" s="43">
        <f t="shared" si="9"/>
        <v>498.29522894652575</v>
      </c>
      <c r="S114"/>
      <c r="U114" s="38"/>
    </row>
    <row r="115" spans="1:21" x14ac:dyDescent="0.3">
      <c r="A115" s="16">
        <v>113</v>
      </c>
      <c r="B115" s="3">
        <v>45468</v>
      </c>
      <c r="C115" s="40">
        <v>5469.3</v>
      </c>
      <c r="D115">
        <v>18072.900000000001</v>
      </c>
      <c r="E115">
        <v>7.8085000000000004</v>
      </c>
      <c r="F115" s="14">
        <f t="shared" si="5"/>
        <v>2314.5162323109435</v>
      </c>
      <c r="G115">
        <v>12201.12</v>
      </c>
      <c r="H115">
        <v>7.8085000000000004</v>
      </c>
      <c r="I115" s="14">
        <f t="shared" si="6"/>
        <v>1562.5433822116925</v>
      </c>
      <c r="J115">
        <v>3655.46</v>
      </c>
      <c r="K115">
        <v>7.8085000000000004</v>
      </c>
      <c r="L115" s="43">
        <f t="shared" si="7"/>
        <v>468.13856694627646</v>
      </c>
      <c r="M115">
        <v>6464.49</v>
      </c>
      <c r="N115">
        <v>7.8085000000000004</v>
      </c>
      <c r="O115" s="43">
        <f t="shared" si="8"/>
        <v>827.87859384004605</v>
      </c>
      <c r="P115">
        <v>3924.79</v>
      </c>
      <c r="Q115">
        <v>7.8085000000000004</v>
      </c>
      <c r="R115" s="43">
        <f t="shared" si="9"/>
        <v>502.63046679900106</v>
      </c>
      <c r="S115"/>
      <c r="U115" s="38"/>
    </row>
    <row r="116" spans="1:21" x14ac:dyDescent="0.3">
      <c r="A116" s="16">
        <v>114</v>
      </c>
      <c r="B116" s="3">
        <v>45469</v>
      </c>
      <c r="C116" s="40">
        <v>5477.9</v>
      </c>
      <c r="D116">
        <v>18089.93</v>
      </c>
      <c r="E116">
        <v>7.8090999999999999</v>
      </c>
      <c r="F116" s="14">
        <f t="shared" si="5"/>
        <v>2316.5191891511186</v>
      </c>
      <c r="G116">
        <v>12209.28</v>
      </c>
      <c r="H116">
        <v>7.8090999999999999</v>
      </c>
      <c r="I116" s="14">
        <f t="shared" si="6"/>
        <v>1563.4682613873558</v>
      </c>
      <c r="J116">
        <v>3689.68</v>
      </c>
      <c r="K116">
        <v>7.8090999999999999</v>
      </c>
      <c r="L116" s="43">
        <f t="shared" si="7"/>
        <v>472.48466532635001</v>
      </c>
      <c r="M116">
        <v>6477.24</v>
      </c>
      <c r="N116">
        <v>7.8090999999999999</v>
      </c>
      <c r="O116" s="43">
        <f t="shared" si="8"/>
        <v>829.44769563714124</v>
      </c>
      <c r="P116">
        <v>3912.66</v>
      </c>
      <c r="Q116">
        <v>7.8090999999999999</v>
      </c>
      <c r="R116" s="43">
        <f t="shared" si="9"/>
        <v>501.03853196911297</v>
      </c>
      <c r="S116"/>
      <c r="U116" s="38"/>
    </row>
    <row r="117" spans="1:21" x14ac:dyDescent="0.3">
      <c r="A117" s="16">
        <v>115</v>
      </c>
      <c r="B117" s="3">
        <v>45470</v>
      </c>
      <c r="C117" s="40">
        <v>5482.87</v>
      </c>
      <c r="D117">
        <v>17716.47</v>
      </c>
      <c r="E117">
        <v>7.8087</v>
      </c>
      <c r="F117" s="14">
        <f t="shared" si="5"/>
        <v>2268.8117100157519</v>
      </c>
      <c r="G117">
        <v>11920.19</v>
      </c>
      <c r="H117">
        <v>7.8087</v>
      </c>
      <c r="I117" s="14">
        <f t="shared" si="6"/>
        <v>1526.5268226465353</v>
      </c>
      <c r="J117">
        <v>3588.86</v>
      </c>
      <c r="K117">
        <v>7.8087</v>
      </c>
      <c r="L117" s="43">
        <f t="shared" si="7"/>
        <v>459.5976282863985</v>
      </c>
      <c r="M117">
        <v>6324.05</v>
      </c>
      <c r="N117">
        <v>7.8087</v>
      </c>
      <c r="O117" s="43">
        <f t="shared" si="8"/>
        <v>809.87232189737085</v>
      </c>
      <c r="P117">
        <v>3813.78</v>
      </c>
      <c r="Q117">
        <v>7.8087</v>
      </c>
      <c r="R117" s="43">
        <f t="shared" si="9"/>
        <v>488.40139844020132</v>
      </c>
      <c r="S117"/>
      <c r="U117" s="38"/>
    </row>
    <row r="118" spans="1:21" x14ac:dyDescent="0.3">
      <c r="A118" s="16">
        <v>116</v>
      </c>
      <c r="B118" s="3">
        <v>45471</v>
      </c>
      <c r="C118" s="40">
        <v>5460.48</v>
      </c>
      <c r="D118">
        <v>17718.61</v>
      </c>
      <c r="E118">
        <v>7.8079999999999998</v>
      </c>
      <c r="F118" s="14">
        <f t="shared" si="5"/>
        <v>2269.2891905737706</v>
      </c>
      <c r="G118">
        <v>11908.38</v>
      </c>
      <c r="H118">
        <v>7.8079999999999998</v>
      </c>
      <c r="I118" s="14">
        <f t="shared" si="6"/>
        <v>1525.1511270491803</v>
      </c>
      <c r="J118">
        <v>3554.45</v>
      </c>
      <c r="K118">
        <v>7.8079999999999998</v>
      </c>
      <c r="L118" s="43">
        <f t="shared" si="7"/>
        <v>455.23181352459017</v>
      </c>
      <c r="M118">
        <v>6331.86</v>
      </c>
      <c r="N118">
        <v>7.8079999999999998</v>
      </c>
      <c r="O118" s="43">
        <f t="shared" si="8"/>
        <v>810.9451844262295</v>
      </c>
      <c r="P118">
        <v>3867.09</v>
      </c>
      <c r="Q118">
        <v>7.8079999999999998</v>
      </c>
      <c r="R118" s="43">
        <f t="shared" si="9"/>
        <v>495.27279713114757</v>
      </c>
      <c r="S118"/>
      <c r="U118" s="38"/>
    </row>
    <row r="119" spans="1:21" x14ac:dyDescent="0.3">
      <c r="A119" s="16">
        <v>117</v>
      </c>
      <c r="B119" s="3">
        <v>45475</v>
      </c>
      <c r="C119" s="40">
        <v>5509.01</v>
      </c>
      <c r="D119">
        <v>17769.14</v>
      </c>
      <c r="E119">
        <v>7.8133999999999997</v>
      </c>
      <c r="F119" s="14">
        <f t="shared" si="5"/>
        <v>2274.1879335500553</v>
      </c>
      <c r="G119">
        <v>11973.38</v>
      </c>
      <c r="H119">
        <v>7.8133999999999997</v>
      </c>
      <c r="I119" s="14">
        <f t="shared" si="6"/>
        <v>1532.4161056646274</v>
      </c>
      <c r="J119">
        <v>3539.13</v>
      </c>
      <c r="K119">
        <v>7.8133999999999997</v>
      </c>
      <c r="L119" s="43">
        <f t="shared" si="7"/>
        <v>452.95645941587532</v>
      </c>
      <c r="M119">
        <v>6374.91</v>
      </c>
      <c r="N119">
        <v>7.8133999999999997</v>
      </c>
      <c r="O119" s="43">
        <f t="shared" si="8"/>
        <v>815.89448895487237</v>
      </c>
      <c r="P119">
        <v>3932.61</v>
      </c>
      <c r="Q119">
        <v>7.8133999999999997</v>
      </c>
      <c r="R119" s="43">
        <f t="shared" si="9"/>
        <v>503.3160979855121</v>
      </c>
      <c r="S119"/>
      <c r="U119" s="38"/>
    </row>
    <row r="120" spans="1:21" x14ac:dyDescent="0.3">
      <c r="A120" s="16">
        <v>118</v>
      </c>
      <c r="B120" s="3">
        <v>45476</v>
      </c>
      <c r="C120" s="40">
        <v>5537.02</v>
      </c>
      <c r="D120">
        <v>17978.57</v>
      </c>
      <c r="E120">
        <v>7.8097000000000003</v>
      </c>
      <c r="F120" s="14">
        <f t="shared" si="5"/>
        <v>2302.0820261981894</v>
      </c>
      <c r="G120">
        <v>12116.53</v>
      </c>
      <c r="H120">
        <v>7.8097000000000003</v>
      </c>
      <c r="I120" s="14">
        <f t="shared" si="6"/>
        <v>1551.4718875244887</v>
      </c>
      <c r="J120">
        <v>3626.93</v>
      </c>
      <c r="K120">
        <v>7.8097000000000003</v>
      </c>
      <c r="L120" s="43">
        <f t="shared" si="7"/>
        <v>464.41348579330827</v>
      </c>
      <c r="M120">
        <v>6455.7</v>
      </c>
      <c r="N120">
        <v>7.8097000000000003</v>
      </c>
      <c r="O120" s="43">
        <f t="shared" si="8"/>
        <v>826.62586270919496</v>
      </c>
      <c r="P120">
        <v>3928.16</v>
      </c>
      <c r="Q120">
        <v>7.8097000000000003</v>
      </c>
      <c r="R120" s="43">
        <f t="shared" si="9"/>
        <v>502.98474973430473</v>
      </c>
      <c r="S120"/>
      <c r="U120" s="38"/>
    </row>
    <row r="121" spans="1:21" x14ac:dyDescent="0.3">
      <c r="A121" s="16">
        <v>119</v>
      </c>
      <c r="B121" s="3">
        <v>45478</v>
      </c>
      <c r="C121" s="40">
        <v>5567.19</v>
      </c>
      <c r="D121">
        <v>17799.61</v>
      </c>
      <c r="E121">
        <v>7.8129</v>
      </c>
      <c r="F121" s="14">
        <f t="shared" si="5"/>
        <v>2278.2334344481565</v>
      </c>
      <c r="G121">
        <v>12003.85</v>
      </c>
      <c r="H121">
        <v>7.8129</v>
      </c>
      <c r="I121" s="14">
        <f t="shared" si="6"/>
        <v>1536.4141355962574</v>
      </c>
      <c r="J121">
        <v>3596.8</v>
      </c>
      <c r="K121">
        <v>7.8129</v>
      </c>
      <c r="L121" s="43">
        <f t="shared" si="7"/>
        <v>460.36682921834404</v>
      </c>
      <c r="M121">
        <v>6382.27</v>
      </c>
      <c r="N121">
        <v>7.8129</v>
      </c>
      <c r="O121" s="43">
        <f t="shared" si="8"/>
        <v>816.88873529675288</v>
      </c>
      <c r="P121">
        <v>3881.05</v>
      </c>
      <c r="Q121">
        <v>7.8129</v>
      </c>
      <c r="R121" s="43">
        <f t="shared" si="9"/>
        <v>496.74896645291761</v>
      </c>
      <c r="S121"/>
      <c r="U121" s="38"/>
    </row>
    <row r="122" spans="1:21" x14ac:dyDescent="0.3">
      <c r="A122" s="16">
        <v>120</v>
      </c>
      <c r="B122" s="3">
        <v>45481</v>
      </c>
      <c r="C122" s="40">
        <v>5572.85</v>
      </c>
      <c r="D122">
        <v>17524.060000000001</v>
      </c>
      <c r="E122">
        <v>7.8095999999999997</v>
      </c>
      <c r="F122" s="14">
        <f t="shared" si="5"/>
        <v>2243.9126203646797</v>
      </c>
      <c r="G122">
        <v>11813.33</v>
      </c>
      <c r="H122">
        <v>7.8095999999999997</v>
      </c>
      <c r="I122" s="14">
        <f t="shared" si="6"/>
        <v>1512.6677422659291</v>
      </c>
      <c r="J122">
        <v>3566.63</v>
      </c>
      <c r="K122">
        <v>7.8095999999999997</v>
      </c>
      <c r="L122" s="43">
        <f t="shared" si="7"/>
        <v>456.69816635935263</v>
      </c>
      <c r="M122">
        <v>6284.73</v>
      </c>
      <c r="N122">
        <v>7.8095999999999997</v>
      </c>
      <c r="O122" s="43">
        <f t="shared" si="8"/>
        <v>804.74416103257522</v>
      </c>
      <c r="P122">
        <v>3831.45</v>
      </c>
      <c r="Q122">
        <v>7.8095999999999997</v>
      </c>
      <c r="R122" s="43">
        <f t="shared" si="9"/>
        <v>490.60771358328213</v>
      </c>
      <c r="S122"/>
      <c r="U122" s="38"/>
    </row>
    <row r="123" spans="1:21" x14ac:dyDescent="0.3">
      <c r="A123" s="16">
        <v>121</v>
      </c>
      <c r="B123" s="3">
        <v>45482</v>
      </c>
      <c r="C123" s="40">
        <v>5576.98</v>
      </c>
      <c r="D123">
        <v>17523.23</v>
      </c>
      <c r="E123">
        <v>7.8117999999999999</v>
      </c>
      <c r="F123" s="14">
        <f t="shared" si="5"/>
        <v>2243.174428428787</v>
      </c>
      <c r="G123">
        <v>11805.03</v>
      </c>
      <c r="H123">
        <v>7.8117999999999999</v>
      </c>
      <c r="I123" s="14">
        <f t="shared" si="6"/>
        <v>1511.1792416600529</v>
      </c>
      <c r="J123">
        <v>3600.9</v>
      </c>
      <c r="K123">
        <v>7.8117999999999999</v>
      </c>
      <c r="L123" s="43">
        <f t="shared" si="7"/>
        <v>460.95650170255254</v>
      </c>
      <c r="M123">
        <v>6275.64</v>
      </c>
      <c r="N123">
        <v>7.8117999999999999</v>
      </c>
      <c r="O123" s="43">
        <f t="shared" si="8"/>
        <v>803.3539005094857</v>
      </c>
      <c r="P123">
        <v>3812.51</v>
      </c>
      <c r="Q123">
        <v>7.8117999999999999</v>
      </c>
      <c r="R123" s="43">
        <f t="shared" si="9"/>
        <v>488.04500883279144</v>
      </c>
      <c r="S123"/>
      <c r="U123" s="38"/>
    </row>
    <row r="124" spans="1:21" x14ac:dyDescent="0.3">
      <c r="A124" s="16">
        <v>122</v>
      </c>
      <c r="B124" s="3">
        <v>45483</v>
      </c>
      <c r="C124" s="40">
        <v>5633.91</v>
      </c>
      <c r="D124">
        <v>17471.669999999998</v>
      </c>
      <c r="E124">
        <v>7.8108000000000004</v>
      </c>
      <c r="F124" s="14">
        <f t="shared" si="5"/>
        <v>2236.8605008449836</v>
      </c>
      <c r="G124">
        <v>11797.72</v>
      </c>
      <c r="H124">
        <v>7.8108000000000004</v>
      </c>
      <c r="I124" s="14">
        <f t="shared" si="6"/>
        <v>1510.4368310544373</v>
      </c>
      <c r="J124">
        <v>3600.49</v>
      </c>
      <c r="K124">
        <v>7.8108000000000004</v>
      </c>
      <c r="L124" s="43">
        <f t="shared" si="7"/>
        <v>460.96302555436057</v>
      </c>
      <c r="M124">
        <v>6251.18</v>
      </c>
      <c r="N124">
        <v>7.8108000000000004</v>
      </c>
      <c r="O124" s="43">
        <f t="shared" si="8"/>
        <v>800.3251907615097</v>
      </c>
      <c r="P124">
        <v>3738.74</v>
      </c>
      <c r="Q124">
        <v>7.8108000000000004</v>
      </c>
      <c r="R124" s="43">
        <f t="shared" si="9"/>
        <v>478.66287704204427</v>
      </c>
      <c r="S124"/>
      <c r="U124" s="38"/>
    </row>
    <row r="125" spans="1:21" x14ac:dyDescent="0.3">
      <c r="A125" s="16">
        <v>123</v>
      </c>
      <c r="B125" s="3">
        <v>45484</v>
      </c>
      <c r="C125" s="40">
        <v>5584.54</v>
      </c>
      <c r="D125">
        <v>17832.330000000002</v>
      </c>
      <c r="E125">
        <v>7.8074000000000003</v>
      </c>
      <c r="F125" s="14">
        <f t="shared" si="5"/>
        <v>2284.0292542972052</v>
      </c>
      <c r="G125">
        <v>11997.69</v>
      </c>
      <c r="H125">
        <v>7.8074000000000003</v>
      </c>
      <c r="I125" s="14">
        <f t="shared" si="6"/>
        <v>1536.7074826446703</v>
      </c>
      <c r="J125">
        <v>3696.49</v>
      </c>
      <c r="K125">
        <v>7.8074000000000003</v>
      </c>
      <c r="L125" s="43">
        <f t="shared" si="7"/>
        <v>473.45979455388471</v>
      </c>
      <c r="M125">
        <v>6371.78</v>
      </c>
      <c r="N125">
        <v>7.8074000000000003</v>
      </c>
      <c r="O125" s="43">
        <f t="shared" si="8"/>
        <v>816.12060352998435</v>
      </c>
      <c r="P125">
        <v>3799.4</v>
      </c>
      <c r="Q125">
        <v>7.8074000000000003</v>
      </c>
      <c r="R125" s="43">
        <f t="shared" si="9"/>
        <v>486.6408791659195</v>
      </c>
      <c r="S125"/>
      <c r="U125" s="38"/>
    </row>
    <row r="126" spans="1:21" x14ac:dyDescent="0.3">
      <c r="A126" s="16">
        <v>124</v>
      </c>
      <c r="B126" s="3">
        <v>45485</v>
      </c>
      <c r="C126" s="40">
        <v>5615.35</v>
      </c>
      <c r="D126">
        <v>18293.38</v>
      </c>
      <c r="E126">
        <v>7.8072999999999997</v>
      </c>
      <c r="F126" s="14">
        <f t="shared" si="5"/>
        <v>2343.1122154906307</v>
      </c>
      <c r="G126">
        <v>12306.89</v>
      </c>
      <c r="H126">
        <v>7.8072999999999997</v>
      </c>
      <c r="I126" s="14">
        <f t="shared" si="6"/>
        <v>1576.3311259974639</v>
      </c>
      <c r="J126">
        <v>3782.08</v>
      </c>
      <c r="K126">
        <v>7.8072999999999997</v>
      </c>
      <c r="L126" s="43">
        <f t="shared" si="7"/>
        <v>484.4286757265636</v>
      </c>
      <c r="M126">
        <v>6532.63</v>
      </c>
      <c r="N126">
        <v>7.8072999999999997</v>
      </c>
      <c r="O126" s="43">
        <f t="shared" si="8"/>
        <v>836.73356986410158</v>
      </c>
      <c r="P126">
        <v>3840.25</v>
      </c>
      <c r="Q126">
        <v>7.8072999999999997</v>
      </c>
      <c r="R126" s="43">
        <f t="shared" si="9"/>
        <v>491.87939492526226</v>
      </c>
      <c r="S126"/>
      <c r="U126" s="38"/>
    </row>
    <row r="127" spans="1:21" x14ac:dyDescent="0.3">
      <c r="A127" s="16">
        <v>125</v>
      </c>
      <c r="B127" s="3">
        <v>45488</v>
      </c>
      <c r="C127" s="40">
        <v>5631.22</v>
      </c>
      <c r="D127">
        <v>18015.939999999999</v>
      </c>
      <c r="E127">
        <v>7.8064</v>
      </c>
      <c r="F127" s="14">
        <f t="shared" si="5"/>
        <v>2307.8422832547653</v>
      </c>
      <c r="G127">
        <v>12101.74</v>
      </c>
      <c r="H127">
        <v>7.8064</v>
      </c>
      <c r="I127" s="14">
        <f t="shared" si="6"/>
        <v>1550.2331420373027</v>
      </c>
      <c r="J127">
        <v>3672.58</v>
      </c>
      <c r="K127">
        <v>7.8064</v>
      </c>
      <c r="L127" s="43">
        <f t="shared" si="7"/>
        <v>470.45757327321172</v>
      </c>
      <c r="M127">
        <v>6421.67</v>
      </c>
      <c r="N127">
        <v>7.8064</v>
      </c>
      <c r="O127" s="43">
        <f t="shared" si="8"/>
        <v>822.61605861856935</v>
      </c>
      <c r="P127">
        <v>3805.8</v>
      </c>
      <c r="Q127">
        <v>7.8064</v>
      </c>
      <c r="R127" s="43">
        <f t="shared" si="9"/>
        <v>487.5230580036893</v>
      </c>
      <c r="S127"/>
      <c r="U127" s="38"/>
    </row>
    <row r="128" spans="1:21" x14ac:dyDescent="0.3">
      <c r="A128" s="16">
        <v>126</v>
      </c>
      <c r="B128" s="3">
        <v>45489</v>
      </c>
      <c r="C128" s="40">
        <v>5667.2</v>
      </c>
      <c r="D128">
        <v>17727.98</v>
      </c>
      <c r="E128">
        <v>7.8075999999999999</v>
      </c>
      <c r="F128" s="14">
        <f t="shared" si="5"/>
        <v>2270.6055638096213</v>
      </c>
      <c r="G128">
        <v>11880.62</v>
      </c>
      <c r="H128">
        <v>7.8075999999999999</v>
      </c>
      <c r="I128" s="14">
        <f t="shared" si="6"/>
        <v>1521.6737537783699</v>
      </c>
      <c r="J128">
        <v>3622.84</v>
      </c>
      <c r="K128">
        <v>7.8075999999999999</v>
      </c>
      <c r="L128" s="43">
        <f t="shared" si="7"/>
        <v>464.01454992571342</v>
      </c>
      <c r="M128">
        <v>6316.53</v>
      </c>
      <c r="N128">
        <v>7.8075999999999999</v>
      </c>
      <c r="O128" s="43">
        <f t="shared" si="8"/>
        <v>809.02325938828835</v>
      </c>
      <c r="P128">
        <v>3765.11</v>
      </c>
      <c r="Q128">
        <v>7.8075999999999999</v>
      </c>
      <c r="R128" s="43">
        <f t="shared" si="9"/>
        <v>482.23653875710846</v>
      </c>
      <c r="S128"/>
      <c r="U128" s="38"/>
    </row>
    <row r="129" spans="1:21" x14ac:dyDescent="0.3">
      <c r="A129" s="16">
        <v>127</v>
      </c>
      <c r="B129" s="3">
        <v>45490</v>
      </c>
      <c r="C129" s="40">
        <v>5588.27</v>
      </c>
      <c r="D129">
        <v>17739.41</v>
      </c>
      <c r="E129">
        <v>7.8071000000000002</v>
      </c>
      <c r="F129" s="14">
        <f t="shared" si="5"/>
        <v>2272.215035032214</v>
      </c>
      <c r="G129">
        <v>11874.29</v>
      </c>
      <c r="H129">
        <v>7.8071000000000002</v>
      </c>
      <c r="I129" s="14">
        <f t="shared" si="6"/>
        <v>1520.9604078338948</v>
      </c>
      <c r="J129">
        <v>3640.88</v>
      </c>
      <c r="K129">
        <v>7.8071000000000002</v>
      </c>
      <c r="L129" s="43">
        <f t="shared" si="7"/>
        <v>466.35498456533156</v>
      </c>
      <c r="M129">
        <v>6297.49</v>
      </c>
      <c r="N129">
        <v>7.8071000000000002</v>
      </c>
      <c r="O129" s="43">
        <f t="shared" si="8"/>
        <v>806.63626698774192</v>
      </c>
      <c r="P129">
        <v>3720.7</v>
      </c>
      <c r="Q129">
        <v>7.8071000000000002</v>
      </c>
      <c r="R129" s="43">
        <f t="shared" si="9"/>
        <v>476.57901141268843</v>
      </c>
      <c r="S129"/>
      <c r="U129" s="38"/>
    </row>
    <row r="130" spans="1:21" x14ac:dyDescent="0.3">
      <c r="A130" s="16">
        <v>128</v>
      </c>
      <c r="B130" s="3">
        <v>45491</v>
      </c>
      <c r="C130" s="40">
        <v>5544.59</v>
      </c>
      <c r="D130">
        <v>17778.41</v>
      </c>
      <c r="E130">
        <v>7.8101000000000003</v>
      </c>
      <c r="F130" s="14">
        <f t="shared" si="5"/>
        <v>2276.3357703486508</v>
      </c>
      <c r="G130">
        <v>11873.82</v>
      </c>
      <c r="H130">
        <v>7.8101000000000003</v>
      </c>
      <c r="I130" s="14">
        <f t="shared" si="6"/>
        <v>1520.3160010755303</v>
      </c>
      <c r="J130">
        <v>3613.13</v>
      </c>
      <c r="K130">
        <v>7.8101000000000003</v>
      </c>
      <c r="L130" s="43">
        <f t="shared" si="7"/>
        <v>462.62275771116884</v>
      </c>
      <c r="M130">
        <v>6306.8</v>
      </c>
      <c r="N130">
        <v>7.8101000000000003</v>
      </c>
      <c r="O130" s="43">
        <f t="shared" si="8"/>
        <v>807.51846967388383</v>
      </c>
      <c r="P130">
        <v>3762.71</v>
      </c>
      <c r="Q130">
        <v>7.8101000000000003</v>
      </c>
      <c r="R130" s="43">
        <f t="shared" si="9"/>
        <v>481.774881243518</v>
      </c>
      <c r="S130"/>
      <c r="U130" s="38"/>
    </row>
    <row r="131" spans="1:21" x14ac:dyDescent="0.3">
      <c r="A131" s="16">
        <v>129</v>
      </c>
      <c r="B131" s="3">
        <v>45492</v>
      </c>
      <c r="C131" s="40">
        <v>5505</v>
      </c>
      <c r="D131">
        <v>17417.68</v>
      </c>
      <c r="E131">
        <v>7.8101000000000003</v>
      </c>
      <c r="F131" s="14">
        <f t="shared" ref="F131:F194" si="10">D131/E131</f>
        <v>2230.1481415090716</v>
      </c>
      <c r="G131">
        <v>11613.76</v>
      </c>
      <c r="H131">
        <v>7.8101000000000003</v>
      </c>
      <c r="I131" s="14">
        <f t="shared" ref="I131:I194" si="11">G131/H131</f>
        <v>1487.0180919578495</v>
      </c>
      <c r="J131">
        <v>3536.54</v>
      </c>
      <c r="K131">
        <v>7.8101000000000003</v>
      </c>
      <c r="L131" s="43">
        <f t="shared" ref="L131:L194" si="12">J131/K131</f>
        <v>452.81622514436435</v>
      </c>
      <c r="M131">
        <v>6165.04</v>
      </c>
      <c r="N131">
        <v>7.8101000000000003</v>
      </c>
      <c r="O131" s="43">
        <f t="shared" ref="O131:O194" si="13">M131/N131</f>
        <v>789.36761373093816</v>
      </c>
      <c r="P131">
        <v>3662.77</v>
      </c>
      <c r="Q131">
        <v>7.8101000000000003</v>
      </c>
      <c r="R131" s="43">
        <f t="shared" ref="R131:R194" si="14">P131/Q131</f>
        <v>468.97863023520824</v>
      </c>
      <c r="S131"/>
      <c r="U131" s="38"/>
    </row>
    <row r="132" spans="1:21" x14ac:dyDescent="0.3">
      <c r="A132" s="16">
        <v>130</v>
      </c>
      <c r="B132" s="3">
        <v>45495</v>
      </c>
      <c r="C132" s="40">
        <v>5564.41</v>
      </c>
      <c r="D132">
        <v>17635.88</v>
      </c>
      <c r="E132">
        <v>7.8071000000000002</v>
      </c>
      <c r="F132" s="14">
        <f t="shared" si="10"/>
        <v>2258.9540290248619</v>
      </c>
      <c r="G132">
        <v>11796.29</v>
      </c>
      <c r="H132">
        <v>7.8071000000000002</v>
      </c>
      <c r="I132" s="14">
        <f t="shared" si="11"/>
        <v>1510.9695021198654</v>
      </c>
      <c r="J132">
        <v>3610.71</v>
      </c>
      <c r="K132">
        <v>7.8071000000000002</v>
      </c>
      <c r="L132" s="43">
        <f t="shared" si="12"/>
        <v>462.49055347055884</v>
      </c>
      <c r="M132">
        <v>6253.94</v>
      </c>
      <c r="N132">
        <v>7.8071000000000002</v>
      </c>
      <c r="O132" s="43">
        <f t="shared" si="13"/>
        <v>801.05801129740871</v>
      </c>
      <c r="P132">
        <v>3703.58</v>
      </c>
      <c r="Q132">
        <v>7.8071000000000002</v>
      </c>
      <c r="R132" s="43">
        <f t="shared" si="14"/>
        <v>474.38613569699373</v>
      </c>
      <c r="S132"/>
      <c r="U132" s="38"/>
    </row>
    <row r="133" spans="1:21" x14ac:dyDescent="0.3">
      <c r="A133" s="16">
        <v>131</v>
      </c>
      <c r="B133" s="3">
        <v>45496</v>
      </c>
      <c r="C133" s="40">
        <v>5555.74</v>
      </c>
      <c r="D133">
        <v>17469.36</v>
      </c>
      <c r="E133">
        <v>7.8093000000000004</v>
      </c>
      <c r="F133" s="14">
        <f t="shared" si="10"/>
        <v>2236.9943528869426</v>
      </c>
      <c r="G133">
        <v>11682.59</v>
      </c>
      <c r="H133">
        <v>7.8093000000000004</v>
      </c>
      <c r="I133" s="14">
        <f t="shared" si="11"/>
        <v>1495.9842751591052</v>
      </c>
      <c r="J133">
        <v>3545.09</v>
      </c>
      <c r="K133">
        <v>7.8093000000000004</v>
      </c>
      <c r="L133" s="43">
        <f t="shared" si="12"/>
        <v>453.9574609760158</v>
      </c>
      <c r="M133">
        <v>6194.69</v>
      </c>
      <c r="N133">
        <v>7.8093000000000004</v>
      </c>
      <c r="O133" s="43">
        <f t="shared" si="13"/>
        <v>793.24523324753807</v>
      </c>
      <c r="P133">
        <v>3671.09</v>
      </c>
      <c r="Q133">
        <v>7.8093000000000004</v>
      </c>
      <c r="R133" s="43">
        <f t="shared" si="14"/>
        <v>470.09206971175394</v>
      </c>
      <c r="S133"/>
      <c r="U133" s="38"/>
    </row>
    <row r="134" spans="1:21" x14ac:dyDescent="0.3">
      <c r="A134" s="16">
        <v>132</v>
      </c>
      <c r="B134" s="3">
        <v>45497</v>
      </c>
      <c r="C134" s="40">
        <v>5427.13</v>
      </c>
      <c r="D134">
        <v>17311.05</v>
      </c>
      <c r="E134">
        <v>7.8083999999999998</v>
      </c>
      <c r="F134" s="14">
        <f t="shared" si="10"/>
        <v>2216.9778699861686</v>
      </c>
      <c r="G134">
        <v>11618.29</v>
      </c>
      <c r="H134">
        <v>7.8083999999999998</v>
      </c>
      <c r="I134" s="14">
        <f t="shared" si="11"/>
        <v>1487.9219814558683</v>
      </c>
      <c r="J134">
        <v>3491.2</v>
      </c>
      <c r="K134">
        <v>7.8083999999999998</v>
      </c>
      <c r="L134" s="43">
        <f t="shared" si="12"/>
        <v>447.10824240561448</v>
      </c>
      <c r="M134">
        <v>6142.32</v>
      </c>
      <c r="N134">
        <v>7.8083999999999998</v>
      </c>
      <c r="O134" s="43">
        <f t="shared" si="13"/>
        <v>786.62978331028125</v>
      </c>
      <c r="P134">
        <v>3671.99</v>
      </c>
      <c r="Q134">
        <v>7.8083999999999998</v>
      </c>
      <c r="R134" s="43">
        <f t="shared" si="14"/>
        <v>470.26151324214948</v>
      </c>
      <c r="S134"/>
      <c r="U134" s="38"/>
    </row>
    <row r="135" spans="1:21" x14ac:dyDescent="0.3">
      <c r="A135" s="16">
        <v>133</v>
      </c>
      <c r="B135" s="3">
        <v>45498</v>
      </c>
      <c r="C135" s="40">
        <v>5399.22</v>
      </c>
      <c r="D135">
        <v>17004.97</v>
      </c>
      <c r="E135">
        <v>7.8064</v>
      </c>
      <c r="F135" s="14">
        <f t="shared" si="10"/>
        <v>2178.337005533921</v>
      </c>
      <c r="G135">
        <v>11381.17</v>
      </c>
      <c r="H135">
        <v>7.8064</v>
      </c>
      <c r="I135" s="14">
        <f t="shared" si="11"/>
        <v>1457.9281102684977</v>
      </c>
      <c r="J135">
        <v>3421.26</v>
      </c>
      <c r="K135">
        <v>7.8064</v>
      </c>
      <c r="L135" s="43">
        <f t="shared" si="12"/>
        <v>438.26347612215619</v>
      </c>
      <c r="M135">
        <v>6016.51</v>
      </c>
      <c r="N135">
        <v>7.8064</v>
      </c>
      <c r="O135" s="43">
        <f t="shared" si="13"/>
        <v>770.71505431440869</v>
      </c>
      <c r="P135">
        <v>3592.85</v>
      </c>
      <c r="Q135">
        <v>7.8064</v>
      </c>
      <c r="R135" s="43">
        <f t="shared" si="14"/>
        <v>460.24415863906535</v>
      </c>
      <c r="S135"/>
      <c r="U135" s="38"/>
    </row>
    <row r="136" spans="1:21" x14ac:dyDescent="0.3">
      <c r="A136" s="16">
        <v>134</v>
      </c>
      <c r="B136" s="3">
        <v>45499</v>
      </c>
      <c r="C136" s="40">
        <v>5459.1</v>
      </c>
      <c r="D136">
        <v>17021.310000000001</v>
      </c>
      <c r="E136">
        <v>7.8066000000000004</v>
      </c>
      <c r="F136" s="14">
        <f t="shared" si="10"/>
        <v>2180.374298670356</v>
      </c>
      <c r="G136">
        <v>11389.4</v>
      </c>
      <c r="H136">
        <v>7.8066000000000004</v>
      </c>
      <c r="I136" s="14">
        <f t="shared" si="11"/>
        <v>1458.9449952604205</v>
      </c>
      <c r="J136">
        <v>3443.73</v>
      </c>
      <c r="K136">
        <v>7.8066000000000004</v>
      </c>
      <c r="L136" s="43">
        <f t="shared" si="12"/>
        <v>441.13058181538696</v>
      </c>
      <c r="M136">
        <v>6010.64</v>
      </c>
      <c r="N136">
        <v>7.8066000000000004</v>
      </c>
      <c r="O136" s="43">
        <f t="shared" si="13"/>
        <v>769.94338124151363</v>
      </c>
      <c r="P136">
        <v>3574.16</v>
      </c>
      <c r="Q136">
        <v>7.8066000000000004</v>
      </c>
      <c r="R136" s="43">
        <f t="shared" si="14"/>
        <v>457.83823943842384</v>
      </c>
      <c r="S136"/>
      <c r="U136" s="38"/>
    </row>
    <row r="137" spans="1:21" x14ac:dyDescent="0.3">
      <c r="A137" s="16">
        <v>135</v>
      </c>
      <c r="B137" s="3">
        <v>45502</v>
      </c>
      <c r="C137" s="40">
        <v>5463.54</v>
      </c>
      <c r="D137">
        <v>17238.34</v>
      </c>
      <c r="E137">
        <v>7.8098000000000001</v>
      </c>
      <c r="F137" s="14">
        <f t="shared" si="10"/>
        <v>2207.2703526338701</v>
      </c>
      <c r="G137">
        <v>11516.59</v>
      </c>
      <c r="H137">
        <v>7.8098000000000001</v>
      </c>
      <c r="I137" s="14">
        <f t="shared" si="11"/>
        <v>1474.6331532177521</v>
      </c>
      <c r="J137">
        <v>3466.6</v>
      </c>
      <c r="K137">
        <v>7.8098000000000001</v>
      </c>
      <c r="L137" s="43">
        <f t="shared" si="12"/>
        <v>443.87820430740862</v>
      </c>
      <c r="M137">
        <v>6080.56</v>
      </c>
      <c r="N137">
        <v>7.8098000000000001</v>
      </c>
      <c r="O137" s="43">
        <f t="shared" si="13"/>
        <v>778.58075750979538</v>
      </c>
      <c r="P137">
        <v>3579.61</v>
      </c>
      <c r="Q137">
        <v>7.8098000000000001</v>
      </c>
      <c r="R137" s="43">
        <f t="shared" si="14"/>
        <v>458.34848523649777</v>
      </c>
      <c r="S137"/>
      <c r="U137" s="38"/>
    </row>
    <row r="138" spans="1:21" x14ac:dyDescent="0.3">
      <c r="A138" s="16">
        <v>136</v>
      </c>
      <c r="B138" s="3">
        <v>45503</v>
      </c>
      <c r="C138" s="40">
        <v>5436.44</v>
      </c>
      <c r="D138">
        <v>17002.91</v>
      </c>
      <c r="E138">
        <v>7.8132000000000001</v>
      </c>
      <c r="F138" s="14">
        <f t="shared" si="10"/>
        <v>2176.1774944964932</v>
      </c>
      <c r="G138">
        <v>11372.68</v>
      </c>
      <c r="H138">
        <v>7.8132000000000001</v>
      </c>
      <c r="I138" s="14">
        <f t="shared" si="11"/>
        <v>1455.5726206931859</v>
      </c>
      <c r="J138">
        <v>3414.04</v>
      </c>
      <c r="K138">
        <v>7.8132000000000001</v>
      </c>
      <c r="L138" s="43">
        <f t="shared" si="12"/>
        <v>436.95796856601646</v>
      </c>
      <c r="M138">
        <v>5986.69</v>
      </c>
      <c r="N138">
        <v>7.8132000000000001</v>
      </c>
      <c r="O138" s="43">
        <f t="shared" si="13"/>
        <v>766.22766600112618</v>
      </c>
      <c r="P138">
        <v>3522.7</v>
      </c>
      <c r="Q138">
        <v>7.8132000000000001</v>
      </c>
      <c r="R138" s="43">
        <f t="shared" si="14"/>
        <v>450.86520247785796</v>
      </c>
      <c r="S138"/>
      <c r="U138" s="38"/>
    </row>
    <row r="139" spans="1:21" x14ac:dyDescent="0.3">
      <c r="A139" s="16">
        <v>137</v>
      </c>
      <c r="B139" s="3">
        <v>45504</v>
      </c>
      <c r="C139" s="40">
        <v>5522.3</v>
      </c>
      <c r="D139">
        <v>17344.599999999999</v>
      </c>
      <c r="E139">
        <v>7.8120000000000003</v>
      </c>
      <c r="F139" s="14">
        <f t="shared" si="10"/>
        <v>2220.2508960573473</v>
      </c>
      <c r="G139">
        <v>11605.32</v>
      </c>
      <c r="H139">
        <v>7.8120000000000003</v>
      </c>
      <c r="I139" s="14">
        <f t="shared" si="11"/>
        <v>1485.5760368663593</v>
      </c>
      <c r="J139">
        <v>3516.87</v>
      </c>
      <c r="K139">
        <v>7.8120000000000003</v>
      </c>
      <c r="L139" s="43">
        <f t="shared" si="12"/>
        <v>450.1881720430107</v>
      </c>
      <c r="M139">
        <v>6107.16</v>
      </c>
      <c r="N139">
        <v>7.8120000000000003</v>
      </c>
      <c r="O139" s="43">
        <f t="shared" si="13"/>
        <v>781.76651305683561</v>
      </c>
      <c r="P139">
        <v>3569.81</v>
      </c>
      <c r="Q139">
        <v>7.8120000000000003</v>
      </c>
      <c r="R139" s="43">
        <f t="shared" si="14"/>
        <v>456.96492575524832</v>
      </c>
      <c r="S139"/>
      <c r="U139" s="38"/>
    </row>
    <row r="140" spans="1:21" x14ac:dyDescent="0.3">
      <c r="A140" s="16">
        <v>138</v>
      </c>
      <c r="B140" s="3">
        <v>45505</v>
      </c>
      <c r="C140" s="40">
        <v>5446.68</v>
      </c>
      <c r="D140">
        <v>17304.96</v>
      </c>
      <c r="E140">
        <v>7.8147000000000002</v>
      </c>
      <c r="F140" s="14">
        <f t="shared" si="10"/>
        <v>2214.4113017774193</v>
      </c>
      <c r="G140">
        <v>11542.18</v>
      </c>
      <c r="H140">
        <v>7.8147000000000002</v>
      </c>
      <c r="I140" s="14">
        <f t="shared" si="11"/>
        <v>1476.9831215529707</v>
      </c>
      <c r="J140">
        <v>3476.58</v>
      </c>
      <c r="K140">
        <v>7.8147000000000002</v>
      </c>
      <c r="L140" s="43">
        <f t="shared" si="12"/>
        <v>444.87696264731852</v>
      </c>
      <c r="M140">
        <v>6086.4</v>
      </c>
      <c r="N140">
        <v>7.8147000000000002</v>
      </c>
      <c r="O140" s="43">
        <f t="shared" si="13"/>
        <v>778.83987869016073</v>
      </c>
      <c r="P140">
        <v>3563.46</v>
      </c>
      <c r="Q140">
        <v>7.8147000000000002</v>
      </c>
      <c r="R140" s="43">
        <f t="shared" si="14"/>
        <v>455.994471956697</v>
      </c>
      <c r="S140"/>
      <c r="U140" s="38"/>
    </row>
    <row r="141" spans="1:21" x14ac:dyDescent="0.3">
      <c r="A141" s="16">
        <v>139</v>
      </c>
      <c r="B141" s="3">
        <v>45506</v>
      </c>
      <c r="C141" s="40">
        <v>5346.56</v>
      </c>
      <c r="D141">
        <v>16945.509999999998</v>
      </c>
      <c r="E141">
        <v>7.8061999999999996</v>
      </c>
      <c r="F141" s="14">
        <f t="shared" si="10"/>
        <v>2170.7757935999589</v>
      </c>
      <c r="G141">
        <v>11322.44</v>
      </c>
      <c r="H141">
        <v>7.8061999999999996</v>
      </c>
      <c r="I141" s="14">
        <f t="shared" si="11"/>
        <v>1450.441956393636</v>
      </c>
      <c r="J141">
        <v>3385.6</v>
      </c>
      <c r="K141">
        <v>7.8061999999999996</v>
      </c>
      <c r="L141" s="43">
        <f t="shared" si="12"/>
        <v>433.70654095462584</v>
      </c>
      <c r="M141">
        <v>5974.85</v>
      </c>
      <c r="N141">
        <v>7.8061999999999996</v>
      </c>
      <c r="O141" s="43">
        <f t="shared" si="13"/>
        <v>765.39801696087738</v>
      </c>
      <c r="P141">
        <v>3544.48</v>
      </c>
      <c r="Q141">
        <v>7.8061999999999996</v>
      </c>
      <c r="R141" s="43">
        <f t="shared" si="14"/>
        <v>454.05959365632447</v>
      </c>
      <c r="S141"/>
      <c r="U141" s="38"/>
    </row>
    <row r="142" spans="1:21" x14ac:dyDescent="0.3">
      <c r="A142" s="16">
        <v>140</v>
      </c>
      <c r="B142" s="3">
        <v>45509</v>
      </c>
      <c r="C142" s="40">
        <v>5186.33</v>
      </c>
      <c r="D142">
        <v>16698.36</v>
      </c>
      <c r="E142">
        <v>7.7885</v>
      </c>
      <c r="F142" s="14">
        <f t="shared" si="10"/>
        <v>2143.9763754253067</v>
      </c>
      <c r="G142">
        <v>11168.88</v>
      </c>
      <c r="H142">
        <v>7.7885</v>
      </c>
      <c r="I142" s="14">
        <f t="shared" si="11"/>
        <v>1434.0219554471335</v>
      </c>
      <c r="J142">
        <v>3339.42</v>
      </c>
      <c r="K142">
        <v>7.7885</v>
      </c>
      <c r="L142" s="43">
        <f t="shared" si="12"/>
        <v>428.76291968928547</v>
      </c>
      <c r="M142">
        <v>5876.64</v>
      </c>
      <c r="N142">
        <v>7.7885</v>
      </c>
      <c r="O142" s="43">
        <f t="shared" si="13"/>
        <v>754.52782949220011</v>
      </c>
      <c r="P142">
        <v>3463.65</v>
      </c>
      <c r="Q142">
        <v>7.7885</v>
      </c>
      <c r="R142" s="43">
        <f t="shared" si="14"/>
        <v>444.71335944020029</v>
      </c>
      <c r="S142"/>
      <c r="U142" s="38"/>
    </row>
    <row r="143" spans="1:21" x14ac:dyDescent="0.3">
      <c r="A143" s="16">
        <v>141</v>
      </c>
      <c r="B143" s="3">
        <v>45510</v>
      </c>
      <c r="C143" s="40">
        <v>5240.03</v>
      </c>
      <c r="D143">
        <v>16647.34</v>
      </c>
      <c r="E143">
        <v>7.7944000000000004</v>
      </c>
      <c r="F143" s="14">
        <f t="shared" si="10"/>
        <v>2135.8077594170172</v>
      </c>
      <c r="G143">
        <v>11108.4</v>
      </c>
      <c r="H143">
        <v>7.7944000000000004</v>
      </c>
      <c r="I143" s="14">
        <f t="shared" si="11"/>
        <v>1425.1770501898798</v>
      </c>
      <c r="J143">
        <v>3342.52</v>
      </c>
      <c r="K143">
        <v>7.7944000000000004</v>
      </c>
      <c r="L143" s="43">
        <f t="shared" si="12"/>
        <v>428.83608744739809</v>
      </c>
      <c r="M143">
        <v>5852.61</v>
      </c>
      <c r="N143">
        <v>7.7944000000000004</v>
      </c>
      <c r="O143" s="43">
        <f t="shared" si="13"/>
        <v>750.87370419788556</v>
      </c>
      <c r="P143">
        <v>3466.73</v>
      </c>
      <c r="Q143">
        <v>7.7944000000000004</v>
      </c>
      <c r="R143" s="43">
        <f t="shared" si="14"/>
        <v>444.7718875089808</v>
      </c>
      <c r="S143"/>
      <c r="U143" s="38"/>
    </row>
    <row r="144" spans="1:21" x14ac:dyDescent="0.3">
      <c r="A144" s="16">
        <v>142</v>
      </c>
      <c r="B144" s="3">
        <v>45511</v>
      </c>
      <c r="C144" s="40">
        <v>5199.5</v>
      </c>
      <c r="D144">
        <v>16877.86</v>
      </c>
      <c r="E144">
        <v>7.7984</v>
      </c>
      <c r="F144" s="14">
        <f t="shared" si="10"/>
        <v>2164.2721583914649</v>
      </c>
      <c r="G144">
        <v>11277.29</v>
      </c>
      <c r="H144">
        <v>7.7984</v>
      </c>
      <c r="I144" s="14">
        <f t="shared" si="11"/>
        <v>1446.1030467788266</v>
      </c>
      <c r="J144">
        <v>3382.42</v>
      </c>
      <c r="K144">
        <v>7.7984</v>
      </c>
      <c r="L144" s="43">
        <f t="shared" si="12"/>
        <v>433.73256052523595</v>
      </c>
      <c r="M144">
        <v>5933.17</v>
      </c>
      <c r="N144">
        <v>7.7984</v>
      </c>
      <c r="O144" s="43">
        <f t="shared" si="13"/>
        <v>760.818885925318</v>
      </c>
      <c r="P144">
        <v>3524.17</v>
      </c>
      <c r="Q144">
        <v>7.7984</v>
      </c>
      <c r="R144" s="43">
        <f t="shared" si="14"/>
        <v>451.90936602379975</v>
      </c>
      <c r="S144"/>
      <c r="U144" s="38"/>
    </row>
    <row r="145" spans="1:21" x14ac:dyDescent="0.3">
      <c r="A145" s="16">
        <v>143</v>
      </c>
      <c r="B145" s="3">
        <v>45512</v>
      </c>
      <c r="C145" s="40">
        <v>5319.31</v>
      </c>
      <c r="D145">
        <v>16891.830000000002</v>
      </c>
      <c r="E145">
        <v>7.7946</v>
      </c>
      <c r="F145" s="14">
        <f t="shared" si="10"/>
        <v>2167.1195442999001</v>
      </c>
      <c r="G145">
        <v>11266.47</v>
      </c>
      <c r="H145">
        <v>7.7946</v>
      </c>
      <c r="I145" s="14">
        <f t="shared" si="11"/>
        <v>1445.4199060888307</v>
      </c>
      <c r="J145">
        <v>3366.68</v>
      </c>
      <c r="K145">
        <v>7.7946</v>
      </c>
      <c r="L145" s="43">
        <f t="shared" si="12"/>
        <v>431.92466579426781</v>
      </c>
      <c r="M145">
        <v>5941.47</v>
      </c>
      <c r="N145">
        <v>7.7946</v>
      </c>
      <c r="O145" s="43">
        <f t="shared" si="13"/>
        <v>762.25463782618738</v>
      </c>
      <c r="P145">
        <v>3523.18</v>
      </c>
      <c r="Q145">
        <v>7.7946</v>
      </c>
      <c r="R145" s="43">
        <f t="shared" si="14"/>
        <v>452.00266851409947</v>
      </c>
      <c r="S145"/>
      <c r="U145" s="38"/>
    </row>
    <row r="146" spans="1:21" x14ac:dyDescent="0.3">
      <c r="A146" s="16">
        <v>144</v>
      </c>
      <c r="B146" s="3">
        <v>45513</v>
      </c>
      <c r="C146" s="40">
        <v>5344.16</v>
      </c>
      <c r="D146">
        <v>17090.23</v>
      </c>
      <c r="E146">
        <v>7.7975000000000003</v>
      </c>
      <c r="F146" s="14">
        <f t="shared" si="10"/>
        <v>2191.7576146200704</v>
      </c>
      <c r="G146">
        <v>11438.88</v>
      </c>
      <c r="H146">
        <v>7.7975000000000003</v>
      </c>
      <c r="I146" s="14">
        <f t="shared" si="11"/>
        <v>1466.9932670727796</v>
      </c>
      <c r="J146">
        <v>3436.8</v>
      </c>
      <c r="K146">
        <v>7.7975000000000003</v>
      </c>
      <c r="L146" s="43">
        <f t="shared" si="12"/>
        <v>440.75665277332479</v>
      </c>
      <c r="M146">
        <v>6017.85</v>
      </c>
      <c r="N146">
        <v>7.7975000000000003</v>
      </c>
      <c r="O146" s="43">
        <f t="shared" si="13"/>
        <v>771.76659185636424</v>
      </c>
      <c r="P146">
        <v>3554.56</v>
      </c>
      <c r="Q146">
        <v>7.7975000000000003</v>
      </c>
      <c r="R146" s="43">
        <f t="shared" si="14"/>
        <v>455.85892914395635</v>
      </c>
      <c r="S146"/>
      <c r="U146" s="38"/>
    </row>
    <row r="147" spans="1:21" x14ac:dyDescent="0.3">
      <c r="A147" s="16">
        <v>145</v>
      </c>
      <c r="B147" s="3">
        <v>45516</v>
      </c>
      <c r="C147" s="40">
        <v>5344.39</v>
      </c>
      <c r="D147">
        <v>17111.650000000001</v>
      </c>
      <c r="E147">
        <v>7.7907999999999999</v>
      </c>
      <c r="F147" s="14">
        <f t="shared" si="10"/>
        <v>2196.3918981362635</v>
      </c>
      <c r="G147">
        <v>11487.79</v>
      </c>
      <c r="H147">
        <v>7.7907999999999999</v>
      </c>
      <c r="I147" s="14">
        <f t="shared" si="11"/>
        <v>1474.5327822559943</v>
      </c>
      <c r="J147">
        <v>3429.84</v>
      </c>
      <c r="K147">
        <v>7.7907999999999999</v>
      </c>
      <c r="L147" s="43">
        <f t="shared" si="12"/>
        <v>440.24233711557224</v>
      </c>
      <c r="M147">
        <v>6029.66</v>
      </c>
      <c r="N147">
        <v>7.7907999999999999</v>
      </c>
      <c r="O147" s="43">
        <f t="shared" si="13"/>
        <v>773.94619294552547</v>
      </c>
      <c r="P147">
        <v>3537.68</v>
      </c>
      <c r="Q147">
        <v>7.7907999999999999</v>
      </c>
      <c r="R147" s="43">
        <f t="shared" si="14"/>
        <v>454.08430456435792</v>
      </c>
      <c r="S147"/>
      <c r="U147" s="38"/>
    </row>
    <row r="148" spans="1:21" x14ac:dyDescent="0.3">
      <c r="A148" s="16">
        <v>146</v>
      </c>
      <c r="B148" s="3">
        <v>45517</v>
      </c>
      <c r="C148" s="40">
        <v>5434.43</v>
      </c>
      <c r="D148">
        <v>17174.060000000001</v>
      </c>
      <c r="E148">
        <v>7.7881</v>
      </c>
      <c r="F148" s="14">
        <f t="shared" si="10"/>
        <v>2205.166857128183</v>
      </c>
      <c r="G148">
        <v>11517.21</v>
      </c>
      <c r="H148">
        <v>7.7881</v>
      </c>
      <c r="I148" s="14">
        <f t="shared" si="11"/>
        <v>1478.8215354194219</v>
      </c>
      <c r="J148">
        <v>3429.69</v>
      </c>
      <c r="K148">
        <v>7.7881</v>
      </c>
      <c r="L148" s="43">
        <f t="shared" si="12"/>
        <v>440.37570139058306</v>
      </c>
      <c r="M148">
        <v>6049.41</v>
      </c>
      <c r="N148">
        <v>7.7881</v>
      </c>
      <c r="O148" s="43">
        <f t="shared" si="13"/>
        <v>776.75042693339833</v>
      </c>
      <c r="P148">
        <v>3556.71</v>
      </c>
      <c r="Q148">
        <v>7.7881</v>
      </c>
      <c r="R148" s="43">
        <f t="shared" si="14"/>
        <v>456.68519921418573</v>
      </c>
      <c r="S148"/>
      <c r="U148" s="38"/>
    </row>
    <row r="149" spans="1:21" x14ac:dyDescent="0.3">
      <c r="A149" s="16">
        <v>147</v>
      </c>
      <c r="B149" s="3">
        <v>45518</v>
      </c>
      <c r="C149" s="40">
        <v>5455.21</v>
      </c>
      <c r="D149">
        <v>17113.36</v>
      </c>
      <c r="E149">
        <v>7.7919999999999998</v>
      </c>
      <c r="F149" s="14">
        <f t="shared" si="10"/>
        <v>2196.2731006160166</v>
      </c>
      <c r="G149">
        <v>11438.72</v>
      </c>
      <c r="H149">
        <v>7.7919999999999998</v>
      </c>
      <c r="I149" s="14">
        <f t="shared" si="11"/>
        <v>1468.0082135523614</v>
      </c>
      <c r="J149">
        <v>3395.7</v>
      </c>
      <c r="K149">
        <v>7.7919999999999998</v>
      </c>
      <c r="L149" s="43">
        <f t="shared" si="12"/>
        <v>435.79312114989733</v>
      </c>
      <c r="M149">
        <v>6025.16</v>
      </c>
      <c r="N149">
        <v>7.7919999999999998</v>
      </c>
      <c r="O149" s="43">
        <f t="shared" si="13"/>
        <v>773.24948665297745</v>
      </c>
      <c r="P149">
        <v>3546.65</v>
      </c>
      <c r="Q149">
        <v>7.7919999999999998</v>
      </c>
      <c r="R149" s="43">
        <f t="shared" si="14"/>
        <v>455.16555441478442</v>
      </c>
      <c r="S149"/>
      <c r="U149" s="38"/>
    </row>
    <row r="150" spans="1:21" x14ac:dyDescent="0.3">
      <c r="A150" s="16">
        <v>148</v>
      </c>
      <c r="B150" s="3">
        <v>45519</v>
      </c>
      <c r="C150" s="40">
        <v>5543.22</v>
      </c>
      <c r="D150">
        <v>17109.14</v>
      </c>
      <c r="E150">
        <v>7.7968000000000002</v>
      </c>
      <c r="F150" s="14">
        <f t="shared" si="10"/>
        <v>2194.3797455366303</v>
      </c>
      <c r="G150">
        <v>11461.95</v>
      </c>
      <c r="H150">
        <v>7.7968000000000002</v>
      </c>
      <c r="I150" s="14">
        <f t="shared" si="11"/>
        <v>1470.0838805663864</v>
      </c>
      <c r="J150">
        <v>3384.38</v>
      </c>
      <c r="K150">
        <v>7.7968000000000002</v>
      </c>
      <c r="L150" s="43">
        <f t="shared" si="12"/>
        <v>434.07295300636162</v>
      </c>
      <c r="M150">
        <v>6035.27</v>
      </c>
      <c r="N150">
        <v>7.7968000000000002</v>
      </c>
      <c r="O150" s="43">
        <f t="shared" si="13"/>
        <v>774.07013133593273</v>
      </c>
      <c r="P150">
        <v>3558.66</v>
      </c>
      <c r="Q150">
        <v>7.7968000000000002</v>
      </c>
      <c r="R150" s="43">
        <f t="shared" si="14"/>
        <v>456.42571311307199</v>
      </c>
      <c r="S150"/>
      <c r="U150" s="38"/>
    </row>
    <row r="151" spans="1:21" x14ac:dyDescent="0.3">
      <c r="A151" s="16">
        <v>149</v>
      </c>
      <c r="B151" s="3">
        <v>45520</v>
      </c>
      <c r="C151" s="40">
        <v>5554.25</v>
      </c>
      <c r="D151">
        <v>17430.16</v>
      </c>
      <c r="E151">
        <v>7.7942999999999998</v>
      </c>
      <c r="F151" s="14">
        <f t="shared" si="10"/>
        <v>2236.2700948128763</v>
      </c>
      <c r="G151">
        <v>11720.1</v>
      </c>
      <c r="H151">
        <v>7.7942999999999998</v>
      </c>
      <c r="I151" s="14">
        <f t="shared" si="11"/>
        <v>1503.6757630576192</v>
      </c>
      <c r="J151">
        <v>3459.09</v>
      </c>
      <c r="K151">
        <v>7.7942999999999998</v>
      </c>
      <c r="L151" s="43">
        <f t="shared" si="12"/>
        <v>443.79739040067744</v>
      </c>
      <c r="M151">
        <v>6161.9</v>
      </c>
      <c r="N151">
        <v>7.7942999999999998</v>
      </c>
      <c r="O151" s="43">
        <f t="shared" si="13"/>
        <v>790.56489999101905</v>
      </c>
      <c r="P151">
        <v>3585.6</v>
      </c>
      <c r="Q151">
        <v>7.7942999999999998</v>
      </c>
      <c r="R151" s="43">
        <f t="shared" si="14"/>
        <v>460.02848235248837</v>
      </c>
      <c r="S151"/>
      <c r="U151" s="38"/>
    </row>
    <row r="152" spans="1:21" x14ac:dyDescent="0.3">
      <c r="A152" s="16">
        <v>150</v>
      </c>
      <c r="B152" s="3">
        <v>45523</v>
      </c>
      <c r="C152" s="40">
        <v>5608.25</v>
      </c>
      <c r="D152">
        <v>17569.57</v>
      </c>
      <c r="E152">
        <v>7.7882999999999996</v>
      </c>
      <c r="F152" s="14">
        <f t="shared" si="10"/>
        <v>2255.8928135793435</v>
      </c>
      <c r="G152">
        <v>11847.63</v>
      </c>
      <c r="H152">
        <v>7.7882999999999996</v>
      </c>
      <c r="I152" s="14">
        <f t="shared" si="11"/>
        <v>1521.2087361811948</v>
      </c>
      <c r="J152">
        <v>3517.09</v>
      </c>
      <c r="K152">
        <v>7.7882999999999996</v>
      </c>
      <c r="L152" s="43">
        <f t="shared" si="12"/>
        <v>451.58635388980912</v>
      </c>
      <c r="M152">
        <v>6225.86</v>
      </c>
      <c r="N152">
        <v>7.7882999999999996</v>
      </c>
      <c r="O152" s="43">
        <f t="shared" si="13"/>
        <v>799.38625887549279</v>
      </c>
      <c r="P152">
        <v>3611.02</v>
      </c>
      <c r="Q152">
        <v>7.7882999999999996</v>
      </c>
      <c r="R152" s="43">
        <f t="shared" si="14"/>
        <v>463.64675217955141</v>
      </c>
      <c r="S152"/>
      <c r="U152" s="38"/>
    </row>
    <row r="153" spans="1:21" x14ac:dyDescent="0.3">
      <c r="A153" s="16">
        <v>151</v>
      </c>
      <c r="B153" s="3">
        <v>45524</v>
      </c>
      <c r="C153" s="40">
        <v>5597.12</v>
      </c>
      <c r="D153">
        <v>17511.080000000002</v>
      </c>
      <c r="E153">
        <v>7.7880000000000003</v>
      </c>
      <c r="F153" s="14">
        <f t="shared" si="10"/>
        <v>2248.4694401643555</v>
      </c>
      <c r="G153">
        <v>11812.44</v>
      </c>
      <c r="H153">
        <v>7.7880000000000003</v>
      </c>
      <c r="I153" s="14">
        <f t="shared" si="11"/>
        <v>1516.748844375963</v>
      </c>
      <c r="J153">
        <v>3498.08</v>
      </c>
      <c r="K153">
        <v>7.7880000000000003</v>
      </c>
      <c r="L153" s="43">
        <f t="shared" si="12"/>
        <v>449.16281458654339</v>
      </c>
      <c r="M153">
        <v>6195.58</v>
      </c>
      <c r="N153">
        <v>7.7880000000000003</v>
      </c>
      <c r="O153" s="43">
        <f t="shared" si="13"/>
        <v>795.52901900359529</v>
      </c>
      <c r="P153">
        <v>3576.8</v>
      </c>
      <c r="Q153">
        <v>7.7880000000000003</v>
      </c>
      <c r="R153" s="43">
        <f t="shared" si="14"/>
        <v>459.27067282999485</v>
      </c>
      <c r="S153"/>
      <c r="U153" s="38"/>
    </row>
    <row r="154" spans="1:21" x14ac:dyDescent="0.3">
      <c r="A154" s="16">
        <v>152</v>
      </c>
      <c r="B154" s="3">
        <v>45525</v>
      </c>
      <c r="C154" s="40">
        <v>5620.85</v>
      </c>
      <c r="D154">
        <v>17391.009999999998</v>
      </c>
      <c r="E154">
        <v>7.7937000000000003</v>
      </c>
      <c r="F154" s="14">
        <f t="shared" si="10"/>
        <v>2231.4189666012289</v>
      </c>
      <c r="G154">
        <v>11680.38</v>
      </c>
      <c r="H154">
        <v>7.7937000000000003</v>
      </c>
      <c r="I154" s="14">
        <f t="shared" si="11"/>
        <v>1498.6950998883713</v>
      </c>
      <c r="J154">
        <v>3434.39</v>
      </c>
      <c r="K154">
        <v>7.7937000000000003</v>
      </c>
      <c r="L154" s="43">
        <f t="shared" si="12"/>
        <v>440.66232983050412</v>
      </c>
      <c r="M154">
        <v>6141.78</v>
      </c>
      <c r="N154">
        <v>7.7937000000000003</v>
      </c>
      <c r="O154" s="43">
        <f t="shared" si="13"/>
        <v>788.04418953770346</v>
      </c>
      <c r="P154">
        <v>3564.8</v>
      </c>
      <c r="Q154">
        <v>7.7937000000000003</v>
      </c>
      <c r="R154" s="43">
        <f t="shared" si="14"/>
        <v>457.39507550970654</v>
      </c>
      <c r="S154"/>
      <c r="U154" s="38"/>
    </row>
    <row r="155" spans="1:21" x14ac:dyDescent="0.3">
      <c r="A155" s="16">
        <v>153</v>
      </c>
      <c r="B155" s="3">
        <v>45526</v>
      </c>
      <c r="C155" s="40">
        <v>5570.64</v>
      </c>
      <c r="D155">
        <v>17641</v>
      </c>
      <c r="E155">
        <v>7.7965</v>
      </c>
      <c r="F155" s="14">
        <f t="shared" si="10"/>
        <v>2262.6819726800486</v>
      </c>
      <c r="G155">
        <v>11879.51</v>
      </c>
      <c r="H155">
        <v>7.7965</v>
      </c>
      <c r="I155" s="14">
        <f t="shared" si="11"/>
        <v>1523.6978131212725</v>
      </c>
      <c r="J155">
        <v>3508.61</v>
      </c>
      <c r="K155">
        <v>7.7965</v>
      </c>
      <c r="L155" s="43">
        <f t="shared" si="12"/>
        <v>450.02372859616497</v>
      </c>
      <c r="M155">
        <v>6224.24</v>
      </c>
      <c r="N155">
        <v>7.7965</v>
      </c>
      <c r="O155" s="43">
        <f t="shared" si="13"/>
        <v>798.33771564163408</v>
      </c>
      <c r="P155">
        <v>3556.4</v>
      </c>
      <c r="Q155">
        <v>7.7965</v>
      </c>
      <c r="R155" s="43">
        <f t="shared" si="14"/>
        <v>456.15340216763934</v>
      </c>
      <c r="S155"/>
      <c r="U155" s="38"/>
    </row>
    <row r="156" spans="1:21" x14ac:dyDescent="0.3">
      <c r="A156" s="16">
        <v>154</v>
      </c>
      <c r="B156" s="3">
        <v>45527</v>
      </c>
      <c r="C156" s="40">
        <v>5634.61</v>
      </c>
      <c r="D156">
        <v>17612.099999999999</v>
      </c>
      <c r="E156">
        <v>7.7953999999999999</v>
      </c>
      <c r="F156" s="14">
        <f t="shared" si="10"/>
        <v>2259.2939425815221</v>
      </c>
      <c r="G156">
        <v>11823.23</v>
      </c>
      <c r="H156">
        <v>7.7953999999999999</v>
      </c>
      <c r="I156" s="14">
        <f t="shared" si="11"/>
        <v>1516.6931780280679</v>
      </c>
      <c r="J156">
        <v>3468.94</v>
      </c>
      <c r="K156">
        <v>7.7953999999999999</v>
      </c>
      <c r="L156" s="43">
        <f t="shared" si="12"/>
        <v>444.99833234984737</v>
      </c>
      <c r="M156">
        <v>6219.24</v>
      </c>
      <c r="N156">
        <v>7.7953999999999999</v>
      </c>
      <c r="O156" s="43">
        <f t="shared" si="13"/>
        <v>797.80896426097445</v>
      </c>
      <c r="P156">
        <v>3544.67</v>
      </c>
      <c r="Q156">
        <v>7.7953999999999999</v>
      </c>
      <c r="R156" s="43">
        <f t="shared" si="14"/>
        <v>454.71303589296252</v>
      </c>
      <c r="S156"/>
      <c r="U156" s="38"/>
    </row>
    <row r="157" spans="1:21" x14ac:dyDescent="0.3">
      <c r="A157" s="16">
        <v>155</v>
      </c>
      <c r="B157" s="3">
        <v>45530</v>
      </c>
      <c r="C157" s="40">
        <v>5616.84</v>
      </c>
      <c r="D157">
        <v>17798.73</v>
      </c>
      <c r="E157">
        <v>7.7958999999999996</v>
      </c>
      <c r="F157" s="14">
        <f t="shared" si="10"/>
        <v>2283.0885465436959</v>
      </c>
      <c r="G157">
        <v>11929.61</v>
      </c>
      <c r="H157">
        <v>7.7958999999999996</v>
      </c>
      <c r="I157" s="14">
        <f t="shared" si="11"/>
        <v>1530.2415372182816</v>
      </c>
      <c r="J157">
        <v>3502.96</v>
      </c>
      <c r="K157">
        <v>7.7958999999999996</v>
      </c>
      <c r="L157" s="43">
        <f t="shared" si="12"/>
        <v>449.3336240844547</v>
      </c>
      <c r="M157">
        <v>6278.63</v>
      </c>
      <c r="N157">
        <v>7.7958999999999996</v>
      </c>
      <c r="O157" s="43">
        <f t="shared" si="13"/>
        <v>805.37590271809552</v>
      </c>
      <c r="P157">
        <v>3558.87</v>
      </c>
      <c r="Q157">
        <v>7.7958999999999996</v>
      </c>
      <c r="R157" s="43">
        <f t="shared" si="14"/>
        <v>456.5053425518542</v>
      </c>
      <c r="S157"/>
      <c r="U157" s="38"/>
    </row>
    <row r="158" spans="1:21" x14ac:dyDescent="0.3">
      <c r="A158" s="16">
        <v>156</v>
      </c>
      <c r="B158" s="3">
        <v>45531</v>
      </c>
      <c r="C158" s="40">
        <v>5625.8</v>
      </c>
      <c r="D158">
        <v>17874.669999999998</v>
      </c>
      <c r="E158">
        <v>7.8010999999999999</v>
      </c>
      <c r="F158" s="14">
        <f t="shared" si="10"/>
        <v>2291.3012267500735</v>
      </c>
      <c r="G158">
        <v>11968.33</v>
      </c>
      <c r="H158">
        <v>7.8010999999999999</v>
      </c>
      <c r="I158" s="14">
        <f t="shared" si="11"/>
        <v>1534.184922639115</v>
      </c>
      <c r="J158">
        <v>3501.29</v>
      </c>
      <c r="K158">
        <v>7.8010999999999999</v>
      </c>
      <c r="L158" s="43">
        <f t="shared" si="12"/>
        <v>448.82003819974108</v>
      </c>
      <c r="M158">
        <v>6306.36</v>
      </c>
      <c r="N158">
        <v>7.8010999999999999</v>
      </c>
      <c r="O158" s="43">
        <f t="shared" si="13"/>
        <v>808.39368806963114</v>
      </c>
      <c r="P158">
        <v>3621.12</v>
      </c>
      <c r="Q158">
        <v>7.8010999999999999</v>
      </c>
      <c r="R158" s="43">
        <f t="shared" si="14"/>
        <v>464.18069246644706</v>
      </c>
      <c r="S158"/>
      <c r="U158" s="38"/>
    </row>
    <row r="159" spans="1:21" x14ac:dyDescent="0.3">
      <c r="A159" s="16">
        <v>157</v>
      </c>
      <c r="B159" s="3">
        <v>45532</v>
      </c>
      <c r="C159" s="40">
        <v>5592.18</v>
      </c>
      <c r="D159">
        <v>17692.45</v>
      </c>
      <c r="E159">
        <v>7.8007</v>
      </c>
      <c r="F159" s="14">
        <f t="shared" si="10"/>
        <v>2268.0592767315757</v>
      </c>
      <c r="G159">
        <v>11813.57</v>
      </c>
      <c r="H159">
        <v>7.8007</v>
      </c>
      <c r="I159" s="14">
        <f t="shared" si="11"/>
        <v>1514.4243465330035</v>
      </c>
      <c r="J159">
        <v>3445.46</v>
      </c>
      <c r="K159">
        <v>7.8007</v>
      </c>
      <c r="L159" s="43">
        <f t="shared" si="12"/>
        <v>441.68600253823377</v>
      </c>
      <c r="M159">
        <v>6225.99</v>
      </c>
      <c r="N159">
        <v>7.8007</v>
      </c>
      <c r="O159" s="43">
        <f t="shared" si="13"/>
        <v>798.13221890343175</v>
      </c>
      <c r="P159">
        <v>3560.61</v>
      </c>
      <c r="Q159">
        <v>7.8007</v>
      </c>
      <c r="R159" s="43">
        <f t="shared" si="14"/>
        <v>456.44749830143451</v>
      </c>
      <c r="S159"/>
      <c r="U159" s="38"/>
    </row>
    <row r="160" spans="1:21" x14ac:dyDescent="0.3">
      <c r="A160" s="16">
        <v>158</v>
      </c>
      <c r="B160" s="3">
        <v>45533</v>
      </c>
      <c r="C160" s="40">
        <v>5591.96</v>
      </c>
      <c r="D160">
        <v>17786.32</v>
      </c>
      <c r="E160">
        <v>7.7975000000000003</v>
      </c>
      <c r="F160" s="14">
        <f t="shared" si="10"/>
        <v>2281.0285347867907</v>
      </c>
      <c r="G160">
        <v>11836.74</v>
      </c>
      <c r="H160">
        <v>7.7975000000000003</v>
      </c>
      <c r="I160" s="14">
        <f t="shared" si="11"/>
        <v>1518.0173132414234</v>
      </c>
      <c r="J160">
        <v>3461.22</v>
      </c>
      <c r="K160">
        <v>7.7975000000000003</v>
      </c>
      <c r="L160" s="43">
        <f t="shared" si="12"/>
        <v>443.88842577749273</v>
      </c>
      <c r="M160">
        <v>6247.13</v>
      </c>
      <c r="N160">
        <v>7.7975000000000003</v>
      </c>
      <c r="O160" s="43">
        <f t="shared" si="13"/>
        <v>801.17088810516191</v>
      </c>
      <c r="P160">
        <v>3576.95</v>
      </c>
      <c r="Q160">
        <v>7.7975000000000003</v>
      </c>
      <c r="R160" s="43">
        <f t="shared" si="14"/>
        <v>458.73036229560751</v>
      </c>
      <c r="S160"/>
      <c r="U160" s="38"/>
    </row>
    <row r="161" spans="1:21" x14ac:dyDescent="0.3">
      <c r="A161" s="16">
        <v>159</v>
      </c>
      <c r="B161" s="3">
        <v>45534</v>
      </c>
      <c r="C161" s="40">
        <v>5648.4</v>
      </c>
      <c r="D161">
        <v>17989.07</v>
      </c>
      <c r="E161">
        <v>7.7972999999999999</v>
      </c>
      <c r="F161" s="14">
        <f t="shared" si="10"/>
        <v>2307.0896335911148</v>
      </c>
      <c r="G161">
        <v>11984.28</v>
      </c>
      <c r="H161">
        <v>7.7972999999999999</v>
      </c>
      <c r="I161" s="14">
        <f t="shared" si="11"/>
        <v>1536.978184756262</v>
      </c>
      <c r="J161">
        <v>3560.61</v>
      </c>
      <c r="K161">
        <v>7.7972999999999999</v>
      </c>
      <c r="L161" s="43">
        <f t="shared" si="12"/>
        <v>456.6465314916702</v>
      </c>
      <c r="M161">
        <v>6331.14</v>
      </c>
      <c r="N161">
        <v>7.7972999999999999</v>
      </c>
      <c r="O161" s="43">
        <f t="shared" si="13"/>
        <v>811.96568042784043</v>
      </c>
      <c r="P161">
        <v>3620.96</v>
      </c>
      <c r="Q161">
        <v>7.7972999999999999</v>
      </c>
      <c r="R161" s="43">
        <f t="shared" si="14"/>
        <v>464.38639016069664</v>
      </c>
      <c r="S161"/>
      <c r="U161" s="38"/>
    </row>
    <row r="162" spans="1:21" x14ac:dyDescent="0.3">
      <c r="A162" s="16">
        <v>160</v>
      </c>
      <c r="B162" s="3">
        <v>45538</v>
      </c>
      <c r="C162" s="40">
        <v>5528.93</v>
      </c>
      <c r="D162">
        <v>17651.490000000002</v>
      </c>
      <c r="E162">
        <v>7.7986000000000004</v>
      </c>
      <c r="F162" s="14">
        <f t="shared" si="10"/>
        <v>2263.417792937194</v>
      </c>
      <c r="G162">
        <v>11747.92</v>
      </c>
      <c r="H162">
        <v>7.7986000000000004</v>
      </c>
      <c r="I162" s="14">
        <f t="shared" si="11"/>
        <v>1506.4139717385171</v>
      </c>
      <c r="J162">
        <v>3496.49</v>
      </c>
      <c r="K162">
        <v>7.7986000000000004</v>
      </c>
      <c r="L162" s="43">
        <f t="shared" si="12"/>
        <v>448.34842151155328</v>
      </c>
      <c r="M162">
        <v>6203.55</v>
      </c>
      <c r="N162">
        <v>7.7986000000000004</v>
      </c>
      <c r="O162" s="43">
        <f t="shared" si="13"/>
        <v>795.4696996896879</v>
      </c>
      <c r="P162">
        <v>3576.35</v>
      </c>
      <c r="Q162">
        <v>7.7986000000000004</v>
      </c>
      <c r="R162" s="43">
        <f t="shared" si="14"/>
        <v>458.58872105249657</v>
      </c>
      <c r="S162"/>
      <c r="U162" s="38"/>
    </row>
    <row r="163" spans="1:21" x14ac:dyDescent="0.3">
      <c r="A163" s="16">
        <v>161</v>
      </c>
      <c r="B163" s="3">
        <v>45539</v>
      </c>
      <c r="C163" s="40">
        <v>5520.07</v>
      </c>
      <c r="D163">
        <v>17457.34</v>
      </c>
      <c r="E163">
        <v>7.7967000000000004</v>
      </c>
      <c r="F163" s="14">
        <f t="shared" si="10"/>
        <v>2239.0678107404415</v>
      </c>
      <c r="G163">
        <v>11660.53</v>
      </c>
      <c r="H163">
        <v>7.7967000000000004</v>
      </c>
      <c r="I163" s="14">
        <f t="shared" si="11"/>
        <v>1495.5724857952723</v>
      </c>
      <c r="J163">
        <v>3482.84</v>
      </c>
      <c r="K163">
        <v>7.7967000000000004</v>
      </c>
      <c r="L163" s="43">
        <f t="shared" si="12"/>
        <v>446.70694011568997</v>
      </c>
      <c r="M163">
        <v>6133.98</v>
      </c>
      <c r="N163">
        <v>7.7967000000000004</v>
      </c>
      <c r="O163" s="43">
        <f t="shared" si="13"/>
        <v>786.74054407633992</v>
      </c>
      <c r="P163">
        <v>3513.37</v>
      </c>
      <c r="Q163">
        <v>7.7967000000000004</v>
      </c>
      <c r="R163" s="43">
        <f t="shared" si="14"/>
        <v>450.62269934715965</v>
      </c>
      <c r="S163"/>
      <c r="U163" s="38"/>
    </row>
    <row r="164" spans="1:21" x14ac:dyDescent="0.3">
      <c r="A164" s="16">
        <v>162</v>
      </c>
      <c r="B164" s="3">
        <v>45540</v>
      </c>
      <c r="C164" s="40">
        <v>5503.41</v>
      </c>
      <c r="D164">
        <v>17444.3</v>
      </c>
      <c r="E164">
        <v>7.7930000000000001</v>
      </c>
      <c r="F164" s="14">
        <f t="shared" si="10"/>
        <v>2238.4575901450016</v>
      </c>
      <c r="G164">
        <v>11611.16</v>
      </c>
      <c r="H164">
        <v>7.7930000000000001</v>
      </c>
      <c r="I164" s="14">
        <f t="shared" si="11"/>
        <v>1489.9473886821506</v>
      </c>
      <c r="J164">
        <v>3487.8</v>
      </c>
      <c r="K164">
        <v>7.7930000000000001</v>
      </c>
      <c r="L164" s="43">
        <f t="shared" si="12"/>
        <v>447.5554985243167</v>
      </c>
      <c r="M164">
        <v>6105.54</v>
      </c>
      <c r="N164">
        <v>7.7930000000000001</v>
      </c>
      <c r="O164" s="43">
        <f t="shared" si="13"/>
        <v>783.46464776081098</v>
      </c>
      <c r="P164">
        <v>3513.59</v>
      </c>
      <c r="Q164">
        <v>7.7930000000000001</v>
      </c>
      <c r="R164" s="43">
        <f t="shared" si="14"/>
        <v>450.86487873732835</v>
      </c>
      <c r="S164"/>
      <c r="U164" s="38"/>
    </row>
    <row r="165" spans="1:21" x14ac:dyDescent="0.3">
      <c r="A165" s="16">
        <v>163</v>
      </c>
      <c r="B165" s="3">
        <v>45541</v>
      </c>
      <c r="C165" s="40">
        <v>5408.42</v>
      </c>
      <c r="D165">
        <v>17196.96</v>
      </c>
      <c r="E165">
        <v>7.7953999999999999</v>
      </c>
      <c r="F165" s="14">
        <f t="shared" si="10"/>
        <v>2206.0394591682275</v>
      </c>
      <c r="G165">
        <v>11610.22</v>
      </c>
      <c r="H165">
        <v>7.7953999999999999</v>
      </c>
      <c r="I165" s="14">
        <f t="shared" si="11"/>
        <v>1489.368088872925</v>
      </c>
      <c r="J165">
        <v>3436.75</v>
      </c>
      <c r="K165">
        <v>7.7953999999999999</v>
      </c>
      <c r="L165" s="43">
        <f t="shared" si="12"/>
        <v>440.86897401031376</v>
      </c>
      <c r="M165">
        <v>6002.91</v>
      </c>
      <c r="N165">
        <v>7.7953999999999999</v>
      </c>
      <c r="O165" s="43">
        <f t="shared" si="13"/>
        <v>770.05798291299993</v>
      </c>
      <c r="P165">
        <v>3425.1</v>
      </c>
      <c r="Q165">
        <v>7.7953999999999999</v>
      </c>
      <c r="R165" s="43">
        <f t="shared" si="14"/>
        <v>439.37450291197371</v>
      </c>
      <c r="S165"/>
      <c r="U165" s="38"/>
    </row>
    <row r="166" spans="1:21" x14ac:dyDescent="0.3">
      <c r="A166" s="16">
        <v>164</v>
      </c>
      <c r="B166" s="3">
        <v>45544</v>
      </c>
      <c r="C166" s="40">
        <v>5471.05</v>
      </c>
      <c r="D166">
        <v>17234.09</v>
      </c>
      <c r="E166">
        <v>7.7965</v>
      </c>
      <c r="F166" s="14">
        <f t="shared" si="10"/>
        <v>2210.4906047585455</v>
      </c>
      <c r="G166">
        <v>11417.44</v>
      </c>
      <c r="H166">
        <v>7.7965</v>
      </c>
      <c r="I166" s="14">
        <f t="shared" si="11"/>
        <v>1464.4314756621561</v>
      </c>
      <c r="J166">
        <v>3450.73</v>
      </c>
      <c r="K166">
        <v>7.7965</v>
      </c>
      <c r="L166" s="43">
        <f t="shared" si="12"/>
        <v>442.59988456358622</v>
      </c>
      <c r="M166">
        <v>6026.34</v>
      </c>
      <c r="N166">
        <v>7.7965</v>
      </c>
      <c r="O166" s="43">
        <f t="shared" si="13"/>
        <v>772.95453087924068</v>
      </c>
      <c r="P166">
        <v>3390.18</v>
      </c>
      <c r="Q166">
        <v>7.7965</v>
      </c>
      <c r="R166" s="43">
        <f t="shared" si="14"/>
        <v>434.83357917014041</v>
      </c>
      <c r="S166"/>
      <c r="U166" s="38"/>
    </row>
    <row r="167" spans="1:21" x14ac:dyDescent="0.3">
      <c r="A167" s="16">
        <v>165</v>
      </c>
      <c r="B167" s="3">
        <v>45545</v>
      </c>
      <c r="C167" s="40">
        <v>5495.52</v>
      </c>
      <c r="D167">
        <v>17108.71</v>
      </c>
      <c r="E167">
        <v>7.7972999999999999</v>
      </c>
      <c r="F167" s="14">
        <f t="shared" si="10"/>
        <v>2194.1838841650315</v>
      </c>
      <c r="G167">
        <v>11476.23</v>
      </c>
      <c r="H167">
        <v>7.7972999999999999</v>
      </c>
      <c r="I167" s="14">
        <f t="shared" si="11"/>
        <v>1471.8210149667193</v>
      </c>
      <c r="J167">
        <v>3450.92</v>
      </c>
      <c r="K167">
        <v>7.7972999999999999</v>
      </c>
      <c r="L167" s="43">
        <f t="shared" si="12"/>
        <v>442.57884139381582</v>
      </c>
      <c r="M167">
        <v>5982.55</v>
      </c>
      <c r="N167">
        <v>7.7972999999999999</v>
      </c>
      <c r="O167" s="43">
        <f t="shared" si="13"/>
        <v>767.25917945955655</v>
      </c>
      <c r="P167">
        <v>3330.97</v>
      </c>
      <c r="Q167">
        <v>7.7972999999999999</v>
      </c>
      <c r="R167" s="43">
        <f t="shared" si="14"/>
        <v>427.19531119746574</v>
      </c>
      <c r="S167"/>
      <c r="U167" s="38"/>
    </row>
    <row r="168" spans="1:21" x14ac:dyDescent="0.3">
      <c r="A168" s="16">
        <v>166</v>
      </c>
      <c r="B168" s="3">
        <v>45546</v>
      </c>
      <c r="C168" s="40">
        <v>5554.13</v>
      </c>
      <c r="D168">
        <v>17240.39</v>
      </c>
      <c r="E168">
        <v>7.7984999999999998</v>
      </c>
      <c r="F168" s="14">
        <f t="shared" si="10"/>
        <v>2210.7315509392834</v>
      </c>
      <c r="G168">
        <v>11421.37</v>
      </c>
      <c r="H168">
        <v>7.7984999999999998</v>
      </c>
      <c r="I168" s="14">
        <f t="shared" si="11"/>
        <v>1464.5598512534464</v>
      </c>
      <c r="J168">
        <v>3475.25</v>
      </c>
      <c r="K168">
        <v>7.7984999999999998</v>
      </c>
      <c r="L168" s="43">
        <f t="shared" si="12"/>
        <v>445.63056998140672</v>
      </c>
      <c r="M168">
        <v>6017.53</v>
      </c>
      <c r="N168">
        <v>7.7984999999999998</v>
      </c>
      <c r="O168" s="43">
        <f t="shared" si="13"/>
        <v>771.62659485798554</v>
      </c>
      <c r="P168">
        <v>3316.68</v>
      </c>
      <c r="Q168">
        <v>7.7984999999999998</v>
      </c>
      <c r="R168" s="43">
        <f t="shared" si="14"/>
        <v>425.29717253317943</v>
      </c>
      <c r="S168"/>
      <c r="U168" s="38"/>
    </row>
    <row r="169" spans="1:21" x14ac:dyDescent="0.3">
      <c r="A169" s="16">
        <v>167</v>
      </c>
      <c r="B169" s="3">
        <v>45547</v>
      </c>
      <c r="C169" s="40">
        <v>5595.76</v>
      </c>
      <c r="D169">
        <v>17369.09</v>
      </c>
      <c r="E169">
        <v>7.8029999999999999</v>
      </c>
      <c r="F169" s="14">
        <f t="shared" si="10"/>
        <v>2225.9502755350509</v>
      </c>
      <c r="G169">
        <v>11519.81</v>
      </c>
      <c r="H169">
        <v>7.8029999999999999</v>
      </c>
      <c r="I169" s="14">
        <f t="shared" si="11"/>
        <v>1476.3308983724207</v>
      </c>
      <c r="J169">
        <v>3479.8</v>
      </c>
      <c r="K169">
        <v>7.8029999999999999</v>
      </c>
      <c r="L169" s="43">
        <f t="shared" si="12"/>
        <v>445.95668332692554</v>
      </c>
      <c r="M169">
        <v>6071.52</v>
      </c>
      <c r="N169">
        <v>7.8029999999999999</v>
      </c>
      <c r="O169" s="43">
        <f t="shared" si="13"/>
        <v>778.10073048827383</v>
      </c>
      <c r="P169">
        <v>3355.97</v>
      </c>
      <c r="Q169">
        <v>7.8029999999999999</v>
      </c>
      <c r="R169" s="43">
        <f t="shared" si="14"/>
        <v>430.08714596949886</v>
      </c>
      <c r="S169"/>
      <c r="U169" s="38"/>
    </row>
    <row r="170" spans="1:21" x14ac:dyDescent="0.3">
      <c r="A170" s="16">
        <v>168</v>
      </c>
      <c r="B170" s="3">
        <v>45548</v>
      </c>
      <c r="C170" s="40">
        <v>5626.02</v>
      </c>
      <c r="D170">
        <v>17422.12</v>
      </c>
      <c r="E170">
        <v>7.7987000000000002</v>
      </c>
      <c r="F170" s="14">
        <f t="shared" si="10"/>
        <v>2233.9774577814251</v>
      </c>
      <c r="G170">
        <v>11611.85</v>
      </c>
      <c r="H170">
        <v>7.7987000000000002</v>
      </c>
      <c r="I170" s="14">
        <f t="shared" si="11"/>
        <v>1488.9468757613449</v>
      </c>
      <c r="J170">
        <v>3497.45</v>
      </c>
      <c r="K170">
        <v>7.7987000000000002</v>
      </c>
      <c r="L170" s="43">
        <f t="shared" si="12"/>
        <v>448.46576993601496</v>
      </c>
      <c r="M170">
        <v>6090.16</v>
      </c>
      <c r="N170">
        <v>7.7987000000000002</v>
      </c>
      <c r="O170" s="43">
        <f t="shared" si="13"/>
        <v>780.91989690589457</v>
      </c>
      <c r="P170">
        <v>3337.99</v>
      </c>
      <c r="Q170">
        <v>7.7987000000000002</v>
      </c>
      <c r="R170" s="43">
        <f t="shared" si="14"/>
        <v>428.01877235949576</v>
      </c>
      <c r="S170"/>
      <c r="U170" s="38"/>
    </row>
    <row r="171" spans="1:21" x14ac:dyDescent="0.3">
      <c r="A171" s="16">
        <v>169</v>
      </c>
      <c r="B171" s="3">
        <v>45551</v>
      </c>
      <c r="C171" s="40">
        <v>5633.09</v>
      </c>
      <c r="D171">
        <v>17660.02</v>
      </c>
      <c r="E171">
        <v>7.7927</v>
      </c>
      <c r="F171" s="14">
        <f t="shared" si="10"/>
        <v>2266.2260833857331</v>
      </c>
      <c r="G171">
        <v>11648.91</v>
      </c>
      <c r="H171">
        <v>7.7927</v>
      </c>
      <c r="I171" s="14">
        <f t="shared" si="11"/>
        <v>1494.8490253698974</v>
      </c>
      <c r="J171">
        <v>3536.57</v>
      </c>
      <c r="K171">
        <v>7.7927</v>
      </c>
      <c r="L171" s="43">
        <f t="shared" si="12"/>
        <v>453.83114966571281</v>
      </c>
      <c r="M171">
        <v>6176.03</v>
      </c>
      <c r="N171">
        <v>7.7927</v>
      </c>
      <c r="O171" s="43">
        <f t="shared" si="13"/>
        <v>792.5404545279556</v>
      </c>
      <c r="P171">
        <v>3371.64</v>
      </c>
      <c r="Q171">
        <v>7.7927</v>
      </c>
      <c r="R171" s="43">
        <f t="shared" si="14"/>
        <v>432.6664699013179</v>
      </c>
      <c r="S171"/>
      <c r="U171" s="38"/>
    </row>
    <row r="172" spans="1:21" x14ac:dyDescent="0.3">
      <c r="A172" s="16">
        <v>170</v>
      </c>
      <c r="B172" s="3">
        <v>45552</v>
      </c>
      <c r="C172" s="40">
        <v>5634.58</v>
      </c>
      <c r="D172">
        <v>18013.16</v>
      </c>
      <c r="E172">
        <v>7.7942</v>
      </c>
      <c r="F172" s="14">
        <f t="shared" si="10"/>
        <v>2311.0979959457031</v>
      </c>
      <c r="G172">
        <v>11795.61</v>
      </c>
      <c r="H172">
        <v>7.7942</v>
      </c>
      <c r="I172" s="14">
        <f t="shared" si="11"/>
        <v>1513.3830284057376</v>
      </c>
      <c r="J172">
        <v>3651.56</v>
      </c>
      <c r="K172">
        <v>7.7942</v>
      </c>
      <c r="L172" s="43">
        <f t="shared" si="12"/>
        <v>468.49708757794258</v>
      </c>
      <c r="M172">
        <v>6305.51</v>
      </c>
      <c r="N172">
        <v>7.7942</v>
      </c>
      <c r="O172" s="43">
        <f t="shared" si="13"/>
        <v>809.00028226116854</v>
      </c>
      <c r="P172">
        <v>3457.11</v>
      </c>
      <c r="Q172">
        <v>7.7942</v>
      </c>
      <c r="R172" s="43">
        <f t="shared" si="14"/>
        <v>443.54904929306412</v>
      </c>
      <c r="S172"/>
      <c r="U172" s="38"/>
    </row>
    <row r="173" spans="1:21" x14ac:dyDescent="0.3">
      <c r="A173" s="16">
        <v>171</v>
      </c>
      <c r="B173" s="3">
        <v>45554</v>
      </c>
      <c r="C173" s="40">
        <v>5713.64</v>
      </c>
      <c r="D173">
        <v>18258.57</v>
      </c>
      <c r="E173">
        <v>7.7946</v>
      </c>
      <c r="F173" s="14">
        <f t="shared" si="10"/>
        <v>2342.4640135478408</v>
      </c>
      <c r="G173">
        <v>12075.79</v>
      </c>
      <c r="H173">
        <v>7.7946</v>
      </c>
      <c r="I173" s="14">
        <f t="shared" si="11"/>
        <v>1549.2507633489854</v>
      </c>
      <c r="J173">
        <v>3703.84</v>
      </c>
      <c r="K173">
        <v>7.7946</v>
      </c>
      <c r="L173" s="43">
        <f t="shared" si="12"/>
        <v>475.18025299566369</v>
      </c>
      <c r="M173">
        <v>6381.5</v>
      </c>
      <c r="N173">
        <v>7.7946</v>
      </c>
      <c r="O173" s="43">
        <f t="shared" si="13"/>
        <v>818.70782336489367</v>
      </c>
      <c r="P173">
        <v>3495.61</v>
      </c>
      <c r="Q173">
        <v>7.7946</v>
      </c>
      <c r="R173" s="43">
        <f t="shared" si="14"/>
        <v>448.46560439278477</v>
      </c>
      <c r="S173"/>
      <c r="U173" s="38"/>
    </row>
    <row r="174" spans="1:21" x14ac:dyDescent="0.3">
      <c r="A174" s="16">
        <v>172</v>
      </c>
      <c r="B174" s="3">
        <v>45555</v>
      </c>
      <c r="C174" s="40">
        <v>5702.55</v>
      </c>
      <c r="D174">
        <v>18247.11</v>
      </c>
      <c r="E174">
        <v>7.7897999999999996</v>
      </c>
      <c r="F174" s="14">
        <f t="shared" si="10"/>
        <v>2342.4362628052072</v>
      </c>
      <c r="G174">
        <v>12213.83</v>
      </c>
      <c r="H174">
        <v>7.7897999999999996</v>
      </c>
      <c r="I174" s="14">
        <f t="shared" si="11"/>
        <v>1567.9260058024597</v>
      </c>
      <c r="J174">
        <v>3698.27</v>
      </c>
      <c r="K174">
        <v>7.7897999999999996</v>
      </c>
      <c r="L174" s="43">
        <f t="shared" si="12"/>
        <v>474.75801689388692</v>
      </c>
      <c r="M174">
        <v>6389.08</v>
      </c>
      <c r="N174">
        <v>7.7897999999999996</v>
      </c>
      <c r="O174" s="43">
        <f t="shared" si="13"/>
        <v>820.18537061285269</v>
      </c>
      <c r="P174">
        <v>3509.13</v>
      </c>
      <c r="Q174">
        <v>7.7897999999999996</v>
      </c>
      <c r="R174" s="43">
        <f t="shared" si="14"/>
        <v>450.47754756219678</v>
      </c>
      <c r="S174"/>
      <c r="U174" s="38"/>
    </row>
    <row r="175" spans="1:21" x14ac:dyDescent="0.3">
      <c r="A175" s="16">
        <v>173</v>
      </c>
      <c r="B175" s="3">
        <v>45558</v>
      </c>
      <c r="C175" s="40">
        <v>5718.57</v>
      </c>
      <c r="D175">
        <v>19000.560000000001</v>
      </c>
      <c r="E175">
        <v>7.7858000000000001</v>
      </c>
      <c r="F175" s="14">
        <f t="shared" si="10"/>
        <v>2440.412032161114</v>
      </c>
      <c r="G175">
        <v>12242.92</v>
      </c>
      <c r="H175">
        <v>7.7858000000000001</v>
      </c>
      <c r="I175" s="14">
        <f t="shared" si="11"/>
        <v>1572.467826042282</v>
      </c>
      <c r="J175">
        <v>3915.58</v>
      </c>
      <c r="K175">
        <v>7.7858000000000001</v>
      </c>
      <c r="L175" s="43">
        <f t="shared" si="12"/>
        <v>502.91299545326103</v>
      </c>
      <c r="M175">
        <v>6714.47</v>
      </c>
      <c r="N175">
        <v>7.7858000000000001</v>
      </c>
      <c r="O175" s="43">
        <f t="shared" si="13"/>
        <v>862.39949651930442</v>
      </c>
      <c r="P175">
        <v>3654.61</v>
      </c>
      <c r="Q175">
        <v>7.7858000000000001</v>
      </c>
      <c r="R175" s="43">
        <f t="shared" si="14"/>
        <v>469.39428189781398</v>
      </c>
      <c r="S175"/>
      <c r="U175" s="38"/>
    </row>
    <row r="176" spans="1:21" x14ac:dyDescent="0.3">
      <c r="A176" s="16">
        <v>174</v>
      </c>
      <c r="B176" s="3">
        <v>45559</v>
      </c>
      <c r="C176" s="40">
        <v>5732.93</v>
      </c>
      <c r="D176">
        <v>19129.099999999999</v>
      </c>
      <c r="E176">
        <v>7.7845000000000004</v>
      </c>
      <c r="F176" s="14">
        <f t="shared" si="10"/>
        <v>2457.3318774487761</v>
      </c>
      <c r="G176">
        <v>12897.36</v>
      </c>
      <c r="H176">
        <v>7.7845000000000004</v>
      </c>
      <c r="I176" s="14">
        <f t="shared" si="11"/>
        <v>1656.8000513841607</v>
      </c>
      <c r="J176">
        <v>3924.45</v>
      </c>
      <c r="K176">
        <v>7.7845000000000004</v>
      </c>
      <c r="L176" s="43">
        <f t="shared" si="12"/>
        <v>504.13642494701003</v>
      </c>
      <c r="M176">
        <v>6765.6</v>
      </c>
      <c r="N176">
        <v>7.7845000000000004</v>
      </c>
      <c r="O176" s="43">
        <f t="shared" si="13"/>
        <v>869.11169631960945</v>
      </c>
      <c r="P176">
        <v>3672.49</v>
      </c>
      <c r="Q176">
        <v>7.7845000000000004</v>
      </c>
      <c r="R176" s="43">
        <f t="shared" si="14"/>
        <v>471.76954203866654</v>
      </c>
      <c r="S176"/>
      <c r="U176" s="38"/>
    </row>
    <row r="177" spans="1:21" x14ac:dyDescent="0.3">
      <c r="A177" s="16">
        <v>175</v>
      </c>
      <c r="B177" s="3">
        <v>45560</v>
      </c>
      <c r="C177" s="40">
        <v>5722.26</v>
      </c>
      <c r="D177">
        <v>19924.580000000002</v>
      </c>
      <c r="E177">
        <v>7.7845000000000004</v>
      </c>
      <c r="F177" s="14">
        <f t="shared" si="10"/>
        <v>2559.5195580962168</v>
      </c>
      <c r="G177">
        <v>13012.24</v>
      </c>
      <c r="H177">
        <v>7.7845000000000004</v>
      </c>
      <c r="I177" s="14">
        <f t="shared" si="11"/>
        <v>1671.5575823752326</v>
      </c>
      <c r="J177">
        <v>4209.71</v>
      </c>
      <c r="K177">
        <v>7.7845000000000004</v>
      </c>
      <c r="L177" s="43">
        <f t="shared" si="12"/>
        <v>540.78103924465279</v>
      </c>
      <c r="M177">
        <v>7086.7</v>
      </c>
      <c r="N177">
        <v>7.7845000000000004</v>
      </c>
      <c r="O177" s="43">
        <f t="shared" si="13"/>
        <v>910.36033142783731</v>
      </c>
      <c r="P177">
        <v>3843.66</v>
      </c>
      <c r="Q177">
        <v>7.7845000000000004</v>
      </c>
      <c r="R177" s="43">
        <f t="shared" si="14"/>
        <v>493.75810906288132</v>
      </c>
      <c r="S177"/>
      <c r="U177" s="38"/>
    </row>
    <row r="178" spans="1:21" x14ac:dyDescent="0.3">
      <c r="A178" s="16">
        <v>176</v>
      </c>
      <c r="B178" s="3">
        <v>45561</v>
      </c>
      <c r="C178" s="40">
        <v>5745.37</v>
      </c>
      <c r="D178">
        <v>20632.3</v>
      </c>
      <c r="E178">
        <v>7.7789000000000001</v>
      </c>
      <c r="F178" s="14">
        <f t="shared" si="10"/>
        <v>2652.3415907133399</v>
      </c>
      <c r="G178">
        <v>13708.31</v>
      </c>
      <c r="H178">
        <v>7.7789000000000001</v>
      </c>
      <c r="I178" s="14">
        <f t="shared" si="11"/>
        <v>1762.2427335484451</v>
      </c>
      <c r="J178">
        <v>4453.24</v>
      </c>
      <c r="K178">
        <v>7.7789000000000001</v>
      </c>
      <c r="L178" s="43">
        <f t="shared" si="12"/>
        <v>572.47682834333898</v>
      </c>
      <c r="M178">
        <v>7299.9</v>
      </c>
      <c r="N178">
        <v>7.7789000000000001</v>
      </c>
      <c r="O178" s="43">
        <f t="shared" si="13"/>
        <v>938.42317037113207</v>
      </c>
      <c r="P178">
        <v>3965.11</v>
      </c>
      <c r="Q178">
        <v>7.7789000000000001</v>
      </c>
      <c r="R178" s="43">
        <f t="shared" si="14"/>
        <v>509.7263109179961</v>
      </c>
      <c r="S178"/>
      <c r="U178" s="38"/>
    </row>
    <row r="179" spans="1:21" x14ac:dyDescent="0.3">
      <c r="A179" s="16">
        <v>177</v>
      </c>
      <c r="B179" s="3">
        <v>45562</v>
      </c>
      <c r="C179" s="40">
        <v>5738.17</v>
      </c>
      <c r="D179">
        <v>21133.68</v>
      </c>
      <c r="E179">
        <v>7.7721</v>
      </c>
      <c r="F179" s="14">
        <f t="shared" si="10"/>
        <v>2719.1724244412708</v>
      </c>
      <c r="G179">
        <v>14157.5</v>
      </c>
      <c r="H179">
        <v>7.7721</v>
      </c>
      <c r="I179" s="14">
        <f t="shared" si="11"/>
        <v>1821.5797532198505</v>
      </c>
      <c r="J179">
        <v>4751.8100000000004</v>
      </c>
      <c r="K179">
        <v>7.7721</v>
      </c>
      <c r="L179" s="43">
        <f t="shared" si="12"/>
        <v>611.39331712149874</v>
      </c>
      <c r="M179">
        <v>7509.79</v>
      </c>
      <c r="N179">
        <v>7.7721</v>
      </c>
      <c r="O179" s="43">
        <f t="shared" si="13"/>
        <v>966.24979091879925</v>
      </c>
      <c r="P179">
        <v>4042.52</v>
      </c>
      <c r="Q179">
        <v>7.7721</v>
      </c>
      <c r="R179" s="43">
        <f t="shared" si="14"/>
        <v>520.13226798419987</v>
      </c>
      <c r="S179"/>
      <c r="U179" s="38"/>
    </row>
    <row r="180" spans="1:21" x14ac:dyDescent="0.3">
      <c r="A180" s="16">
        <v>178</v>
      </c>
      <c r="B180" s="3">
        <v>45565</v>
      </c>
      <c r="C180" s="40">
        <v>5762.48</v>
      </c>
      <c r="D180">
        <v>22443.73</v>
      </c>
      <c r="E180">
        <v>7.7727000000000004</v>
      </c>
      <c r="F180" s="14">
        <f t="shared" si="10"/>
        <v>2887.5075585060531</v>
      </c>
      <c r="G180">
        <v>14612.96</v>
      </c>
      <c r="H180">
        <v>7.7727000000000004</v>
      </c>
      <c r="I180" s="14">
        <f t="shared" si="11"/>
        <v>1880.0365381398997</v>
      </c>
      <c r="J180">
        <v>5157.08</v>
      </c>
      <c r="K180">
        <v>7.7727000000000004</v>
      </c>
      <c r="L180" s="43">
        <f t="shared" si="12"/>
        <v>663.48630463030861</v>
      </c>
      <c r="M180">
        <v>8041.27</v>
      </c>
      <c r="N180">
        <v>7.7727000000000004</v>
      </c>
      <c r="O180" s="43">
        <f t="shared" si="13"/>
        <v>1034.5529867356261</v>
      </c>
      <c r="P180">
        <v>4293.54</v>
      </c>
      <c r="Q180">
        <v>7.7727000000000004</v>
      </c>
      <c r="R180" s="43">
        <f t="shared" si="14"/>
        <v>552.38720135860126</v>
      </c>
      <c r="S180"/>
      <c r="U180" s="38"/>
    </row>
    <row r="181" spans="1:21" x14ac:dyDescent="0.3">
      <c r="A181" s="16">
        <v>179</v>
      </c>
      <c r="B181" s="3">
        <v>45567</v>
      </c>
      <c r="C181" s="40">
        <v>5709.54</v>
      </c>
      <c r="D181">
        <v>22113.51</v>
      </c>
      <c r="E181">
        <v>7.7625999999999999</v>
      </c>
      <c r="F181" s="14">
        <f t="shared" si="10"/>
        <v>2848.7246541107361</v>
      </c>
      <c r="G181">
        <v>15720.63</v>
      </c>
      <c r="H181">
        <v>7.7625999999999999</v>
      </c>
      <c r="I181" s="14">
        <f t="shared" si="11"/>
        <v>2025.1758431453379</v>
      </c>
      <c r="J181">
        <v>4978.6400000000003</v>
      </c>
      <c r="K181">
        <v>7.7625999999999999</v>
      </c>
      <c r="L181" s="43">
        <f t="shared" si="12"/>
        <v>641.36243011362183</v>
      </c>
      <c r="M181">
        <v>7914.16</v>
      </c>
      <c r="N181">
        <v>7.7625999999999999</v>
      </c>
      <c r="O181" s="43">
        <f t="shared" si="13"/>
        <v>1019.5243861592766</v>
      </c>
      <c r="P181">
        <v>4201.04</v>
      </c>
      <c r="Q181">
        <v>7.7625999999999999</v>
      </c>
      <c r="R181" s="43">
        <f t="shared" si="14"/>
        <v>541.18980753871131</v>
      </c>
      <c r="S181"/>
      <c r="U181" s="38"/>
    </row>
    <row r="182" spans="1:21" x14ac:dyDescent="0.3">
      <c r="A182" s="16">
        <v>180</v>
      </c>
      <c r="B182" s="3">
        <v>45568</v>
      </c>
      <c r="C182" s="40">
        <v>5699.94</v>
      </c>
      <c r="D182">
        <v>22736.87</v>
      </c>
      <c r="E182">
        <v>7.7637999999999998</v>
      </c>
      <c r="F182" s="14">
        <f t="shared" si="10"/>
        <v>2928.5749246503001</v>
      </c>
      <c r="G182">
        <v>15475.37</v>
      </c>
      <c r="H182">
        <v>7.7637999999999998</v>
      </c>
      <c r="I182" s="14">
        <f t="shared" si="11"/>
        <v>1993.2726242304027</v>
      </c>
      <c r="J182">
        <v>5227.13</v>
      </c>
      <c r="K182">
        <v>7.7637999999999998</v>
      </c>
      <c r="L182" s="43">
        <f t="shared" si="12"/>
        <v>673.26953296066358</v>
      </c>
      <c r="M182">
        <v>8156.5</v>
      </c>
      <c r="N182">
        <v>7.7637999999999998</v>
      </c>
      <c r="O182" s="43">
        <f t="shared" si="13"/>
        <v>1050.580901105129</v>
      </c>
      <c r="P182">
        <v>4289.79</v>
      </c>
      <c r="Q182">
        <v>7.7637999999999998</v>
      </c>
      <c r="R182" s="43">
        <f t="shared" si="14"/>
        <v>552.53741724413305</v>
      </c>
      <c r="S182"/>
      <c r="U182" s="38"/>
    </row>
    <row r="183" spans="1:21" x14ac:dyDescent="0.3">
      <c r="A183" s="16">
        <v>181</v>
      </c>
      <c r="B183" s="3">
        <v>45569</v>
      </c>
      <c r="C183" s="40">
        <v>5751.07</v>
      </c>
      <c r="D183">
        <v>23099.78</v>
      </c>
      <c r="E183">
        <v>7.7662000000000004</v>
      </c>
      <c r="F183" s="14">
        <f t="shared" si="10"/>
        <v>2974.3993201308231</v>
      </c>
      <c r="G183">
        <v>15986.29</v>
      </c>
      <c r="H183">
        <v>7.7662000000000004</v>
      </c>
      <c r="I183" s="14">
        <f t="shared" si="11"/>
        <v>2058.4442842059179</v>
      </c>
      <c r="J183">
        <v>5386.48</v>
      </c>
      <c r="K183">
        <v>7.7662000000000004</v>
      </c>
      <c r="L183" s="43">
        <f t="shared" si="12"/>
        <v>693.57987175195069</v>
      </c>
      <c r="M183">
        <v>8330.85</v>
      </c>
      <c r="N183">
        <v>7.7662000000000004</v>
      </c>
      <c r="O183" s="43">
        <f t="shared" si="13"/>
        <v>1072.7060853441837</v>
      </c>
      <c r="P183">
        <v>4441.76</v>
      </c>
      <c r="Q183">
        <v>7.7662000000000004</v>
      </c>
      <c r="R183" s="43">
        <f t="shared" si="14"/>
        <v>571.93479436532664</v>
      </c>
      <c r="S183"/>
      <c r="U183" s="38"/>
    </row>
    <row r="184" spans="1:21" x14ac:dyDescent="0.3">
      <c r="A184" s="16">
        <v>182</v>
      </c>
      <c r="B184" s="3">
        <v>45572</v>
      </c>
      <c r="C184" s="40">
        <v>5695.94</v>
      </c>
      <c r="D184">
        <v>20926.79</v>
      </c>
      <c r="E184">
        <v>7.7656999999999998</v>
      </c>
      <c r="F184" s="14">
        <f t="shared" si="10"/>
        <v>2694.7718814788109</v>
      </c>
      <c r="G184">
        <v>16279.14</v>
      </c>
      <c r="H184">
        <v>7.7656999999999998</v>
      </c>
      <c r="I184" s="14">
        <f t="shared" si="11"/>
        <v>2096.287520764387</v>
      </c>
      <c r="J184">
        <v>4695.8100000000004</v>
      </c>
      <c r="K184">
        <v>7.7656999999999998</v>
      </c>
      <c r="L184" s="43">
        <f t="shared" si="12"/>
        <v>604.68599096024832</v>
      </c>
      <c r="M184">
        <v>7483.67</v>
      </c>
      <c r="N184">
        <v>7.7656999999999998</v>
      </c>
      <c r="O184" s="43">
        <f t="shared" si="13"/>
        <v>963.68260427263488</v>
      </c>
      <c r="P184">
        <v>3999.02</v>
      </c>
      <c r="Q184">
        <v>7.7656999999999998</v>
      </c>
      <c r="R184" s="43">
        <f t="shared" si="14"/>
        <v>514.95937262577752</v>
      </c>
      <c r="S184"/>
      <c r="U184" s="38"/>
    </row>
    <row r="185" spans="1:21" x14ac:dyDescent="0.3">
      <c r="A185" s="16">
        <v>183</v>
      </c>
      <c r="B185" s="3">
        <v>45573</v>
      </c>
      <c r="C185" s="40">
        <v>5751.13</v>
      </c>
      <c r="D185">
        <v>20637.240000000002</v>
      </c>
      <c r="E185">
        <v>7.7747999999999999</v>
      </c>
      <c r="F185" s="14">
        <f t="shared" si="10"/>
        <v>2654.3756752585277</v>
      </c>
      <c r="G185">
        <v>14579.45</v>
      </c>
      <c r="H185">
        <v>7.7747999999999999</v>
      </c>
      <c r="I185" s="14">
        <f t="shared" si="11"/>
        <v>1875.2186551422546</v>
      </c>
      <c r="J185">
        <v>4640.75</v>
      </c>
      <c r="K185">
        <v>7.7747999999999999</v>
      </c>
      <c r="L185" s="43">
        <f t="shared" si="12"/>
        <v>596.89638318670575</v>
      </c>
      <c r="M185">
        <v>7365.59</v>
      </c>
      <c r="N185">
        <v>7.7747999999999999</v>
      </c>
      <c r="O185" s="43">
        <f t="shared" si="13"/>
        <v>947.36713484591246</v>
      </c>
      <c r="P185">
        <v>3861.8</v>
      </c>
      <c r="Q185">
        <v>7.7747999999999999</v>
      </c>
      <c r="R185" s="43">
        <f t="shared" si="14"/>
        <v>496.70731079899161</v>
      </c>
      <c r="S185"/>
      <c r="U185" s="38"/>
    </row>
    <row r="186" spans="1:21" x14ac:dyDescent="0.3">
      <c r="A186" s="16">
        <v>184</v>
      </c>
      <c r="B186" s="3">
        <v>45574</v>
      </c>
      <c r="C186" s="40">
        <v>5792.04</v>
      </c>
      <c r="D186">
        <v>21251.98</v>
      </c>
      <c r="E186">
        <v>7.7708000000000004</v>
      </c>
      <c r="F186" s="14">
        <f t="shared" si="10"/>
        <v>2734.8509805940184</v>
      </c>
      <c r="G186">
        <v>14329.43</v>
      </c>
      <c r="H186">
        <v>7.7708000000000004</v>
      </c>
      <c r="I186" s="14">
        <f t="shared" si="11"/>
        <v>1844.0096257785556</v>
      </c>
      <c r="J186">
        <v>4736.1000000000004</v>
      </c>
      <c r="K186">
        <v>7.7708000000000004</v>
      </c>
      <c r="L186" s="43">
        <f t="shared" si="12"/>
        <v>609.47392803829723</v>
      </c>
      <c r="M186">
        <v>7620.74</v>
      </c>
      <c r="N186">
        <v>7.7708000000000004</v>
      </c>
      <c r="O186" s="43">
        <f t="shared" si="13"/>
        <v>980.6892469243835</v>
      </c>
      <c r="P186">
        <v>4013.03</v>
      </c>
      <c r="Q186">
        <v>7.7708000000000004</v>
      </c>
      <c r="R186" s="43">
        <f t="shared" si="14"/>
        <v>516.42430637772168</v>
      </c>
      <c r="S186"/>
      <c r="U186" s="38"/>
    </row>
    <row r="187" spans="1:21" x14ac:dyDescent="0.3">
      <c r="A187" s="16">
        <v>185</v>
      </c>
      <c r="B187" s="3">
        <v>45575</v>
      </c>
      <c r="C187" s="40">
        <v>5780.05</v>
      </c>
      <c r="D187">
        <v>21092.87</v>
      </c>
      <c r="E187">
        <v>7.7698</v>
      </c>
      <c r="F187" s="14">
        <f t="shared" si="10"/>
        <v>2714.7249607454501</v>
      </c>
      <c r="G187">
        <v>14817.86</v>
      </c>
      <c r="H187">
        <v>7.7698</v>
      </c>
      <c r="I187" s="14">
        <f t="shared" si="11"/>
        <v>1907.1095781101187</v>
      </c>
      <c r="J187">
        <v>4668.18</v>
      </c>
      <c r="K187">
        <v>7.7698</v>
      </c>
      <c r="L187" s="43">
        <f t="shared" si="12"/>
        <v>600.81083168163923</v>
      </c>
      <c r="M187">
        <v>7579.94</v>
      </c>
      <c r="N187">
        <v>7.7698</v>
      </c>
      <c r="O187" s="43">
        <f t="shared" si="13"/>
        <v>975.5643645911091</v>
      </c>
      <c r="P187">
        <v>4053.24</v>
      </c>
      <c r="Q187">
        <v>7.7698</v>
      </c>
      <c r="R187" s="43">
        <f t="shared" si="14"/>
        <v>521.66593734716469</v>
      </c>
      <c r="S187"/>
      <c r="U187" s="38"/>
    </row>
    <row r="188" spans="1:21" x14ac:dyDescent="0.3">
      <c r="A188" s="16">
        <v>186</v>
      </c>
      <c r="B188" s="3">
        <v>45579</v>
      </c>
      <c r="C188" s="40">
        <v>5859.85</v>
      </c>
      <c r="D188">
        <v>20318.79</v>
      </c>
      <c r="E188">
        <v>7.7638999999999996</v>
      </c>
      <c r="F188" s="14">
        <f t="shared" si="10"/>
        <v>2617.0854853874989</v>
      </c>
      <c r="G188">
        <v>14695.69</v>
      </c>
      <c r="H188">
        <v>7.7638999999999996</v>
      </c>
      <c r="I188" s="14">
        <f t="shared" si="11"/>
        <v>1892.8231945285231</v>
      </c>
      <c r="J188">
        <v>4450.95</v>
      </c>
      <c r="K188">
        <v>7.7638999999999996</v>
      </c>
      <c r="L188" s="43">
        <f t="shared" si="12"/>
        <v>573.28790942696321</v>
      </c>
      <c r="M188">
        <v>7277.83</v>
      </c>
      <c r="N188">
        <v>7.7638999999999996</v>
      </c>
      <c r="O188" s="43">
        <f t="shared" si="13"/>
        <v>937.39357796983484</v>
      </c>
      <c r="P188">
        <v>3900.69</v>
      </c>
      <c r="Q188">
        <v>7.7638999999999996</v>
      </c>
      <c r="R188" s="43">
        <f t="shared" si="14"/>
        <v>502.41373536495837</v>
      </c>
      <c r="S188"/>
      <c r="U188" s="38"/>
    </row>
    <row r="189" spans="1:21" x14ac:dyDescent="0.3">
      <c r="A189" s="16">
        <v>187</v>
      </c>
      <c r="B189" s="3">
        <v>45580</v>
      </c>
      <c r="C189" s="40">
        <v>5815.26</v>
      </c>
      <c r="D189">
        <v>20286.849999999999</v>
      </c>
      <c r="E189">
        <v>7.7671999999999999</v>
      </c>
      <c r="F189" s="14">
        <f t="shared" si="10"/>
        <v>2611.8614172417342</v>
      </c>
      <c r="G189">
        <v>14082.55</v>
      </c>
      <c r="H189">
        <v>7.7671999999999999</v>
      </c>
      <c r="I189" s="14">
        <f t="shared" si="11"/>
        <v>1813.0793593572973</v>
      </c>
      <c r="J189">
        <v>4402.37</v>
      </c>
      <c r="K189">
        <v>7.7671999999999999</v>
      </c>
      <c r="L189" s="43">
        <f t="shared" si="12"/>
        <v>566.78983417447728</v>
      </c>
      <c r="M189">
        <v>7267.98</v>
      </c>
      <c r="N189">
        <v>7.7671999999999999</v>
      </c>
      <c r="O189" s="43">
        <f t="shared" si="13"/>
        <v>935.72716036667009</v>
      </c>
      <c r="P189">
        <v>3936.7</v>
      </c>
      <c r="Q189">
        <v>7.7671999999999999</v>
      </c>
      <c r="R189" s="43">
        <f t="shared" si="14"/>
        <v>506.83644041610876</v>
      </c>
      <c r="S189"/>
      <c r="U189" s="38"/>
    </row>
    <row r="190" spans="1:21" x14ac:dyDescent="0.3">
      <c r="A190" s="16">
        <v>188</v>
      </c>
      <c r="B190" s="3">
        <v>45581</v>
      </c>
      <c r="C190" s="40">
        <v>5842.47</v>
      </c>
      <c r="D190">
        <v>20079.099999999999</v>
      </c>
      <c r="E190">
        <v>7.7705000000000002</v>
      </c>
      <c r="F190" s="14">
        <f t="shared" si="10"/>
        <v>2584.0164725564632</v>
      </c>
      <c r="G190">
        <v>14058.54</v>
      </c>
      <c r="H190">
        <v>7.7705000000000002</v>
      </c>
      <c r="I190" s="14">
        <f t="shared" si="11"/>
        <v>1809.2194839456922</v>
      </c>
      <c r="J190">
        <v>4349.7700000000004</v>
      </c>
      <c r="K190">
        <v>7.7705000000000002</v>
      </c>
      <c r="L190" s="43">
        <f t="shared" si="12"/>
        <v>559.77993694099484</v>
      </c>
      <c r="M190">
        <v>7179.44</v>
      </c>
      <c r="N190">
        <v>7.7705000000000002</v>
      </c>
      <c r="O190" s="43">
        <f t="shared" si="13"/>
        <v>923.93539669261941</v>
      </c>
      <c r="P190">
        <v>3848.25</v>
      </c>
      <c r="Q190">
        <v>7.7705000000000002</v>
      </c>
      <c r="R190" s="43">
        <f t="shared" si="14"/>
        <v>495.23840164725561</v>
      </c>
      <c r="S190"/>
      <c r="U190" s="38"/>
    </row>
    <row r="191" spans="1:21" x14ac:dyDescent="0.3">
      <c r="A191" s="16">
        <v>189</v>
      </c>
      <c r="B191" s="3">
        <v>45582</v>
      </c>
      <c r="C191" s="40">
        <v>5841.47</v>
      </c>
      <c r="D191">
        <v>20804.11</v>
      </c>
      <c r="E191">
        <v>7.7736000000000001</v>
      </c>
      <c r="F191" s="14">
        <f t="shared" si="10"/>
        <v>2676.25167232685</v>
      </c>
      <c r="G191">
        <v>13879.7</v>
      </c>
      <c r="H191">
        <v>7.7736000000000001</v>
      </c>
      <c r="I191" s="14">
        <f t="shared" si="11"/>
        <v>1785.4919213749101</v>
      </c>
      <c r="J191">
        <v>4600.8500000000004</v>
      </c>
      <c r="K191">
        <v>7.7736000000000001</v>
      </c>
      <c r="L191" s="43">
        <f t="shared" si="12"/>
        <v>591.85576824122677</v>
      </c>
      <c r="M191">
        <v>7471.95</v>
      </c>
      <c r="N191">
        <v>7.7736000000000001</v>
      </c>
      <c r="O191" s="43">
        <f t="shared" si="13"/>
        <v>961.19558505711632</v>
      </c>
      <c r="P191">
        <v>3958.08</v>
      </c>
      <c r="Q191">
        <v>7.7736000000000001</v>
      </c>
      <c r="R191" s="43">
        <f t="shared" si="14"/>
        <v>509.16949675825873</v>
      </c>
      <c r="S191"/>
      <c r="U191" s="38"/>
    </row>
    <row r="192" spans="1:21" x14ac:dyDescent="0.3">
      <c r="A192" s="16">
        <v>190</v>
      </c>
      <c r="B192" s="3">
        <v>45583</v>
      </c>
      <c r="C192" s="40">
        <v>5864.67</v>
      </c>
      <c r="D192">
        <v>20478.46</v>
      </c>
      <c r="E192">
        <v>7.77</v>
      </c>
      <c r="F192" s="14">
        <f t="shared" si="10"/>
        <v>2635.5804375804378</v>
      </c>
      <c r="G192">
        <v>14464.53</v>
      </c>
      <c r="H192">
        <v>7.77</v>
      </c>
      <c r="I192" s="14">
        <f t="shared" si="11"/>
        <v>1861.5868725868727</v>
      </c>
      <c r="J192">
        <v>4491.8999999999996</v>
      </c>
      <c r="K192">
        <v>7.77</v>
      </c>
      <c r="L192" s="43">
        <f t="shared" si="12"/>
        <v>578.10810810810813</v>
      </c>
      <c r="M192">
        <v>7340.56</v>
      </c>
      <c r="N192">
        <v>7.77</v>
      </c>
      <c r="O192" s="43">
        <f t="shared" si="13"/>
        <v>944.73101673101678</v>
      </c>
      <c r="P192">
        <v>3907.96</v>
      </c>
      <c r="Q192">
        <v>7.77</v>
      </c>
      <c r="R192" s="43">
        <f t="shared" si="14"/>
        <v>502.95495495495499</v>
      </c>
      <c r="S192"/>
      <c r="U192" s="38"/>
    </row>
    <row r="193" spans="1:21" x14ac:dyDescent="0.3">
      <c r="A193" s="16">
        <v>191</v>
      </c>
      <c r="B193" s="3">
        <v>45586</v>
      </c>
      <c r="C193" s="40">
        <v>5853.98</v>
      </c>
      <c r="D193">
        <v>20498.95</v>
      </c>
      <c r="E193">
        <v>7.7728999999999999</v>
      </c>
      <c r="F193" s="14">
        <f t="shared" si="10"/>
        <v>2637.2332076831044</v>
      </c>
      <c r="G193">
        <v>14190.33</v>
      </c>
      <c r="H193">
        <v>7.7728999999999999</v>
      </c>
      <c r="I193" s="14">
        <f t="shared" si="11"/>
        <v>1825.6159219853594</v>
      </c>
      <c r="J193">
        <v>4521.63</v>
      </c>
      <c r="K193">
        <v>7.7728999999999999</v>
      </c>
      <c r="L193" s="43">
        <f t="shared" si="12"/>
        <v>581.71724838863236</v>
      </c>
      <c r="M193">
        <v>7363</v>
      </c>
      <c r="N193">
        <v>7.7728999999999999</v>
      </c>
      <c r="O193" s="43">
        <f t="shared" si="13"/>
        <v>947.26549936317201</v>
      </c>
      <c r="P193">
        <v>3922.33</v>
      </c>
      <c r="Q193">
        <v>7.7728999999999999</v>
      </c>
      <c r="R193" s="43">
        <f t="shared" si="14"/>
        <v>504.61603777226003</v>
      </c>
      <c r="S193"/>
      <c r="U193" s="38"/>
    </row>
    <row r="194" spans="1:21" x14ac:dyDescent="0.3">
      <c r="A194" s="16">
        <v>192</v>
      </c>
      <c r="B194" s="3">
        <v>45587</v>
      </c>
      <c r="C194" s="40">
        <v>5851.2</v>
      </c>
      <c r="D194">
        <v>20760.150000000001</v>
      </c>
      <c r="E194">
        <v>7.7721</v>
      </c>
      <c r="F194" s="14">
        <f t="shared" si="10"/>
        <v>2671.1120546570428</v>
      </c>
      <c r="G194">
        <v>14216.95</v>
      </c>
      <c r="H194">
        <v>7.7721</v>
      </c>
      <c r="I194" s="14">
        <f t="shared" si="11"/>
        <v>1829.2289085317998</v>
      </c>
      <c r="J194">
        <v>4605.62</v>
      </c>
      <c r="K194">
        <v>7.7721</v>
      </c>
      <c r="L194" s="43">
        <f t="shared" si="12"/>
        <v>592.58372897929769</v>
      </c>
      <c r="M194">
        <v>7478.23</v>
      </c>
      <c r="N194">
        <v>7.7721</v>
      </c>
      <c r="O194" s="43">
        <f t="shared" si="13"/>
        <v>962.18911233772076</v>
      </c>
      <c r="P194">
        <v>3920.78</v>
      </c>
      <c r="Q194">
        <v>7.7721</v>
      </c>
      <c r="R194" s="43">
        <f t="shared" si="14"/>
        <v>504.46854775414624</v>
      </c>
      <c r="S194"/>
      <c r="U194" s="38"/>
    </row>
    <row r="195" spans="1:21" x14ac:dyDescent="0.3">
      <c r="A195" s="16">
        <v>193</v>
      </c>
      <c r="B195" s="3">
        <v>45588</v>
      </c>
      <c r="C195" s="40">
        <v>5797.42</v>
      </c>
      <c r="D195">
        <v>20489.62</v>
      </c>
      <c r="E195">
        <v>7.7686000000000002</v>
      </c>
      <c r="F195" s="14">
        <f t="shared" ref="F195:F258" si="15">D195/E195</f>
        <v>2637.4919547923691</v>
      </c>
      <c r="G195">
        <v>14467.29</v>
      </c>
      <c r="H195">
        <v>7.7686000000000002</v>
      </c>
      <c r="I195" s="14">
        <f t="shared" ref="I195:I258" si="16">G195/H195</f>
        <v>1862.277630461087</v>
      </c>
      <c r="J195">
        <v>4483.99</v>
      </c>
      <c r="K195">
        <v>7.7686000000000002</v>
      </c>
      <c r="L195" s="43">
        <f t="shared" ref="L195:L258" si="17">J195/K195</f>
        <v>577.19408902504949</v>
      </c>
      <c r="M195">
        <v>7359.14</v>
      </c>
      <c r="N195">
        <v>7.7686000000000002</v>
      </c>
      <c r="O195" s="43">
        <f t="shared" ref="O195:O258" si="18">M195/N195</f>
        <v>947.29294853641579</v>
      </c>
      <c r="P195">
        <v>3874.88</v>
      </c>
      <c r="Q195">
        <v>7.7686000000000002</v>
      </c>
      <c r="R195" s="43">
        <f t="shared" ref="R195:R258" si="19">P195/Q195</f>
        <v>498.78742630589812</v>
      </c>
      <c r="S195"/>
      <c r="U195" s="38"/>
    </row>
    <row r="196" spans="1:21" x14ac:dyDescent="0.3">
      <c r="A196" s="16">
        <v>194</v>
      </c>
      <c r="B196" s="3">
        <v>45589</v>
      </c>
      <c r="C196" s="40">
        <v>5809.86</v>
      </c>
      <c r="D196">
        <v>20590.150000000001</v>
      </c>
      <c r="E196">
        <v>7.7701000000000002</v>
      </c>
      <c r="F196" s="14">
        <f t="shared" si="15"/>
        <v>2649.9208504395056</v>
      </c>
      <c r="G196">
        <v>14235.1</v>
      </c>
      <c r="H196">
        <v>7.7701000000000002</v>
      </c>
      <c r="I196" s="14">
        <f t="shared" si="16"/>
        <v>1832.0356237371461</v>
      </c>
      <c r="J196">
        <v>4538.03</v>
      </c>
      <c r="K196">
        <v>7.7701000000000002</v>
      </c>
      <c r="L196" s="43">
        <f t="shared" si="17"/>
        <v>584.037528474537</v>
      </c>
      <c r="M196">
        <v>7385.26</v>
      </c>
      <c r="N196">
        <v>7.7701000000000002</v>
      </c>
      <c r="O196" s="43">
        <f t="shared" si="18"/>
        <v>950.47167990115952</v>
      </c>
      <c r="P196">
        <v>3850.28</v>
      </c>
      <c r="Q196">
        <v>7.7701000000000002</v>
      </c>
      <c r="R196" s="43">
        <f t="shared" si="19"/>
        <v>495.52515411642065</v>
      </c>
      <c r="S196"/>
      <c r="U196" s="38"/>
    </row>
    <row r="197" spans="1:21" x14ac:dyDescent="0.3">
      <c r="A197" s="16">
        <v>195</v>
      </c>
      <c r="B197" s="3">
        <v>45590</v>
      </c>
      <c r="C197" s="40">
        <v>5808.12</v>
      </c>
      <c r="D197">
        <v>20599.36</v>
      </c>
      <c r="E197">
        <v>7.7701000000000002</v>
      </c>
      <c r="F197" s="14">
        <f t="shared" si="15"/>
        <v>2651.1061633698409</v>
      </c>
      <c r="G197">
        <v>14277.59</v>
      </c>
      <c r="H197">
        <v>7.7701000000000002</v>
      </c>
      <c r="I197" s="14">
        <f t="shared" si="16"/>
        <v>1837.5040218272609</v>
      </c>
      <c r="J197">
        <v>4574.07</v>
      </c>
      <c r="K197">
        <v>7.7701000000000002</v>
      </c>
      <c r="L197" s="43">
        <f t="shared" si="17"/>
        <v>588.67582141799971</v>
      </c>
      <c r="M197">
        <v>7391.22</v>
      </c>
      <c r="N197">
        <v>7.7701000000000002</v>
      </c>
      <c r="O197" s="43">
        <f t="shared" si="18"/>
        <v>951.23872279636043</v>
      </c>
      <c r="P197">
        <v>3865.6</v>
      </c>
      <c r="Q197">
        <v>7.7701000000000002</v>
      </c>
      <c r="R197" s="43">
        <f t="shared" si="19"/>
        <v>497.49681471280934</v>
      </c>
      <c r="S197"/>
      <c r="U197" s="38"/>
    </row>
    <row r="198" spans="1:21" x14ac:dyDescent="0.3">
      <c r="A198" s="16">
        <v>196</v>
      </c>
      <c r="B198" s="3">
        <v>45593</v>
      </c>
      <c r="C198" s="40">
        <v>5823.52</v>
      </c>
      <c r="D198">
        <v>20701.14</v>
      </c>
      <c r="E198">
        <v>7.7713999999999999</v>
      </c>
      <c r="F198" s="14">
        <f t="shared" si="15"/>
        <v>2663.7594255861236</v>
      </c>
      <c r="G198">
        <v>14283.94</v>
      </c>
      <c r="H198">
        <v>7.7713999999999999</v>
      </c>
      <c r="I198" s="14">
        <f t="shared" si="16"/>
        <v>1838.0137426975834</v>
      </c>
      <c r="J198">
        <v>4623.84</v>
      </c>
      <c r="K198">
        <v>7.7713999999999999</v>
      </c>
      <c r="L198" s="43">
        <f t="shared" si="17"/>
        <v>594.98159919705586</v>
      </c>
      <c r="M198">
        <v>7417.53</v>
      </c>
      <c r="N198">
        <v>7.7713999999999999</v>
      </c>
      <c r="O198" s="43">
        <f t="shared" si="18"/>
        <v>954.46508994518365</v>
      </c>
      <c r="P198">
        <v>3813.88</v>
      </c>
      <c r="Q198">
        <v>7.7713999999999999</v>
      </c>
      <c r="R198" s="43">
        <f t="shared" si="19"/>
        <v>490.7584219059629</v>
      </c>
      <c r="S198"/>
      <c r="U198" s="38"/>
    </row>
    <row r="199" spans="1:21" x14ac:dyDescent="0.3">
      <c r="A199" s="16">
        <v>197</v>
      </c>
      <c r="B199" s="3">
        <v>45594</v>
      </c>
      <c r="C199" s="40">
        <v>5832.92</v>
      </c>
      <c r="D199">
        <v>20380.64</v>
      </c>
      <c r="E199">
        <v>7.7709999999999999</v>
      </c>
      <c r="F199" s="14">
        <f t="shared" si="15"/>
        <v>2622.653455153777</v>
      </c>
      <c r="G199">
        <v>14378.25</v>
      </c>
      <c r="H199">
        <v>7.7709999999999999</v>
      </c>
      <c r="I199" s="14">
        <f t="shared" si="16"/>
        <v>1850.2444987775061</v>
      </c>
      <c r="J199">
        <v>4513.68</v>
      </c>
      <c r="K199">
        <v>7.7709999999999999</v>
      </c>
      <c r="L199" s="43">
        <f t="shared" si="17"/>
        <v>580.8364431862052</v>
      </c>
      <c r="M199">
        <v>7286.5</v>
      </c>
      <c r="N199">
        <v>7.7709999999999999</v>
      </c>
      <c r="O199" s="43">
        <f t="shared" si="18"/>
        <v>937.65281173594133</v>
      </c>
      <c r="P199">
        <v>3759.15</v>
      </c>
      <c r="Q199">
        <v>7.7709999999999999</v>
      </c>
      <c r="R199" s="43">
        <f t="shared" si="19"/>
        <v>483.74083129584352</v>
      </c>
      <c r="S199"/>
      <c r="U199" s="38"/>
    </row>
    <row r="200" spans="1:21" x14ac:dyDescent="0.3">
      <c r="A200" s="16">
        <v>198</v>
      </c>
      <c r="B200" s="3">
        <v>45595</v>
      </c>
      <c r="C200" s="40">
        <v>5813.67</v>
      </c>
      <c r="D200">
        <v>20317.330000000002</v>
      </c>
      <c r="E200">
        <v>7.7718999999999996</v>
      </c>
      <c r="F200" s="14">
        <f t="shared" si="15"/>
        <v>2614.2037339646681</v>
      </c>
      <c r="G200">
        <v>14111.08</v>
      </c>
      <c r="H200">
        <v>7.7718999999999996</v>
      </c>
      <c r="I200" s="14">
        <f t="shared" si="16"/>
        <v>1815.6538298228234</v>
      </c>
      <c r="J200">
        <v>4499.1499999999996</v>
      </c>
      <c r="K200">
        <v>7.7718999999999996</v>
      </c>
      <c r="L200" s="43">
        <f t="shared" si="17"/>
        <v>578.89962557418391</v>
      </c>
      <c r="M200">
        <v>7264.11</v>
      </c>
      <c r="N200">
        <v>7.7718999999999996</v>
      </c>
      <c r="O200" s="43">
        <f t="shared" si="18"/>
        <v>934.66333843719042</v>
      </c>
      <c r="P200">
        <v>3764.77</v>
      </c>
      <c r="Q200">
        <v>7.7718999999999996</v>
      </c>
      <c r="R200" s="43">
        <f t="shared" si="19"/>
        <v>484.40793113653035</v>
      </c>
      <c r="S200"/>
      <c r="U200" s="38"/>
    </row>
    <row r="201" spans="1:21" x14ac:dyDescent="0.3">
      <c r="A201" s="16">
        <v>199</v>
      </c>
      <c r="B201" s="3">
        <v>45596</v>
      </c>
      <c r="C201" s="40">
        <v>5705.45</v>
      </c>
      <c r="D201">
        <v>20506.43</v>
      </c>
      <c r="E201">
        <v>7.7728999999999999</v>
      </c>
      <c r="F201" s="14">
        <f t="shared" si="15"/>
        <v>2638.1955254795507</v>
      </c>
      <c r="G201">
        <v>14040.5</v>
      </c>
      <c r="H201">
        <v>7.7728999999999999</v>
      </c>
      <c r="I201" s="14">
        <f t="shared" si="16"/>
        <v>1806.3399760707073</v>
      </c>
      <c r="J201">
        <v>4483.91</v>
      </c>
      <c r="K201">
        <v>7.7728999999999999</v>
      </c>
      <c r="L201" s="43">
        <f t="shared" si="17"/>
        <v>576.86449073061533</v>
      </c>
      <c r="M201">
        <v>7342.66</v>
      </c>
      <c r="N201">
        <v>7.7728999999999999</v>
      </c>
      <c r="O201" s="43">
        <f t="shared" si="18"/>
        <v>944.64871540866341</v>
      </c>
      <c r="P201">
        <v>3816</v>
      </c>
      <c r="Q201">
        <v>7.7728999999999999</v>
      </c>
      <c r="R201" s="43">
        <f t="shared" si="19"/>
        <v>490.93645872196993</v>
      </c>
      <c r="S201"/>
      <c r="U201" s="38"/>
    </row>
    <row r="202" spans="1:21" x14ac:dyDescent="0.3">
      <c r="A202" s="16">
        <v>200</v>
      </c>
      <c r="B202" s="3">
        <v>45597</v>
      </c>
      <c r="C202" s="40">
        <v>5728.8</v>
      </c>
      <c r="D202">
        <v>20567.52</v>
      </c>
      <c r="E202">
        <v>7.7769000000000004</v>
      </c>
      <c r="F202" s="14">
        <f t="shared" si="15"/>
        <v>2644.693901168846</v>
      </c>
      <c r="G202">
        <v>14212.21</v>
      </c>
      <c r="H202">
        <v>7.7769000000000004</v>
      </c>
      <c r="I202" s="14">
        <f t="shared" si="16"/>
        <v>1827.4903882009539</v>
      </c>
      <c r="J202">
        <v>4532.18</v>
      </c>
      <c r="K202">
        <v>7.7769000000000004</v>
      </c>
      <c r="L202" s="43">
        <f t="shared" si="17"/>
        <v>582.7746274222377</v>
      </c>
      <c r="M202">
        <v>7367.65</v>
      </c>
      <c r="N202">
        <v>7.7769000000000004</v>
      </c>
      <c r="O202" s="43">
        <f t="shared" si="18"/>
        <v>947.37620388586697</v>
      </c>
      <c r="P202">
        <v>3804.79</v>
      </c>
      <c r="Q202">
        <v>7.7769000000000004</v>
      </c>
      <c r="R202" s="43">
        <f t="shared" si="19"/>
        <v>489.24250022502537</v>
      </c>
      <c r="S202"/>
      <c r="U202" s="38"/>
    </row>
    <row r="203" spans="1:21" x14ac:dyDescent="0.3">
      <c r="A203" s="16">
        <v>201</v>
      </c>
      <c r="B203" s="3">
        <v>45600</v>
      </c>
      <c r="C203" s="40">
        <v>5712.69</v>
      </c>
      <c r="D203">
        <v>21006.97</v>
      </c>
      <c r="E203">
        <v>7.7721</v>
      </c>
      <c r="F203" s="14">
        <f t="shared" si="15"/>
        <v>2702.8692374004454</v>
      </c>
      <c r="G203">
        <v>14284.2</v>
      </c>
      <c r="H203">
        <v>7.7721</v>
      </c>
      <c r="I203" s="14">
        <f t="shared" si="16"/>
        <v>1837.8816536071333</v>
      </c>
      <c r="J203">
        <v>4693.8500000000004</v>
      </c>
      <c r="K203">
        <v>7.7721</v>
      </c>
      <c r="L203" s="43">
        <f t="shared" si="17"/>
        <v>603.93587318742686</v>
      </c>
      <c r="M203">
        <v>7556.62</v>
      </c>
      <c r="N203">
        <v>7.7721</v>
      </c>
      <c r="O203" s="43">
        <f t="shared" si="18"/>
        <v>972.27518945973418</v>
      </c>
      <c r="P203">
        <v>3870.89</v>
      </c>
      <c r="Q203">
        <v>7.7721</v>
      </c>
      <c r="R203" s="43">
        <f t="shared" si="19"/>
        <v>498.04943322911436</v>
      </c>
      <c r="S203"/>
      <c r="U203" s="38"/>
    </row>
    <row r="204" spans="1:21" x14ac:dyDescent="0.3">
      <c r="A204" s="16">
        <v>202</v>
      </c>
      <c r="B204" s="3">
        <v>45601</v>
      </c>
      <c r="C204" s="40">
        <v>5782.76</v>
      </c>
      <c r="D204">
        <v>20538.38</v>
      </c>
      <c r="E204">
        <v>7.7727000000000004</v>
      </c>
      <c r="F204" s="14">
        <f t="shared" si="15"/>
        <v>2642.3739498501163</v>
      </c>
      <c r="G204">
        <v>14646.72</v>
      </c>
      <c r="H204">
        <v>7.7727000000000004</v>
      </c>
      <c r="I204" s="14">
        <f t="shared" si="16"/>
        <v>1884.37994519279</v>
      </c>
      <c r="J204">
        <v>4574.5</v>
      </c>
      <c r="K204">
        <v>7.7727000000000004</v>
      </c>
      <c r="L204" s="43">
        <f t="shared" si="17"/>
        <v>588.53422877507171</v>
      </c>
      <c r="M204">
        <v>7363.47</v>
      </c>
      <c r="N204">
        <v>7.7727000000000004</v>
      </c>
      <c r="O204" s="43">
        <f t="shared" si="18"/>
        <v>947.35034158014594</v>
      </c>
      <c r="P204">
        <v>3796.71</v>
      </c>
      <c r="Q204">
        <v>7.7727000000000004</v>
      </c>
      <c r="R204" s="43">
        <f t="shared" si="19"/>
        <v>488.46732795553669</v>
      </c>
      <c r="S204"/>
      <c r="U204" s="38"/>
    </row>
    <row r="205" spans="1:21" x14ac:dyDescent="0.3">
      <c r="A205" s="16">
        <v>203</v>
      </c>
      <c r="B205" s="3">
        <v>45602</v>
      </c>
      <c r="C205" s="40">
        <v>5929.04</v>
      </c>
      <c r="D205">
        <v>20953.34</v>
      </c>
      <c r="E205">
        <v>7.7759</v>
      </c>
      <c r="F205" s="14">
        <f t="shared" si="15"/>
        <v>2694.6514229864069</v>
      </c>
      <c r="G205">
        <v>14279.46</v>
      </c>
      <c r="H205">
        <v>7.7759</v>
      </c>
      <c r="I205" s="14">
        <f t="shared" si="16"/>
        <v>1836.3739245617869</v>
      </c>
      <c r="J205">
        <v>4677.6400000000003</v>
      </c>
      <c r="K205">
        <v>7.7759</v>
      </c>
      <c r="L205" s="43">
        <f t="shared" si="17"/>
        <v>601.55608997029287</v>
      </c>
      <c r="M205">
        <v>7546.95</v>
      </c>
      <c r="N205">
        <v>7.7759</v>
      </c>
      <c r="O205" s="43">
        <f t="shared" si="18"/>
        <v>970.55646291747576</v>
      </c>
      <c r="P205">
        <v>3894.8</v>
      </c>
      <c r="Q205">
        <v>7.7759</v>
      </c>
      <c r="R205" s="43">
        <f t="shared" si="19"/>
        <v>500.88092696665342</v>
      </c>
      <c r="S205"/>
      <c r="U205" s="38"/>
    </row>
    <row r="206" spans="1:21" x14ac:dyDescent="0.3">
      <c r="A206" s="16">
        <v>204</v>
      </c>
      <c r="B206" s="3">
        <v>45603</v>
      </c>
      <c r="C206" s="40">
        <v>5973.1</v>
      </c>
      <c r="D206">
        <v>20728.189999999999</v>
      </c>
      <c r="E206">
        <v>7.7706</v>
      </c>
      <c r="F206" s="14">
        <f t="shared" si="15"/>
        <v>2667.5147350268962</v>
      </c>
      <c r="G206">
        <v>14625.97</v>
      </c>
      <c r="H206">
        <v>7.7706</v>
      </c>
      <c r="I206" s="14">
        <f t="shared" si="16"/>
        <v>1882.21887627725</v>
      </c>
      <c r="J206">
        <v>4668.26</v>
      </c>
      <c r="K206">
        <v>7.7706</v>
      </c>
      <c r="L206" s="43">
        <f t="shared" si="17"/>
        <v>600.75927212827844</v>
      </c>
      <c r="M206">
        <v>7461.44</v>
      </c>
      <c r="N206">
        <v>7.7706</v>
      </c>
      <c r="O206" s="43">
        <f t="shared" si="18"/>
        <v>960.2141404782127</v>
      </c>
      <c r="P206">
        <v>3819.64</v>
      </c>
      <c r="Q206">
        <v>7.7706</v>
      </c>
      <c r="R206" s="43">
        <f t="shared" si="19"/>
        <v>491.55020204360022</v>
      </c>
      <c r="S206"/>
      <c r="U206" s="38"/>
    </row>
    <row r="207" spans="1:21" x14ac:dyDescent="0.3">
      <c r="A207" s="16">
        <v>205</v>
      </c>
      <c r="B207" s="3">
        <v>45604</v>
      </c>
      <c r="C207" s="40">
        <v>5995.54</v>
      </c>
      <c r="D207">
        <v>20426.93</v>
      </c>
      <c r="E207">
        <v>7.7744999999999997</v>
      </c>
      <c r="F207" s="14">
        <f t="shared" si="15"/>
        <v>2627.4268441700433</v>
      </c>
      <c r="G207">
        <v>14426.1</v>
      </c>
      <c r="H207">
        <v>7.7744999999999997</v>
      </c>
      <c r="I207" s="14">
        <f t="shared" si="16"/>
        <v>1855.5662743584799</v>
      </c>
      <c r="J207">
        <v>4651.71</v>
      </c>
      <c r="K207">
        <v>7.7744999999999997</v>
      </c>
      <c r="L207" s="43">
        <f t="shared" si="17"/>
        <v>598.32915300019295</v>
      </c>
      <c r="M207">
        <v>7355.57</v>
      </c>
      <c r="N207">
        <v>7.7744999999999997</v>
      </c>
      <c r="O207" s="43">
        <f t="shared" si="18"/>
        <v>946.11486269213458</v>
      </c>
      <c r="P207">
        <v>3750.37</v>
      </c>
      <c r="Q207">
        <v>7.7744999999999997</v>
      </c>
      <c r="R207" s="43">
        <f t="shared" si="19"/>
        <v>482.39372306900765</v>
      </c>
      <c r="S207"/>
      <c r="U207" s="38"/>
    </row>
    <row r="208" spans="1:21" x14ac:dyDescent="0.3">
      <c r="A208" s="16">
        <v>206</v>
      </c>
      <c r="B208" s="3">
        <v>45607</v>
      </c>
      <c r="C208" s="40">
        <v>6001.35</v>
      </c>
      <c r="D208">
        <v>19846.88</v>
      </c>
      <c r="E208">
        <v>7.7755999999999998</v>
      </c>
      <c r="F208" s="14">
        <f t="shared" si="15"/>
        <v>2552.4564020782964</v>
      </c>
      <c r="G208">
        <v>14195.34</v>
      </c>
      <c r="H208">
        <v>7.7755999999999998</v>
      </c>
      <c r="I208" s="14">
        <f t="shared" si="16"/>
        <v>1825.6263182262462</v>
      </c>
      <c r="J208">
        <v>4456.8599999999997</v>
      </c>
      <c r="K208">
        <v>7.7755999999999998</v>
      </c>
      <c r="L208" s="43">
        <f t="shared" si="17"/>
        <v>573.18534904058845</v>
      </c>
      <c r="M208">
        <v>7127.14</v>
      </c>
      <c r="N208">
        <v>7.7755999999999998</v>
      </c>
      <c r="O208" s="43">
        <f t="shared" si="18"/>
        <v>916.60322033026398</v>
      </c>
      <c r="P208">
        <v>3658.64</v>
      </c>
      <c r="Q208">
        <v>7.7755999999999998</v>
      </c>
      <c r="R208" s="43">
        <f t="shared" si="19"/>
        <v>470.52831935799168</v>
      </c>
      <c r="S208"/>
      <c r="U208" s="38"/>
    </row>
    <row r="209" spans="1:21" x14ac:dyDescent="0.3">
      <c r="A209" s="16">
        <v>207</v>
      </c>
      <c r="B209" s="3">
        <v>45608</v>
      </c>
      <c r="C209" s="40">
        <v>5983.99</v>
      </c>
      <c r="D209">
        <v>19823.45</v>
      </c>
      <c r="E209">
        <v>7.7778999999999998</v>
      </c>
      <c r="F209" s="14">
        <f t="shared" si="15"/>
        <v>2548.6892348834522</v>
      </c>
      <c r="G209">
        <v>13761.95</v>
      </c>
      <c r="H209">
        <v>7.7778999999999998</v>
      </c>
      <c r="I209" s="14">
        <f t="shared" si="16"/>
        <v>1769.365767109374</v>
      </c>
      <c r="J209">
        <v>4455.67</v>
      </c>
      <c r="K209">
        <v>7.7778999999999998</v>
      </c>
      <c r="L209" s="43">
        <f t="shared" si="17"/>
        <v>572.86285501227837</v>
      </c>
      <c r="M209">
        <v>7130.93</v>
      </c>
      <c r="N209">
        <v>7.7778999999999998</v>
      </c>
      <c r="O209" s="43">
        <f t="shared" si="18"/>
        <v>916.81944998007179</v>
      </c>
      <c r="P209">
        <v>3662.17</v>
      </c>
      <c r="Q209">
        <v>7.7778999999999998</v>
      </c>
      <c r="R209" s="43">
        <f t="shared" si="19"/>
        <v>470.84302960953471</v>
      </c>
      <c r="S209"/>
      <c r="U209" s="38"/>
    </row>
    <row r="210" spans="1:21" x14ac:dyDescent="0.3">
      <c r="A210" s="16">
        <v>208</v>
      </c>
      <c r="B210" s="3">
        <v>45609</v>
      </c>
      <c r="C210" s="40">
        <v>5985.38</v>
      </c>
      <c r="D210">
        <v>19435.810000000001</v>
      </c>
      <c r="E210">
        <v>7.7805999999999997</v>
      </c>
      <c r="F210" s="14">
        <f t="shared" si="15"/>
        <v>2497.983446006735</v>
      </c>
      <c r="G210">
        <v>13750.41</v>
      </c>
      <c r="H210">
        <v>7.7805999999999997</v>
      </c>
      <c r="I210" s="14">
        <f t="shared" si="16"/>
        <v>1767.2685911112253</v>
      </c>
      <c r="J210">
        <v>4318.32</v>
      </c>
      <c r="K210">
        <v>7.7805999999999997</v>
      </c>
      <c r="L210" s="43">
        <f t="shared" si="17"/>
        <v>555.01118165694163</v>
      </c>
      <c r="M210">
        <v>6973.08</v>
      </c>
      <c r="N210">
        <v>7.7805999999999997</v>
      </c>
      <c r="O210" s="43">
        <f t="shared" si="18"/>
        <v>896.21365961493973</v>
      </c>
      <c r="P210">
        <v>3580.19</v>
      </c>
      <c r="Q210">
        <v>7.7805999999999997</v>
      </c>
      <c r="R210" s="43">
        <f t="shared" si="19"/>
        <v>460.14317661876976</v>
      </c>
      <c r="S210"/>
      <c r="U210" s="38"/>
    </row>
    <row r="211" spans="1:21" x14ac:dyDescent="0.3">
      <c r="A211" s="16">
        <v>209</v>
      </c>
      <c r="B211" s="3">
        <v>45610</v>
      </c>
      <c r="C211" s="40">
        <v>5949.17</v>
      </c>
      <c r="D211">
        <v>19426.34</v>
      </c>
      <c r="E211">
        <v>7.7812000000000001</v>
      </c>
      <c r="F211" s="14">
        <f t="shared" si="15"/>
        <v>2496.573793245258</v>
      </c>
      <c r="G211">
        <v>13446.07</v>
      </c>
      <c r="H211">
        <v>7.7812000000000001</v>
      </c>
      <c r="I211" s="14">
        <f t="shared" si="16"/>
        <v>1728.0200997275483</v>
      </c>
      <c r="J211">
        <v>4327.84</v>
      </c>
      <c r="K211">
        <v>7.7812000000000001</v>
      </c>
      <c r="L211" s="43">
        <f t="shared" si="17"/>
        <v>556.19184701588449</v>
      </c>
      <c r="M211">
        <v>6980.06</v>
      </c>
      <c r="N211">
        <v>7.7812000000000001</v>
      </c>
      <c r="O211" s="43">
        <f t="shared" si="18"/>
        <v>897.04158741582285</v>
      </c>
      <c r="P211">
        <v>3588.23</v>
      </c>
      <c r="Q211">
        <v>7.7812000000000001</v>
      </c>
      <c r="R211" s="43">
        <f t="shared" si="19"/>
        <v>461.1409551226032</v>
      </c>
      <c r="S211"/>
      <c r="U211" s="38"/>
    </row>
    <row r="212" spans="1:21" x14ac:dyDescent="0.3">
      <c r="A212" s="16">
        <v>210</v>
      </c>
      <c r="B212" s="3">
        <v>45611</v>
      </c>
      <c r="C212" s="40">
        <v>5870.62</v>
      </c>
      <c r="D212">
        <v>19576.61</v>
      </c>
      <c r="E212">
        <v>7.7850999999999999</v>
      </c>
      <c r="F212" s="14">
        <f t="shared" si="15"/>
        <v>2514.6253741120859</v>
      </c>
      <c r="G212">
        <v>13478.38</v>
      </c>
      <c r="H212">
        <v>7.7850999999999999</v>
      </c>
      <c r="I212" s="14">
        <f t="shared" si="16"/>
        <v>1731.304671744743</v>
      </c>
      <c r="J212">
        <v>4341.53</v>
      </c>
      <c r="K212">
        <v>7.7850999999999999</v>
      </c>
      <c r="L212" s="43">
        <f t="shared" si="17"/>
        <v>557.67170620801267</v>
      </c>
      <c r="M212">
        <v>7057.1</v>
      </c>
      <c r="N212">
        <v>7.7850999999999999</v>
      </c>
      <c r="O212" s="43">
        <f t="shared" si="18"/>
        <v>906.48803483577615</v>
      </c>
      <c r="P212">
        <v>3614.48</v>
      </c>
      <c r="Q212">
        <v>7.7850999999999999</v>
      </c>
      <c r="R212" s="43">
        <f t="shared" si="19"/>
        <v>464.28176902030805</v>
      </c>
      <c r="S212"/>
      <c r="U212" s="38"/>
    </row>
    <row r="213" spans="1:21" x14ac:dyDescent="0.3">
      <c r="A213" s="16">
        <v>211</v>
      </c>
      <c r="B213" s="3">
        <v>45614</v>
      </c>
      <c r="C213" s="40">
        <v>5893.62</v>
      </c>
      <c r="D213">
        <v>19663.669999999998</v>
      </c>
      <c r="E213">
        <v>7.7835999999999999</v>
      </c>
      <c r="F213" s="14">
        <f t="shared" si="15"/>
        <v>2526.2950305771105</v>
      </c>
      <c r="G213">
        <v>13639.48</v>
      </c>
      <c r="H213">
        <v>7.7835999999999999</v>
      </c>
      <c r="I213" s="14">
        <f t="shared" si="16"/>
        <v>1752.3356801480036</v>
      </c>
      <c r="J213">
        <v>4395.04</v>
      </c>
      <c r="K213">
        <v>7.7835999999999999</v>
      </c>
      <c r="L213" s="43">
        <f t="shared" si="17"/>
        <v>564.65388766123647</v>
      </c>
      <c r="M213">
        <v>7082.21</v>
      </c>
      <c r="N213">
        <v>7.7835999999999999</v>
      </c>
      <c r="O213" s="43">
        <f t="shared" si="18"/>
        <v>909.88874042859345</v>
      </c>
      <c r="P213">
        <v>3625.57</v>
      </c>
      <c r="Q213">
        <v>7.7835999999999999</v>
      </c>
      <c r="R213" s="43">
        <f t="shared" si="19"/>
        <v>465.79603268410506</v>
      </c>
      <c r="S213"/>
      <c r="U213" s="38"/>
    </row>
    <row r="214" spans="1:21" x14ac:dyDescent="0.3">
      <c r="A214" s="16">
        <v>212</v>
      </c>
      <c r="B214" s="3">
        <v>45615</v>
      </c>
      <c r="C214" s="40">
        <v>5916.98</v>
      </c>
      <c r="D214">
        <v>19705.009999999998</v>
      </c>
      <c r="E214">
        <v>7.7831000000000001</v>
      </c>
      <c r="F214" s="14">
        <f t="shared" si="15"/>
        <v>2531.7688324703522</v>
      </c>
      <c r="G214">
        <v>13700.66</v>
      </c>
      <c r="H214">
        <v>7.7831000000000001</v>
      </c>
      <c r="I214" s="14">
        <f t="shared" si="16"/>
        <v>1760.3088743559763</v>
      </c>
      <c r="J214">
        <v>4413.08</v>
      </c>
      <c r="K214">
        <v>7.7831000000000001</v>
      </c>
      <c r="L214" s="43">
        <f t="shared" si="17"/>
        <v>567.00800452261956</v>
      </c>
      <c r="M214">
        <v>7090.86</v>
      </c>
      <c r="N214">
        <v>7.7831000000000001</v>
      </c>
      <c r="O214" s="43">
        <f t="shared" si="18"/>
        <v>911.05857563181758</v>
      </c>
      <c r="P214">
        <v>3639.8</v>
      </c>
      <c r="Q214">
        <v>7.7831000000000001</v>
      </c>
      <c r="R214" s="43">
        <f t="shared" si="19"/>
        <v>467.65427657360181</v>
      </c>
      <c r="S214"/>
      <c r="U214" s="38"/>
    </row>
    <row r="215" spans="1:21" x14ac:dyDescent="0.3">
      <c r="A215" s="16">
        <v>213</v>
      </c>
      <c r="B215" s="3">
        <v>45616</v>
      </c>
      <c r="C215" s="40">
        <v>5917.11</v>
      </c>
      <c r="D215">
        <v>19601.11</v>
      </c>
      <c r="E215">
        <v>7.7835000000000001</v>
      </c>
      <c r="F215" s="14">
        <f t="shared" si="15"/>
        <v>2518.2899723774653</v>
      </c>
      <c r="G215">
        <v>13720.73</v>
      </c>
      <c r="H215">
        <v>7.7835000000000001</v>
      </c>
      <c r="I215" s="14">
        <f t="shared" si="16"/>
        <v>1762.7969422496305</v>
      </c>
      <c r="J215">
        <v>4358.1499999999996</v>
      </c>
      <c r="K215">
        <v>7.7835000000000001</v>
      </c>
      <c r="L215" s="43">
        <f t="shared" si="17"/>
        <v>559.92162908717148</v>
      </c>
      <c r="M215">
        <v>7034.89</v>
      </c>
      <c r="N215">
        <v>7.7835000000000001</v>
      </c>
      <c r="O215" s="43">
        <f t="shared" si="18"/>
        <v>903.82090319265114</v>
      </c>
      <c r="P215">
        <v>3625.56</v>
      </c>
      <c r="Q215">
        <v>7.7835000000000001</v>
      </c>
      <c r="R215" s="43">
        <f t="shared" si="19"/>
        <v>465.80073231836576</v>
      </c>
      <c r="S215"/>
      <c r="U215" s="38"/>
    </row>
    <row r="216" spans="1:21" x14ac:dyDescent="0.3">
      <c r="A216" s="16">
        <v>214</v>
      </c>
      <c r="B216" s="3">
        <v>45617</v>
      </c>
      <c r="C216" s="40">
        <v>5948.71</v>
      </c>
      <c r="D216">
        <v>19229.97</v>
      </c>
      <c r="E216">
        <v>7.7826000000000004</v>
      </c>
      <c r="F216" s="14">
        <f t="shared" si="15"/>
        <v>2470.8927607740343</v>
      </c>
      <c r="G216">
        <v>13618.9</v>
      </c>
      <c r="H216">
        <v>7.7826000000000004</v>
      </c>
      <c r="I216" s="14">
        <f t="shared" si="16"/>
        <v>1749.9164803536091</v>
      </c>
      <c r="J216">
        <v>4246.2</v>
      </c>
      <c r="K216">
        <v>7.7826000000000004</v>
      </c>
      <c r="L216" s="43">
        <f t="shared" si="17"/>
        <v>545.60172692930382</v>
      </c>
      <c r="M216">
        <v>6887.05</v>
      </c>
      <c r="N216">
        <v>7.7826000000000004</v>
      </c>
      <c r="O216" s="43">
        <f t="shared" si="18"/>
        <v>884.92920103821348</v>
      </c>
      <c r="P216">
        <v>3547.92</v>
      </c>
      <c r="Q216">
        <v>7.7826000000000004</v>
      </c>
      <c r="R216" s="43">
        <f t="shared" si="19"/>
        <v>455.87849818826612</v>
      </c>
      <c r="S216"/>
      <c r="U216" s="38"/>
    </row>
    <row r="217" spans="1:21" x14ac:dyDescent="0.3">
      <c r="A217" s="16">
        <v>215</v>
      </c>
      <c r="B217" s="3">
        <v>45618</v>
      </c>
      <c r="C217" s="40">
        <v>5969.34</v>
      </c>
      <c r="D217">
        <v>19150.990000000002</v>
      </c>
      <c r="E217">
        <v>7.7840999999999996</v>
      </c>
      <c r="F217" s="14">
        <f t="shared" si="15"/>
        <v>2460.2702945748388</v>
      </c>
      <c r="G217">
        <v>13316.61</v>
      </c>
      <c r="H217">
        <v>7.7840999999999996</v>
      </c>
      <c r="I217" s="14">
        <f t="shared" si="16"/>
        <v>1710.7449801518483</v>
      </c>
      <c r="J217">
        <v>4235.3100000000004</v>
      </c>
      <c r="K217">
        <v>7.7840999999999996</v>
      </c>
      <c r="L217" s="43">
        <f t="shared" si="17"/>
        <v>544.09758353566895</v>
      </c>
      <c r="M217">
        <v>6862.2</v>
      </c>
      <c r="N217">
        <v>7.7840999999999996</v>
      </c>
      <c r="O217" s="43">
        <f t="shared" si="18"/>
        <v>881.56626970362663</v>
      </c>
      <c r="P217">
        <v>3540.8</v>
      </c>
      <c r="Q217">
        <v>7.7840999999999996</v>
      </c>
      <c r="R217" s="43">
        <f t="shared" si="19"/>
        <v>454.87596510836198</v>
      </c>
      <c r="S217"/>
      <c r="U217" s="38"/>
    </row>
    <row r="218" spans="1:21" x14ac:dyDescent="0.3">
      <c r="A218" s="16">
        <v>216</v>
      </c>
      <c r="B218" s="3">
        <v>45621</v>
      </c>
      <c r="C218" s="40">
        <v>5987.37</v>
      </c>
      <c r="D218">
        <v>19159.2</v>
      </c>
      <c r="E218">
        <v>7.7821999999999996</v>
      </c>
      <c r="F218" s="14">
        <f t="shared" si="15"/>
        <v>2461.9259335406441</v>
      </c>
      <c r="G218">
        <v>13245.05</v>
      </c>
      <c r="H218">
        <v>7.7821999999999996</v>
      </c>
      <c r="I218" s="14">
        <f t="shared" si="16"/>
        <v>1701.9673100151629</v>
      </c>
      <c r="J218">
        <v>4221.99</v>
      </c>
      <c r="K218">
        <v>7.7821999999999996</v>
      </c>
      <c r="L218" s="43">
        <f t="shared" si="17"/>
        <v>542.51882501092234</v>
      </c>
      <c r="M218">
        <v>6851.56</v>
      </c>
      <c r="N218">
        <v>7.7821999999999996</v>
      </c>
      <c r="O218" s="43">
        <f t="shared" si="18"/>
        <v>880.41427873866007</v>
      </c>
      <c r="P218">
        <v>3534.74</v>
      </c>
      <c r="Q218">
        <v>7.7821999999999996</v>
      </c>
      <c r="R218" s="43">
        <f t="shared" si="19"/>
        <v>454.20832155431629</v>
      </c>
      <c r="S218"/>
      <c r="U218" s="38"/>
    </row>
    <row r="219" spans="1:21" x14ac:dyDescent="0.3">
      <c r="A219" s="16">
        <v>217</v>
      </c>
      <c r="B219" s="3">
        <v>45622</v>
      </c>
      <c r="C219" s="40">
        <v>6021.63</v>
      </c>
      <c r="D219">
        <v>19603.13</v>
      </c>
      <c r="E219">
        <v>7.7828999999999997</v>
      </c>
      <c r="F219" s="14">
        <f t="shared" si="15"/>
        <v>2518.7436559637154</v>
      </c>
      <c r="G219">
        <v>13240.89</v>
      </c>
      <c r="H219">
        <v>7.7828999999999997</v>
      </c>
      <c r="I219" s="14">
        <f t="shared" si="16"/>
        <v>1701.2797286358555</v>
      </c>
      <c r="J219">
        <v>4374.4399999999996</v>
      </c>
      <c r="K219">
        <v>7.7828999999999997</v>
      </c>
      <c r="L219" s="43">
        <f t="shared" si="17"/>
        <v>562.05784476223516</v>
      </c>
      <c r="M219">
        <v>7027.4</v>
      </c>
      <c r="N219">
        <v>7.7828999999999997</v>
      </c>
      <c r="O219" s="43">
        <f t="shared" si="18"/>
        <v>902.92821441878993</v>
      </c>
      <c r="P219">
        <v>3591.53</v>
      </c>
      <c r="Q219">
        <v>7.7828999999999997</v>
      </c>
      <c r="R219" s="43">
        <f t="shared" si="19"/>
        <v>461.46423569620583</v>
      </c>
      <c r="S219"/>
      <c r="U219" s="38"/>
    </row>
    <row r="220" spans="1:21" x14ac:dyDescent="0.3">
      <c r="A220" s="16">
        <v>218</v>
      </c>
      <c r="B220" s="3">
        <v>45623</v>
      </c>
      <c r="C220" s="40">
        <v>5998.74</v>
      </c>
      <c r="D220">
        <v>19423.61</v>
      </c>
      <c r="E220">
        <v>7.7816000000000001</v>
      </c>
      <c r="F220" s="14">
        <f t="shared" si="15"/>
        <v>2496.0946334943969</v>
      </c>
      <c r="G220">
        <v>13590.09</v>
      </c>
      <c r="H220">
        <v>7.7816000000000001</v>
      </c>
      <c r="I220" s="14">
        <f t="shared" si="16"/>
        <v>1746.4390356738975</v>
      </c>
      <c r="J220">
        <v>4353.55</v>
      </c>
      <c r="K220">
        <v>7.7816000000000001</v>
      </c>
      <c r="L220" s="43">
        <f t="shared" si="17"/>
        <v>559.46720468798196</v>
      </c>
      <c r="M220">
        <v>6946.68</v>
      </c>
      <c r="N220">
        <v>7.7816000000000001</v>
      </c>
      <c r="O220" s="43">
        <f t="shared" si="18"/>
        <v>892.70587025804468</v>
      </c>
      <c r="P220">
        <v>3541.29</v>
      </c>
      <c r="Q220">
        <v>7.7816000000000001</v>
      </c>
      <c r="R220" s="43">
        <f t="shared" si="19"/>
        <v>455.0850724786676</v>
      </c>
      <c r="S220"/>
      <c r="U220" s="38"/>
    </row>
    <row r="221" spans="1:21" x14ac:dyDescent="0.3">
      <c r="A221" s="16">
        <v>219</v>
      </c>
      <c r="B221" s="3">
        <v>45625</v>
      </c>
      <c r="C221" s="40">
        <v>6032.38</v>
      </c>
      <c r="D221">
        <v>19550.29</v>
      </c>
      <c r="E221">
        <v>7.7817999999999996</v>
      </c>
      <c r="F221" s="14">
        <f t="shared" si="15"/>
        <v>2512.3094913773166</v>
      </c>
      <c r="G221">
        <v>13420.64</v>
      </c>
      <c r="H221">
        <v>7.7817999999999996</v>
      </c>
      <c r="I221" s="14">
        <f t="shared" si="16"/>
        <v>1724.6189827546327</v>
      </c>
      <c r="J221">
        <v>4405.95</v>
      </c>
      <c r="K221">
        <v>7.7817999999999996</v>
      </c>
      <c r="L221" s="43">
        <f t="shared" si="17"/>
        <v>566.1864864170243</v>
      </c>
      <c r="M221">
        <v>7009.05</v>
      </c>
      <c r="N221">
        <v>7.7817999999999996</v>
      </c>
      <c r="O221" s="43">
        <f t="shared" si="18"/>
        <v>900.69778200416363</v>
      </c>
      <c r="P221">
        <v>3568.78</v>
      </c>
      <c r="Q221">
        <v>7.7817999999999996</v>
      </c>
      <c r="R221" s="43">
        <f t="shared" si="19"/>
        <v>458.60597805135063</v>
      </c>
      <c r="S221"/>
      <c r="U221" s="38"/>
    </row>
    <row r="222" spans="1:21" x14ac:dyDescent="0.3">
      <c r="A222" s="16">
        <v>220</v>
      </c>
      <c r="B222" s="3">
        <v>45628</v>
      </c>
      <c r="C222" s="40">
        <v>6047.15</v>
      </c>
      <c r="D222">
        <v>19746.32</v>
      </c>
      <c r="E222">
        <v>7.7815000000000003</v>
      </c>
      <c r="F222" s="14">
        <f t="shared" si="15"/>
        <v>2537.5981494570456</v>
      </c>
      <c r="G222">
        <v>13547.14</v>
      </c>
      <c r="H222">
        <v>7.7815000000000003</v>
      </c>
      <c r="I222" s="14">
        <f t="shared" si="16"/>
        <v>1740.9419777677824</v>
      </c>
      <c r="J222">
        <v>4417.99</v>
      </c>
      <c r="K222">
        <v>7.7815000000000003</v>
      </c>
      <c r="L222" s="43">
        <f t="shared" si="17"/>
        <v>567.75557411810053</v>
      </c>
      <c r="M222">
        <v>7072.13</v>
      </c>
      <c r="N222">
        <v>7.7815000000000003</v>
      </c>
      <c r="O222" s="43">
        <f t="shared" si="18"/>
        <v>908.83891280601426</v>
      </c>
      <c r="P222">
        <v>3621.61</v>
      </c>
      <c r="Q222">
        <v>7.7815000000000003</v>
      </c>
      <c r="R222" s="43">
        <f t="shared" si="19"/>
        <v>465.41283814174642</v>
      </c>
      <c r="S222"/>
      <c r="U222" s="38"/>
    </row>
    <row r="223" spans="1:21" x14ac:dyDescent="0.3">
      <c r="A223" s="16">
        <v>221</v>
      </c>
      <c r="B223" s="3">
        <v>45629</v>
      </c>
      <c r="C223" s="40">
        <v>6049.88</v>
      </c>
      <c r="D223">
        <v>19742.46</v>
      </c>
      <c r="E223">
        <v>7.7827000000000002</v>
      </c>
      <c r="F223" s="14">
        <f t="shared" si="15"/>
        <v>2536.7109100954681</v>
      </c>
      <c r="G223">
        <v>13675.72</v>
      </c>
      <c r="H223">
        <v>7.7827000000000002</v>
      </c>
      <c r="I223" s="14">
        <f t="shared" si="16"/>
        <v>1757.1948038598428</v>
      </c>
      <c r="J223">
        <v>4404.04</v>
      </c>
      <c r="K223">
        <v>7.7827000000000002</v>
      </c>
      <c r="L223" s="43">
        <f t="shared" si="17"/>
        <v>565.87559587289752</v>
      </c>
      <c r="M223">
        <v>7085</v>
      </c>
      <c r="N223">
        <v>7.7827000000000002</v>
      </c>
      <c r="O223" s="43">
        <f t="shared" si="18"/>
        <v>910.35244837909715</v>
      </c>
      <c r="P223">
        <v>3633.02</v>
      </c>
      <c r="Q223">
        <v>7.7827000000000002</v>
      </c>
      <c r="R223" s="43">
        <f t="shared" si="19"/>
        <v>466.80714918986985</v>
      </c>
      <c r="S223"/>
      <c r="U223" s="38"/>
    </row>
    <row r="224" spans="1:21" x14ac:dyDescent="0.3">
      <c r="A224" s="16">
        <v>222</v>
      </c>
      <c r="B224" s="3">
        <v>45630</v>
      </c>
      <c r="C224" s="40">
        <v>6086.49</v>
      </c>
      <c r="D224">
        <v>19560.439999999999</v>
      </c>
      <c r="E224">
        <v>7.7843999999999998</v>
      </c>
      <c r="F224" s="14">
        <f t="shared" si="15"/>
        <v>2512.774266481681</v>
      </c>
      <c r="G224">
        <v>13694.47</v>
      </c>
      <c r="H224">
        <v>7.7843999999999998</v>
      </c>
      <c r="I224" s="14">
        <f t="shared" si="16"/>
        <v>1759.2197214942705</v>
      </c>
      <c r="J224">
        <v>4370.22</v>
      </c>
      <c r="K224">
        <v>7.7843999999999998</v>
      </c>
      <c r="L224" s="43">
        <f t="shared" si="17"/>
        <v>561.40743024510562</v>
      </c>
      <c r="M224">
        <v>7014.13</v>
      </c>
      <c r="N224">
        <v>7.7843999999999998</v>
      </c>
      <c r="O224" s="43">
        <f t="shared" si="18"/>
        <v>901.04953496737073</v>
      </c>
      <c r="P224">
        <v>3600.99</v>
      </c>
      <c r="Q224">
        <v>7.7843999999999998</v>
      </c>
      <c r="R224" s="43">
        <f t="shared" si="19"/>
        <v>462.59056574687838</v>
      </c>
      <c r="S224"/>
      <c r="U224" s="38"/>
    </row>
    <row r="225" spans="1:21" x14ac:dyDescent="0.3">
      <c r="A225" s="16">
        <v>223</v>
      </c>
      <c r="B225" s="3">
        <v>45631</v>
      </c>
      <c r="C225" s="40">
        <v>6075.11</v>
      </c>
      <c r="D225">
        <v>19865.849999999999</v>
      </c>
      <c r="E225">
        <v>7.7820999999999998</v>
      </c>
      <c r="F225" s="14">
        <f t="shared" si="15"/>
        <v>2552.7621079143159</v>
      </c>
      <c r="G225">
        <v>13556.07</v>
      </c>
      <c r="H225">
        <v>7.7820999999999998</v>
      </c>
      <c r="I225" s="14">
        <f t="shared" si="16"/>
        <v>1741.9552562932884</v>
      </c>
      <c r="J225">
        <v>4464.6499999999996</v>
      </c>
      <c r="K225">
        <v>7.7820999999999998</v>
      </c>
      <c r="L225" s="43">
        <f t="shared" si="17"/>
        <v>573.70761105614167</v>
      </c>
      <c r="M225">
        <v>7136.55</v>
      </c>
      <c r="N225">
        <v>7.7820999999999998</v>
      </c>
      <c r="O225" s="43">
        <f t="shared" si="18"/>
        <v>917.04681255702189</v>
      </c>
      <c r="P225">
        <v>3652.83</v>
      </c>
      <c r="Q225">
        <v>7.7820999999999998</v>
      </c>
      <c r="R225" s="43">
        <f t="shared" si="19"/>
        <v>469.3887254083088</v>
      </c>
      <c r="S225"/>
      <c r="U225" s="38"/>
    </row>
    <row r="226" spans="1:21" x14ac:dyDescent="0.3">
      <c r="A226" s="16">
        <v>224</v>
      </c>
      <c r="B226" s="3">
        <v>45632</v>
      </c>
      <c r="C226" s="40">
        <v>6090.27</v>
      </c>
      <c r="D226">
        <v>20414.09</v>
      </c>
      <c r="E226">
        <v>7.7790999999999997</v>
      </c>
      <c r="F226" s="14">
        <f t="shared" si="15"/>
        <v>2624.2225964443187</v>
      </c>
      <c r="G226">
        <v>13826.07</v>
      </c>
      <c r="H226">
        <v>7.7790999999999997</v>
      </c>
      <c r="I226" s="14">
        <f t="shared" si="16"/>
        <v>1777.3354244064224</v>
      </c>
      <c r="J226">
        <v>4656.8</v>
      </c>
      <c r="K226">
        <v>7.7790999999999997</v>
      </c>
      <c r="L226" s="43">
        <f t="shared" si="17"/>
        <v>598.62966152896865</v>
      </c>
      <c r="M226">
        <v>7360.67</v>
      </c>
      <c r="N226">
        <v>7.7790999999999997</v>
      </c>
      <c r="O226" s="43">
        <f t="shared" si="18"/>
        <v>946.21100127264083</v>
      </c>
      <c r="P226">
        <v>3757.66</v>
      </c>
      <c r="Q226">
        <v>7.7790999999999997</v>
      </c>
      <c r="R226" s="43">
        <f t="shared" si="19"/>
        <v>483.04559653430346</v>
      </c>
      <c r="S226"/>
      <c r="U226" s="38"/>
    </row>
    <row r="227" spans="1:21" x14ac:dyDescent="0.3">
      <c r="A227" s="16">
        <v>225</v>
      </c>
      <c r="B227" s="3">
        <v>45635</v>
      </c>
      <c r="C227" s="40">
        <v>6052.85</v>
      </c>
      <c r="D227">
        <v>20311.28</v>
      </c>
      <c r="E227">
        <v>7.7742000000000004</v>
      </c>
      <c r="F227" s="14">
        <f t="shared" si="15"/>
        <v>2612.6521056828997</v>
      </c>
      <c r="G227">
        <v>14293.47</v>
      </c>
      <c r="H227">
        <v>7.7742000000000004</v>
      </c>
      <c r="I227" s="14">
        <f t="shared" si="16"/>
        <v>1838.5776028401635</v>
      </c>
      <c r="J227">
        <v>4591.9399999999996</v>
      </c>
      <c r="K227">
        <v>7.7742000000000004</v>
      </c>
      <c r="L227" s="43">
        <f t="shared" si="17"/>
        <v>590.66399115021477</v>
      </c>
      <c r="M227">
        <v>7306.16</v>
      </c>
      <c r="N227">
        <v>7.7742000000000004</v>
      </c>
      <c r="O227" s="43">
        <f t="shared" si="18"/>
        <v>939.79573460934876</v>
      </c>
      <c r="P227">
        <v>3716.12</v>
      </c>
      <c r="Q227">
        <v>7.7742000000000004</v>
      </c>
      <c r="R227" s="43">
        <f t="shared" si="19"/>
        <v>478.00674024336905</v>
      </c>
      <c r="S227"/>
      <c r="U227" s="38"/>
    </row>
    <row r="228" spans="1:21" x14ac:dyDescent="0.3">
      <c r="A228" s="16">
        <v>226</v>
      </c>
      <c r="B228" s="3">
        <v>45636</v>
      </c>
      <c r="C228" s="40">
        <v>6034.91</v>
      </c>
      <c r="D228">
        <v>20155.05</v>
      </c>
      <c r="E228">
        <v>7.7740999999999998</v>
      </c>
      <c r="F228" s="14">
        <f t="shared" si="15"/>
        <v>2592.5894958901995</v>
      </c>
      <c r="G228">
        <v>14173.75</v>
      </c>
      <c r="H228">
        <v>7.7740999999999998</v>
      </c>
      <c r="I228" s="14">
        <f t="shared" si="16"/>
        <v>1823.2013995189154</v>
      </c>
      <c r="J228">
        <v>4531.58</v>
      </c>
      <c r="K228">
        <v>7.7740999999999998</v>
      </c>
      <c r="L228" s="43">
        <f t="shared" si="17"/>
        <v>582.90734618798319</v>
      </c>
      <c r="M228">
        <v>7249.38</v>
      </c>
      <c r="N228">
        <v>7.7740999999999998</v>
      </c>
      <c r="O228" s="43">
        <f t="shared" si="18"/>
        <v>932.50408407404075</v>
      </c>
      <c r="P228">
        <v>3722.17</v>
      </c>
      <c r="Q228">
        <v>7.7740999999999998</v>
      </c>
      <c r="R228" s="43">
        <f t="shared" si="19"/>
        <v>478.79111408394544</v>
      </c>
      <c r="S228"/>
      <c r="U228" s="38"/>
    </row>
    <row r="229" spans="1:21" x14ac:dyDescent="0.3">
      <c r="A229" s="16">
        <v>227</v>
      </c>
      <c r="B229" s="3">
        <v>45637</v>
      </c>
      <c r="C229" s="40">
        <v>6084.19</v>
      </c>
      <c r="D229">
        <v>20397.05</v>
      </c>
      <c r="E229">
        <v>7.7746000000000004</v>
      </c>
      <c r="F229" s="14">
        <f t="shared" si="15"/>
        <v>2623.5497646181152</v>
      </c>
      <c r="G229">
        <v>14023.43</v>
      </c>
      <c r="H229">
        <v>7.7746000000000004</v>
      </c>
      <c r="I229" s="14">
        <f t="shared" si="16"/>
        <v>1803.7493890360918</v>
      </c>
      <c r="J229">
        <v>4600.82</v>
      </c>
      <c r="K229">
        <v>7.7746000000000004</v>
      </c>
      <c r="L229" s="43">
        <f t="shared" si="17"/>
        <v>591.77578267692218</v>
      </c>
      <c r="M229">
        <v>7360.1</v>
      </c>
      <c r="N229">
        <v>7.7746000000000004</v>
      </c>
      <c r="O229" s="43">
        <f t="shared" si="18"/>
        <v>946.68536001852181</v>
      </c>
      <c r="P229">
        <v>3757.46</v>
      </c>
      <c r="Q229">
        <v>7.7746000000000004</v>
      </c>
      <c r="R229" s="43">
        <f t="shared" si="19"/>
        <v>483.29946235176084</v>
      </c>
      <c r="S229"/>
      <c r="U229" s="38"/>
    </row>
    <row r="230" spans="1:21" x14ac:dyDescent="0.3">
      <c r="A230" s="16">
        <v>228</v>
      </c>
      <c r="B230" s="3">
        <v>45638</v>
      </c>
      <c r="C230" s="40">
        <v>6051.25</v>
      </c>
      <c r="D230">
        <v>19971.240000000002</v>
      </c>
      <c r="E230">
        <v>7.7746000000000004</v>
      </c>
      <c r="F230" s="14">
        <f t="shared" si="15"/>
        <v>2568.7803874154297</v>
      </c>
      <c r="G230">
        <v>14237.58</v>
      </c>
      <c r="H230">
        <v>7.7746000000000004</v>
      </c>
      <c r="I230" s="14">
        <f t="shared" si="16"/>
        <v>1831.29421449335</v>
      </c>
      <c r="J230">
        <v>4479.6000000000004</v>
      </c>
      <c r="K230">
        <v>7.7746000000000004</v>
      </c>
      <c r="L230" s="43">
        <f t="shared" si="17"/>
        <v>576.18398374192884</v>
      </c>
      <c r="M230">
        <v>7186.59</v>
      </c>
      <c r="N230">
        <v>7.7746000000000004</v>
      </c>
      <c r="O230" s="43">
        <f t="shared" si="18"/>
        <v>924.36781313508084</v>
      </c>
      <c r="P230">
        <v>3694.46</v>
      </c>
      <c r="Q230">
        <v>7.7746000000000004</v>
      </c>
      <c r="R230" s="43">
        <f t="shared" si="19"/>
        <v>475.19615157049878</v>
      </c>
      <c r="S230"/>
      <c r="U230" s="38"/>
    </row>
    <row r="231" spans="1:21" x14ac:dyDescent="0.3">
      <c r="A231" s="16">
        <v>229</v>
      </c>
      <c r="B231" s="3">
        <v>45639</v>
      </c>
      <c r="C231" s="40">
        <v>6051.09</v>
      </c>
      <c r="D231">
        <v>19795.490000000002</v>
      </c>
      <c r="E231">
        <v>7.7751000000000001</v>
      </c>
      <c r="F231" s="14">
        <f t="shared" si="15"/>
        <v>2546.0109837815594</v>
      </c>
      <c r="G231">
        <v>13898.96</v>
      </c>
      <c r="H231">
        <v>7.7751000000000001</v>
      </c>
      <c r="I231" s="14">
        <f t="shared" si="16"/>
        <v>1787.6245964682125</v>
      </c>
      <c r="J231">
        <v>4414.7</v>
      </c>
      <c r="K231">
        <v>7.7751000000000001</v>
      </c>
      <c r="L231" s="43">
        <f t="shared" si="17"/>
        <v>567.79977106403771</v>
      </c>
      <c r="M231">
        <v>7132.69</v>
      </c>
      <c r="N231">
        <v>7.7751000000000001</v>
      </c>
      <c r="O231" s="43">
        <f t="shared" si="18"/>
        <v>917.37598230247841</v>
      </c>
      <c r="P231">
        <v>3695.56</v>
      </c>
      <c r="Q231">
        <v>7.7751000000000001</v>
      </c>
      <c r="R231" s="43">
        <f t="shared" si="19"/>
        <v>475.30707000553048</v>
      </c>
      <c r="S231"/>
      <c r="U231" s="38"/>
    </row>
    <row r="232" spans="1:21" x14ac:dyDescent="0.3">
      <c r="A232" s="16">
        <v>230</v>
      </c>
      <c r="B232" s="3">
        <v>45642</v>
      </c>
      <c r="C232" s="40">
        <v>6074.08</v>
      </c>
      <c r="D232">
        <v>19700.48</v>
      </c>
      <c r="E232">
        <v>7.774</v>
      </c>
      <c r="F232" s="14">
        <f t="shared" si="15"/>
        <v>2534.1497298687932</v>
      </c>
      <c r="G232">
        <v>13782.78</v>
      </c>
      <c r="H232">
        <v>7.774</v>
      </c>
      <c r="I232" s="14">
        <f t="shared" si="16"/>
        <v>1772.9328531000772</v>
      </c>
      <c r="J232">
        <v>4389.08</v>
      </c>
      <c r="K232">
        <v>7.774</v>
      </c>
      <c r="L232" s="43">
        <f t="shared" si="17"/>
        <v>564.58451247748906</v>
      </c>
      <c r="M232">
        <v>7105.44</v>
      </c>
      <c r="N232">
        <v>7.774</v>
      </c>
      <c r="O232" s="43">
        <f t="shared" si="18"/>
        <v>914.00051453563151</v>
      </c>
      <c r="P232">
        <v>3670.97</v>
      </c>
      <c r="Q232">
        <v>7.774</v>
      </c>
      <c r="R232" s="43">
        <f t="shared" si="19"/>
        <v>472.21121687676867</v>
      </c>
      <c r="S232"/>
      <c r="U232" s="38"/>
    </row>
    <row r="233" spans="1:21" x14ac:dyDescent="0.3">
      <c r="A233" s="16">
        <v>231</v>
      </c>
      <c r="B233" s="3">
        <v>45643</v>
      </c>
      <c r="C233" s="40">
        <v>6050.61</v>
      </c>
      <c r="D233">
        <v>19864.55</v>
      </c>
      <c r="E233">
        <v>7.7691999999999997</v>
      </c>
      <c r="F233" s="14">
        <f t="shared" si="15"/>
        <v>2556.8333933995777</v>
      </c>
      <c r="G233">
        <v>13713.16</v>
      </c>
      <c r="H233">
        <v>7.7691999999999997</v>
      </c>
      <c r="I233" s="14">
        <f t="shared" si="16"/>
        <v>1765.0671883849045</v>
      </c>
      <c r="J233">
        <v>4468.8500000000004</v>
      </c>
      <c r="K233">
        <v>7.7691999999999997</v>
      </c>
      <c r="L233" s="43">
        <f t="shared" si="17"/>
        <v>575.20079287442729</v>
      </c>
      <c r="M233">
        <v>7180.79</v>
      </c>
      <c r="N233">
        <v>7.7691999999999997</v>
      </c>
      <c r="O233" s="43">
        <f t="shared" si="18"/>
        <v>924.26375946043356</v>
      </c>
      <c r="P233">
        <v>3714.38</v>
      </c>
      <c r="Q233">
        <v>7.7691999999999997</v>
      </c>
      <c r="R233" s="43">
        <f t="shared" si="19"/>
        <v>478.09040827884468</v>
      </c>
      <c r="S233"/>
      <c r="U233" s="38"/>
    </row>
    <row r="234" spans="1:21" x14ac:dyDescent="0.3">
      <c r="A234" s="16">
        <v>232</v>
      </c>
      <c r="B234" s="3">
        <v>45644</v>
      </c>
      <c r="C234" s="40">
        <v>5872.16</v>
      </c>
      <c r="D234">
        <v>19752.509999999998</v>
      </c>
      <c r="E234">
        <v>7.7704000000000004</v>
      </c>
      <c r="F234" s="14">
        <f t="shared" si="15"/>
        <v>2542.019715844744</v>
      </c>
      <c r="G234">
        <v>13859.21</v>
      </c>
      <c r="H234">
        <v>7.7704000000000004</v>
      </c>
      <c r="I234" s="14">
        <f t="shared" si="16"/>
        <v>1783.5902913620919</v>
      </c>
      <c r="J234">
        <v>4439.47</v>
      </c>
      <c r="K234">
        <v>7.7704000000000004</v>
      </c>
      <c r="L234" s="43">
        <f t="shared" si="17"/>
        <v>571.33094821373413</v>
      </c>
      <c r="M234">
        <v>7152.13</v>
      </c>
      <c r="N234">
        <v>7.7704000000000004</v>
      </c>
      <c r="O234" s="43">
        <f t="shared" si="18"/>
        <v>920.4326675589416</v>
      </c>
      <c r="P234">
        <v>3688.76</v>
      </c>
      <c r="Q234">
        <v>7.7704000000000004</v>
      </c>
      <c r="R234" s="43">
        <f t="shared" si="19"/>
        <v>474.71944816225675</v>
      </c>
      <c r="S234"/>
      <c r="U234" s="38"/>
    </row>
    <row r="235" spans="1:21" x14ac:dyDescent="0.3">
      <c r="A235" s="16">
        <v>233</v>
      </c>
      <c r="B235" s="3">
        <v>45645</v>
      </c>
      <c r="C235" s="40">
        <v>5867.08</v>
      </c>
      <c r="D235">
        <v>19720.7</v>
      </c>
      <c r="E235">
        <v>7.7694999999999999</v>
      </c>
      <c r="F235" s="14">
        <f t="shared" si="15"/>
        <v>2538.219962674561</v>
      </c>
      <c r="G235">
        <v>13769.75</v>
      </c>
      <c r="H235">
        <v>7.7694999999999999</v>
      </c>
      <c r="I235" s="14">
        <f t="shared" si="16"/>
        <v>1772.2826436707639</v>
      </c>
      <c r="J235">
        <v>4444.1899999999996</v>
      </c>
      <c r="K235">
        <v>7.7694999999999999</v>
      </c>
      <c r="L235" s="43">
        <f t="shared" si="17"/>
        <v>572.00463350279938</v>
      </c>
      <c r="M235">
        <v>7143.88</v>
      </c>
      <c r="N235">
        <v>7.7694999999999999</v>
      </c>
      <c r="O235" s="43">
        <f t="shared" si="18"/>
        <v>919.47744385095564</v>
      </c>
      <c r="P235">
        <v>3673.14</v>
      </c>
      <c r="Q235">
        <v>7.7694999999999999</v>
      </c>
      <c r="R235" s="43">
        <f t="shared" si="19"/>
        <v>472.76401312825794</v>
      </c>
      <c r="S235"/>
      <c r="U235" s="38"/>
    </row>
    <row r="236" spans="1:21" x14ac:dyDescent="0.3">
      <c r="A236" s="16">
        <v>234</v>
      </c>
      <c r="B236" s="3">
        <v>45646</v>
      </c>
      <c r="C236" s="40">
        <v>5930.85</v>
      </c>
      <c r="D236">
        <v>19883.13</v>
      </c>
      <c r="E236">
        <v>7.7750000000000004</v>
      </c>
      <c r="F236" s="14">
        <f t="shared" si="15"/>
        <v>2557.3157556270098</v>
      </c>
      <c r="G236">
        <v>13706.68</v>
      </c>
      <c r="H236">
        <v>7.7750000000000004</v>
      </c>
      <c r="I236" s="14">
        <f t="shared" si="16"/>
        <v>1762.9170418006431</v>
      </c>
      <c r="J236">
        <v>4457.8500000000004</v>
      </c>
      <c r="K236">
        <v>7.7750000000000004</v>
      </c>
      <c r="L236" s="43">
        <f t="shared" si="17"/>
        <v>573.35691318327974</v>
      </c>
      <c r="M236">
        <v>7213.85</v>
      </c>
      <c r="N236">
        <v>7.7750000000000004</v>
      </c>
      <c r="O236" s="43">
        <f t="shared" si="18"/>
        <v>927.82636655948556</v>
      </c>
      <c r="P236">
        <v>3721.35</v>
      </c>
      <c r="Q236">
        <v>7.7750000000000004</v>
      </c>
      <c r="R236" s="43">
        <f t="shared" si="19"/>
        <v>478.6302250803858</v>
      </c>
      <c r="S236"/>
      <c r="U236" s="38"/>
    </row>
    <row r="237" spans="1:21" x14ac:dyDescent="0.3">
      <c r="A237" s="16">
        <v>235</v>
      </c>
      <c r="B237" s="3">
        <v>45649</v>
      </c>
      <c r="C237" s="40">
        <v>5974.07</v>
      </c>
      <c r="D237">
        <v>20098.29</v>
      </c>
      <c r="E237">
        <v>7.7698999999999998</v>
      </c>
      <c r="F237" s="14">
        <f t="shared" si="15"/>
        <v>2586.6858003320508</v>
      </c>
      <c r="G237">
        <v>13843.91</v>
      </c>
      <c r="H237">
        <v>7.7698999999999998</v>
      </c>
      <c r="I237" s="14">
        <f t="shared" si="16"/>
        <v>1781.7359296773448</v>
      </c>
      <c r="J237">
        <v>4507.6499999999996</v>
      </c>
      <c r="K237">
        <v>7.7698999999999998</v>
      </c>
      <c r="L237" s="43">
        <f t="shared" si="17"/>
        <v>580.14260157788385</v>
      </c>
      <c r="M237">
        <v>7303.92</v>
      </c>
      <c r="N237">
        <v>7.7698999999999998</v>
      </c>
      <c r="O237" s="43">
        <f t="shared" si="18"/>
        <v>940.02754218201005</v>
      </c>
      <c r="P237">
        <v>3751.97</v>
      </c>
      <c r="Q237">
        <v>7.7698999999999998</v>
      </c>
      <c r="R237" s="43">
        <f t="shared" si="19"/>
        <v>482.88523661823189</v>
      </c>
      <c r="S237"/>
      <c r="U237" s="38"/>
    </row>
    <row r="238" spans="1:21" x14ac:dyDescent="0.3">
      <c r="A238" s="16">
        <v>236</v>
      </c>
      <c r="B238" s="3">
        <v>45650</v>
      </c>
      <c r="C238" s="40">
        <v>6040.04</v>
      </c>
      <c r="D238">
        <v>20090.46</v>
      </c>
      <c r="E238">
        <v>7.7672999999999996</v>
      </c>
      <c r="F238" s="14">
        <f t="shared" si="15"/>
        <v>2586.5435865744853</v>
      </c>
      <c r="G238">
        <v>14006.29</v>
      </c>
      <c r="H238">
        <v>7.7672999999999996</v>
      </c>
      <c r="I238" s="14">
        <f t="shared" si="16"/>
        <v>1803.2379333874064</v>
      </c>
      <c r="J238">
        <v>4538.59</v>
      </c>
      <c r="K238">
        <v>7.7672999999999996</v>
      </c>
      <c r="L238" s="43">
        <f t="shared" si="17"/>
        <v>584.3201627335111</v>
      </c>
      <c r="M238">
        <v>7305.36</v>
      </c>
      <c r="N238">
        <v>7.7672999999999996</v>
      </c>
      <c r="O238" s="43">
        <f t="shared" si="18"/>
        <v>940.52759646209108</v>
      </c>
      <c r="P238">
        <v>3754.48</v>
      </c>
      <c r="Q238">
        <v>7.7672999999999996</v>
      </c>
      <c r="R238" s="43">
        <f t="shared" si="19"/>
        <v>483.37002562022843</v>
      </c>
      <c r="S238"/>
      <c r="U238" s="38"/>
    </row>
    <row r="239" spans="1:21" x14ac:dyDescent="0.3">
      <c r="A239" s="16">
        <v>237</v>
      </c>
      <c r="B239" s="3">
        <v>45652</v>
      </c>
      <c r="C239" s="40">
        <v>6037.59</v>
      </c>
      <c r="D239">
        <v>20041.419999999998</v>
      </c>
      <c r="E239">
        <v>7.7618</v>
      </c>
      <c r="F239" s="14">
        <f t="shared" si="15"/>
        <v>2582.0582854492513</v>
      </c>
      <c r="G239">
        <v>13972.25</v>
      </c>
      <c r="H239">
        <v>7.7618</v>
      </c>
      <c r="I239" s="14">
        <f t="shared" si="16"/>
        <v>1800.1301244556676</v>
      </c>
      <c r="J239">
        <v>4500.6000000000004</v>
      </c>
      <c r="K239">
        <v>7.7618</v>
      </c>
      <c r="L239" s="43">
        <f t="shared" si="17"/>
        <v>579.83972789816801</v>
      </c>
      <c r="M239">
        <v>7280.48</v>
      </c>
      <c r="N239">
        <v>7.7618</v>
      </c>
      <c r="O239" s="43">
        <f t="shared" si="18"/>
        <v>937.98861088922672</v>
      </c>
      <c r="P239">
        <v>3755.41</v>
      </c>
      <c r="Q239">
        <v>7.7618</v>
      </c>
      <c r="R239" s="43">
        <f t="shared" si="19"/>
        <v>483.8323584735499</v>
      </c>
      <c r="S239"/>
      <c r="U239" s="38"/>
    </row>
    <row r="240" spans="1:21" x14ac:dyDescent="0.3">
      <c r="A240" s="16">
        <v>238</v>
      </c>
      <c r="B240" s="3">
        <v>45653</v>
      </c>
      <c r="C240" s="40">
        <v>5970.84</v>
      </c>
      <c r="D240">
        <v>20059.95</v>
      </c>
      <c r="E240">
        <v>7.7663000000000002</v>
      </c>
      <c r="F240" s="14">
        <f t="shared" si="15"/>
        <v>2582.9481220143439</v>
      </c>
      <c r="G240">
        <v>13906.51</v>
      </c>
      <c r="H240">
        <v>7.7663000000000002</v>
      </c>
      <c r="I240" s="14">
        <f t="shared" si="16"/>
        <v>1790.6223040572731</v>
      </c>
      <c r="J240">
        <v>4468.1099999999997</v>
      </c>
      <c r="K240">
        <v>7.7663000000000002</v>
      </c>
      <c r="L240" s="43">
        <f t="shared" si="17"/>
        <v>575.32029409113727</v>
      </c>
      <c r="M240">
        <v>7289.89</v>
      </c>
      <c r="N240">
        <v>7.7663000000000002</v>
      </c>
      <c r="O240" s="43">
        <f t="shared" si="18"/>
        <v>938.65676061960005</v>
      </c>
      <c r="P240">
        <v>3780.97</v>
      </c>
      <c r="Q240">
        <v>7.7663000000000002</v>
      </c>
      <c r="R240" s="43">
        <f t="shared" si="19"/>
        <v>486.84315568546151</v>
      </c>
      <c r="S240"/>
      <c r="U240" s="38"/>
    </row>
    <row r="241" spans="1:21" x14ac:dyDescent="0.3">
      <c r="A241" s="16">
        <v>239</v>
      </c>
      <c r="B241" s="3">
        <v>45656</v>
      </c>
      <c r="C241" s="40">
        <v>5906.94</v>
      </c>
      <c r="D241">
        <v>19623.32</v>
      </c>
      <c r="E241">
        <v>7.7676999999999996</v>
      </c>
      <c r="F241" s="14">
        <f t="shared" si="15"/>
        <v>2526.27161193146</v>
      </c>
      <c r="G241">
        <v>13913.11</v>
      </c>
      <c r="H241">
        <v>7.7676999999999996</v>
      </c>
      <c r="I241" s="14">
        <f t="shared" si="16"/>
        <v>1791.1492462376252</v>
      </c>
      <c r="J241">
        <v>4357.53</v>
      </c>
      <c r="K241">
        <v>7.7676999999999996</v>
      </c>
      <c r="L241" s="43">
        <f t="shared" si="17"/>
        <v>560.98072788598938</v>
      </c>
      <c r="M241">
        <v>7090.56</v>
      </c>
      <c r="N241">
        <v>7.7676999999999996</v>
      </c>
      <c r="O241" s="43">
        <f t="shared" si="18"/>
        <v>912.82619050684252</v>
      </c>
      <c r="P241">
        <v>3686.19</v>
      </c>
      <c r="Q241">
        <v>7.7676999999999996</v>
      </c>
      <c r="R241" s="43">
        <f t="shared" si="19"/>
        <v>474.553600164785</v>
      </c>
      <c r="S241"/>
      <c r="U241" s="38"/>
    </row>
    <row r="242" spans="1:21" x14ac:dyDescent="0.3">
      <c r="A242" s="16">
        <v>240</v>
      </c>
      <c r="B242" s="3">
        <v>45657</v>
      </c>
      <c r="C242" s="40">
        <v>5881.63</v>
      </c>
      <c r="D242">
        <v>19760.27</v>
      </c>
      <c r="E242">
        <v>7.7766999999999999</v>
      </c>
      <c r="F242" s="14">
        <f t="shared" si="15"/>
        <v>2540.9582470713799</v>
      </c>
      <c r="G242">
        <v>13550.66</v>
      </c>
      <c r="H242">
        <v>7.7766999999999999</v>
      </c>
      <c r="I242" s="14">
        <f t="shared" si="16"/>
        <v>1742.4691707279437</v>
      </c>
      <c r="J242">
        <v>4403.12</v>
      </c>
      <c r="K242">
        <v>7.7766999999999999</v>
      </c>
      <c r="L242" s="43">
        <f t="shared" si="17"/>
        <v>566.19388686718014</v>
      </c>
      <c r="M242">
        <v>7159.28</v>
      </c>
      <c r="N242">
        <v>7.7766999999999999</v>
      </c>
      <c r="O242" s="43">
        <f t="shared" si="18"/>
        <v>920.60642689058341</v>
      </c>
      <c r="P242">
        <v>3671.1</v>
      </c>
      <c r="Q242">
        <v>7.7766999999999999</v>
      </c>
      <c r="R242" s="43">
        <f t="shared" si="19"/>
        <v>472.06398600948989</v>
      </c>
      <c r="S242"/>
      <c r="U242" s="38"/>
    </row>
    <row r="243" spans="1:21" x14ac:dyDescent="0.3">
      <c r="A243" s="16">
        <v>241</v>
      </c>
      <c r="B243" s="3">
        <v>45659</v>
      </c>
      <c r="C243" s="40">
        <v>5868.55</v>
      </c>
      <c r="D243">
        <v>19688.29</v>
      </c>
      <c r="E243">
        <v>7.7778999999999998</v>
      </c>
      <c r="F243" s="14">
        <f t="shared" si="15"/>
        <v>2531.311793671814</v>
      </c>
      <c r="G243">
        <v>13667.84</v>
      </c>
      <c r="H243">
        <v>7.7778999999999998</v>
      </c>
      <c r="I243" s="14">
        <f t="shared" si="16"/>
        <v>1757.2661001041413</v>
      </c>
      <c r="J243">
        <v>4395.08</v>
      </c>
      <c r="K243">
        <v>7.7778999999999998</v>
      </c>
      <c r="L243" s="43">
        <f t="shared" si="17"/>
        <v>565.07283456974244</v>
      </c>
      <c r="M243">
        <v>7135.48</v>
      </c>
      <c r="N243">
        <v>7.7778999999999998</v>
      </c>
      <c r="O243" s="43">
        <f t="shared" si="18"/>
        <v>917.40444078735902</v>
      </c>
      <c r="P243">
        <v>3653.69</v>
      </c>
      <c r="Q243">
        <v>7.7778999999999998</v>
      </c>
      <c r="R243" s="43">
        <f t="shared" si="19"/>
        <v>469.75276102804099</v>
      </c>
      <c r="S243"/>
      <c r="U243" s="38"/>
    </row>
    <row r="244" spans="1:21" x14ac:dyDescent="0.3">
      <c r="A244" s="16">
        <v>242</v>
      </c>
      <c r="B244" s="3">
        <v>45660</v>
      </c>
      <c r="C244" s="40">
        <v>5942.47</v>
      </c>
      <c r="D244">
        <v>19447.580000000002</v>
      </c>
      <c r="E244">
        <v>7.7752999999999997</v>
      </c>
      <c r="F244" s="14">
        <f t="shared" si="15"/>
        <v>2501.1999536995359</v>
      </c>
      <c r="G244">
        <v>13612.58</v>
      </c>
      <c r="H244">
        <v>7.7752999999999997</v>
      </c>
      <c r="I244" s="14">
        <f t="shared" si="16"/>
        <v>1750.7465949866887</v>
      </c>
      <c r="J244">
        <v>4354.8</v>
      </c>
      <c r="K244">
        <v>7.7752999999999997</v>
      </c>
      <c r="L244" s="43">
        <f t="shared" si="17"/>
        <v>560.08128303731053</v>
      </c>
      <c r="M244">
        <v>7049.71</v>
      </c>
      <c r="N244">
        <v>7.7752999999999997</v>
      </c>
      <c r="O244" s="43">
        <f t="shared" si="18"/>
        <v>906.6801280979513</v>
      </c>
      <c r="P244">
        <v>3630.59</v>
      </c>
      <c r="Q244">
        <v>7.7752999999999997</v>
      </c>
      <c r="R244" s="43">
        <f t="shared" si="19"/>
        <v>466.9388962483763</v>
      </c>
      <c r="S244"/>
      <c r="U244" s="38"/>
    </row>
    <row r="245" spans="1:21" x14ac:dyDescent="0.3">
      <c r="A245" s="16">
        <v>243</v>
      </c>
      <c r="B245" s="3">
        <v>45663</v>
      </c>
      <c r="C245" s="40">
        <v>5975.38</v>
      </c>
      <c r="D245">
        <v>19279.84</v>
      </c>
      <c r="E245">
        <v>7.7766999999999999</v>
      </c>
      <c r="F245" s="14">
        <f t="shared" si="15"/>
        <v>2479.1801149587873</v>
      </c>
      <c r="G245">
        <v>13421.89</v>
      </c>
      <c r="H245">
        <v>7.7766999999999999</v>
      </c>
      <c r="I245" s="14">
        <f t="shared" si="16"/>
        <v>1725.9107333444776</v>
      </c>
      <c r="J245">
        <v>4307.3999999999996</v>
      </c>
      <c r="K245">
        <v>7.7766999999999999</v>
      </c>
      <c r="L245" s="43">
        <f t="shared" si="17"/>
        <v>553.885324109198</v>
      </c>
      <c r="M245">
        <v>6990.65</v>
      </c>
      <c r="N245">
        <v>7.7766999999999999</v>
      </c>
      <c r="O245" s="43">
        <f t="shared" si="18"/>
        <v>898.92242210706331</v>
      </c>
      <c r="P245">
        <v>3611.07</v>
      </c>
      <c r="Q245">
        <v>7.7766999999999999</v>
      </c>
      <c r="R245" s="43">
        <f t="shared" si="19"/>
        <v>464.34477349004078</v>
      </c>
      <c r="S245"/>
      <c r="U245" s="38"/>
    </row>
    <row r="246" spans="1:21" x14ac:dyDescent="0.3">
      <c r="A246" s="16">
        <v>244</v>
      </c>
      <c r="B246" s="3">
        <v>45664</v>
      </c>
      <c r="C246" s="40">
        <v>5909.03</v>
      </c>
      <c r="D246">
        <v>19240.89</v>
      </c>
      <c r="E246">
        <v>7.7781000000000002</v>
      </c>
      <c r="F246" s="14">
        <f t="shared" si="15"/>
        <v>2473.7262313418441</v>
      </c>
      <c r="G246">
        <v>13329.01</v>
      </c>
      <c r="H246">
        <v>7.7781000000000002</v>
      </c>
      <c r="I246" s="14">
        <f t="shared" si="16"/>
        <v>1713.6588627042593</v>
      </c>
      <c r="J246">
        <v>4311.54</v>
      </c>
      <c r="K246">
        <v>7.7781000000000002</v>
      </c>
      <c r="L246" s="43">
        <f t="shared" si="17"/>
        <v>554.31789254445175</v>
      </c>
      <c r="M246">
        <v>6978.97</v>
      </c>
      <c r="N246">
        <v>7.7781000000000002</v>
      </c>
      <c r="O246" s="43">
        <f t="shared" si="18"/>
        <v>897.25897069978532</v>
      </c>
      <c r="P246">
        <v>3598.34</v>
      </c>
      <c r="Q246">
        <v>7.7781000000000002</v>
      </c>
      <c r="R246" s="43">
        <f t="shared" si="19"/>
        <v>462.6245484115658</v>
      </c>
      <c r="S246"/>
      <c r="U246" s="38"/>
    </row>
    <row r="247" spans="1:21" x14ac:dyDescent="0.3">
      <c r="A247" s="16">
        <v>245</v>
      </c>
      <c r="B247" s="3">
        <v>45665</v>
      </c>
      <c r="C247" s="40">
        <v>5918.25</v>
      </c>
      <c r="D247">
        <v>19064.29</v>
      </c>
      <c r="E247">
        <v>7.7824999999999998</v>
      </c>
      <c r="F247" s="14">
        <f t="shared" si="15"/>
        <v>2449.6357211692903</v>
      </c>
      <c r="G247">
        <v>13297.66</v>
      </c>
      <c r="H247">
        <v>7.7824999999999998</v>
      </c>
      <c r="I247" s="14">
        <f t="shared" si="16"/>
        <v>1708.6617410857693</v>
      </c>
      <c r="J247">
        <v>4260.82</v>
      </c>
      <c r="K247">
        <v>7.7824999999999998</v>
      </c>
      <c r="L247" s="43">
        <f t="shared" si="17"/>
        <v>547.48731127529709</v>
      </c>
      <c r="M247">
        <v>6898.15</v>
      </c>
      <c r="N247">
        <v>7.7824999999999998</v>
      </c>
      <c r="O247" s="43">
        <f t="shared" si="18"/>
        <v>886.36684869900421</v>
      </c>
      <c r="P247">
        <v>3550.98</v>
      </c>
      <c r="Q247">
        <v>7.7824999999999998</v>
      </c>
      <c r="R247" s="43">
        <f t="shared" si="19"/>
        <v>456.277545775779</v>
      </c>
      <c r="S247"/>
      <c r="U247" s="38"/>
    </row>
    <row r="248" spans="1:21" x14ac:dyDescent="0.3">
      <c r="A248" s="16">
        <v>246</v>
      </c>
      <c r="B248" s="3">
        <v>45667</v>
      </c>
      <c r="C248" s="40">
        <v>5827.04</v>
      </c>
      <c r="D248">
        <v>18874.14</v>
      </c>
      <c r="E248">
        <v>7.7873000000000001</v>
      </c>
      <c r="F248" s="14">
        <f t="shared" si="15"/>
        <v>2423.7078319828438</v>
      </c>
      <c r="G248">
        <v>13136.56</v>
      </c>
      <c r="H248">
        <v>7.7873000000000001</v>
      </c>
      <c r="I248" s="14">
        <f t="shared" si="16"/>
        <v>1686.9210124176543</v>
      </c>
      <c r="J248">
        <v>4221.92</v>
      </c>
      <c r="K248">
        <v>7.7873000000000001</v>
      </c>
      <c r="L248" s="43">
        <f t="shared" si="17"/>
        <v>542.15453366378586</v>
      </c>
      <c r="M248">
        <v>6843.71</v>
      </c>
      <c r="N248">
        <v>7.7873000000000001</v>
      </c>
      <c r="O248" s="43">
        <f t="shared" si="18"/>
        <v>878.82963286376537</v>
      </c>
      <c r="P248">
        <v>3563.23</v>
      </c>
      <c r="Q248">
        <v>7.7873000000000001</v>
      </c>
      <c r="R248" s="43">
        <f t="shared" si="19"/>
        <v>457.56937577851119</v>
      </c>
      <c r="S248"/>
      <c r="U248" s="38"/>
    </row>
    <row r="249" spans="1:21" x14ac:dyDescent="0.3">
      <c r="A249" s="16">
        <v>247</v>
      </c>
      <c r="B249" s="3">
        <v>45670</v>
      </c>
      <c r="C249" s="40">
        <v>5836.22</v>
      </c>
      <c r="D249">
        <v>19219.78</v>
      </c>
      <c r="E249">
        <v>7.7858000000000001</v>
      </c>
      <c r="F249" s="14">
        <f t="shared" si="15"/>
        <v>2468.5684194302448</v>
      </c>
      <c r="G249">
        <v>13010.54</v>
      </c>
      <c r="H249">
        <v>7.7858000000000001</v>
      </c>
      <c r="I249" s="14">
        <f t="shared" si="16"/>
        <v>1671.0601351177786</v>
      </c>
      <c r="J249">
        <v>4352.04</v>
      </c>
      <c r="K249">
        <v>7.7858000000000001</v>
      </c>
      <c r="L249" s="43">
        <f t="shared" si="17"/>
        <v>558.97146086465102</v>
      </c>
      <c r="M249">
        <v>6987.36</v>
      </c>
      <c r="N249">
        <v>7.7858000000000001</v>
      </c>
      <c r="O249" s="43">
        <f t="shared" si="18"/>
        <v>897.44920239410203</v>
      </c>
      <c r="P249">
        <v>3596.76</v>
      </c>
      <c r="Q249">
        <v>7.7858000000000001</v>
      </c>
      <c r="R249" s="43">
        <f t="shared" si="19"/>
        <v>461.96408846875084</v>
      </c>
      <c r="S249"/>
      <c r="U249" s="38"/>
    </row>
    <row r="250" spans="1:21" x14ac:dyDescent="0.3">
      <c r="A250" s="16">
        <v>248</v>
      </c>
      <c r="B250" s="3">
        <v>45671</v>
      </c>
      <c r="C250" s="40">
        <v>5842.91</v>
      </c>
      <c r="D250">
        <v>19286.07</v>
      </c>
      <c r="E250">
        <v>7.7866</v>
      </c>
      <c r="F250" s="14">
        <f t="shared" si="15"/>
        <v>2476.828140651889</v>
      </c>
      <c r="G250">
        <v>13314.03</v>
      </c>
      <c r="H250">
        <v>7.7866</v>
      </c>
      <c r="I250" s="14">
        <f t="shared" si="16"/>
        <v>1709.8643824005344</v>
      </c>
      <c r="J250">
        <v>4363.79</v>
      </c>
      <c r="K250">
        <v>7.7866</v>
      </c>
      <c r="L250" s="43">
        <f t="shared" si="17"/>
        <v>560.42303444378808</v>
      </c>
      <c r="M250">
        <v>7011.6</v>
      </c>
      <c r="N250">
        <v>7.7866</v>
      </c>
      <c r="O250" s="43">
        <f t="shared" si="18"/>
        <v>900.47003827087565</v>
      </c>
      <c r="P250">
        <v>3605.09</v>
      </c>
      <c r="Q250">
        <v>7.7866</v>
      </c>
      <c r="R250" s="43">
        <f t="shared" si="19"/>
        <v>462.98641255490202</v>
      </c>
      <c r="S250"/>
      <c r="U250" s="38"/>
    </row>
    <row r="251" spans="1:21" x14ac:dyDescent="0.3">
      <c r="A251" s="16">
        <v>249</v>
      </c>
      <c r="B251" s="3">
        <v>45672</v>
      </c>
      <c r="C251" s="40">
        <v>5949.91</v>
      </c>
      <c r="D251">
        <v>19522.89</v>
      </c>
      <c r="E251">
        <v>7.7866999999999997</v>
      </c>
      <c r="F251" s="14">
        <f t="shared" si="15"/>
        <v>2507.2097294104051</v>
      </c>
      <c r="G251">
        <v>13374.25</v>
      </c>
      <c r="H251">
        <v>7.7866999999999997</v>
      </c>
      <c r="I251" s="14">
        <f t="shared" si="16"/>
        <v>1717.5761233898827</v>
      </c>
      <c r="J251">
        <v>4417.37</v>
      </c>
      <c r="K251">
        <v>7.7866999999999997</v>
      </c>
      <c r="L251" s="43">
        <f t="shared" si="17"/>
        <v>567.29680095547542</v>
      </c>
      <c r="M251">
        <v>7098.76</v>
      </c>
      <c r="N251">
        <v>7.7866999999999997</v>
      </c>
      <c r="O251" s="43">
        <f t="shared" si="18"/>
        <v>911.65191929829075</v>
      </c>
      <c r="P251">
        <v>3631.13</v>
      </c>
      <c r="Q251">
        <v>7.7866999999999997</v>
      </c>
      <c r="R251" s="43">
        <f t="shared" si="19"/>
        <v>466.32463045962993</v>
      </c>
      <c r="S251"/>
      <c r="U251" s="38"/>
    </row>
    <row r="252" spans="1:21" x14ac:dyDescent="0.3">
      <c r="A252" s="16">
        <v>250</v>
      </c>
      <c r="B252" s="3">
        <v>45673</v>
      </c>
      <c r="C252" s="40">
        <v>5937.34</v>
      </c>
      <c r="D252">
        <v>19584.060000000001</v>
      </c>
      <c r="E252">
        <v>7.7869999999999999</v>
      </c>
      <c r="F252" s="14">
        <f t="shared" si="15"/>
        <v>2514.9685373057664</v>
      </c>
      <c r="G252">
        <v>13538.15</v>
      </c>
      <c r="H252">
        <v>7.7869999999999999</v>
      </c>
      <c r="I252" s="14">
        <f t="shared" si="16"/>
        <v>1738.5578528316425</v>
      </c>
      <c r="J252">
        <v>4479.1899999999996</v>
      </c>
      <c r="K252">
        <v>7.7869999999999999</v>
      </c>
      <c r="L252" s="43">
        <f t="shared" si="17"/>
        <v>575.21381790163093</v>
      </c>
      <c r="M252">
        <v>7108.81</v>
      </c>
      <c r="N252">
        <v>7.7869999999999999</v>
      </c>
      <c r="O252" s="43">
        <f t="shared" si="18"/>
        <v>912.90740978554004</v>
      </c>
      <c r="P252">
        <v>3641.02</v>
      </c>
      <c r="Q252">
        <v>7.7869999999999999</v>
      </c>
      <c r="R252" s="43">
        <f t="shared" si="19"/>
        <v>467.57673044818284</v>
      </c>
      <c r="S252"/>
      <c r="U252" s="38"/>
    </row>
    <row r="253" spans="1:21" x14ac:dyDescent="0.3">
      <c r="A253" s="16">
        <v>251</v>
      </c>
      <c r="B253" s="3">
        <v>45674</v>
      </c>
      <c r="C253" s="40">
        <v>5996.66</v>
      </c>
      <c r="D253">
        <v>20106.55</v>
      </c>
      <c r="E253">
        <v>7.7858999999999998</v>
      </c>
      <c r="F253" s="14">
        <f t="shared" si="15"/>
        <v>2582.4310612774375</v>
      </c>
      <c r="G253">
        <v>13545.54</v>
      </c>
      <c r="H253">
        <v>7.7858999999999998</v>
      </c>
      <c r="I253" s="14">
        <f t="shared" si="16"/>
        <v>1739.7526297537859</v>
      </c>
      <c r="J253">
        <v>4693.72</v>
      </c>
      <c r="K253">
        <v>7.7858999999999998</v>
      </c>
      <c r="L253" s="43">
        <f t="shared" si="17"/>
        <v>602.84873938786791</v>
      </c>
      <c r="M253">
        <v>7320.88</v>
      </c>
      <c r="N253">
        <v>7.7858999999999998</v>
      </c>
      <c r="O253" s="43">
        <f t="shared" si="18"/>
        <v>940.27408520530707</v>
      </c>
      <c r="P253">
        <v>3626.56</v>
      </c>
      <c r="Q253">
        <v>7.7858999999999998</v>
      </c>
      <c r="R253" s="43">
        <f t="shared" si="19"/>
        <v>465.78558676582026</v>
      </c>
      <c r="S253"/>
      <c r="U253" s="38"/>
    </row>
    <row r="254" spans="1:21" x14ac:dyDescent="0.3">
      <c r="A254" s="16">
        <v>252</v>
      </c>
      <c r="B254" s="3">
        <v>45678</v>
      </c>
      <c r="C254" s="40">
        <v>6049.24</v>
      </c>
      <c r="D254">
        <v>19778.77</v>
      </c>
      <c r="E254">
        <v>7.7850999999999999</v>
      </c>
      <c r="F254" s="14">
        <f t="shared" si="15"/>
        <v>2540.5929275153821</v>
      </c>
      <c r="G254">
        <v>14001.53</v>
      </c>
      <c r="H254">
        <v>7.7850999999999999</v>
      </c>
      <c r="I254" s="14">
        <f t="shared" si="16"/>
        <v>1798.5035516563694</v>
      </c>
      <c r="J254">
        <v>4581.09</v>
      </c>
      <c r="K254">
        <v>7.7850999999999999</v>
      </c>
      <c r="L254" s="43">
        <f t="shared" si="17"/>
        <v>588.4433083711192</v>
      </c>
      <c r="M254">
        <v>7177.14</v>
      </c>
      <c r="N254">
        <v>7.7850999999999999</v>
      </c>
      <c r="O254" s="43">
        <f t="shared" si="18"/>
        <v>921.90723304774508</v>
      </c>
      <c r="P254">
        <v>3588.77</v>
      </c>
      <c r="Q254">
        <v>7.7850999999999999</v>
      </c>
      <c r="R254" s="43">
        <f t="shared" si="19"/>
        <v>460.97930662419236</v>
      </c>
      <c r="S254"/>
      <c r="U254" s="38"/>
    </row>
    <row r="255" spans="1:21" x14ac:dyDescent="0.3">
      <c r="A255" s="16">
        <v>253</v>
      </c>
      <c r="B255" s="3">
        <v>45679</v>
      </c>
      <c r="C255" s="40">
        <v>6086.37</v>
      </c>
      <c r="D255">
        <v>19700.560000000001</v>
      </c>
      <c r="E255">
        <v>7.7884000000000002</v>
      </c>
      <c r="F255" s="14">
        <f t="shared" si="15"/>
        <v>2529.4746032561247</v>
      </c>
      <c r="G255">
        <v>13714.54</v>
      </c>
      <c r="H255">
        <v>7.7884000000000002</v>
      </c>
      <c r="I255" s="14">
        <f t="shared" si="16"/>
        <v>1760.8931231061579</v>
      </c>
      <c r="J255">
        <v>4515.4799999999996</v>
      </c>
      <c r="K255">
        <v>7.7884000000000002</v>
      </c>
      <c r="L255" s="43">
        <f t="shared" si="17"/>
        <v>579.76991423142101</v>
      </c>
      <c r="M255">
        <v>7164.22</v>
      </c>
      <c r="N255">
        <v>7.7884000000000002</v>
      </c>
      <c r="O255" s="43">
        <f t="shared" si="18"/>
        <v>919.85773714755283</v>
      </c>
      <c r="P255">
        <v>3571.98</v>
      </c>
      <c r="Q255">
        <v>7.7884000000000002</v>
      </c>
      <c r="R255" s="43">
        <f t="shared" si="19"/>
        <v>458.6282163217092</v>
      </c>
      <c r="S255"/>
      <c r="U255" s="38"/>
    </row>
    <row r="256" spans="1:21" x14ac:dyDescent="0.3">
      <c r="A256" s="16">
        <v>254</v>
      </c>
      <c r="B256" s="3">
        <v>45680</v>
      </c>
      <c r="C256" s="40">
        <v>6118.71</v>
      </c>
      <c r="D256">
        <v>20066.189999999999</v>
      </c>
      <c r="E256">
        <v>7.7892000000000001</v>
      </c>
      <c r="F256" s="14">
        <f t="shared" si="15"/>
        <v>2576.1554460021566</v>
      </c>
      <c r="G256">
        <v>13741.64</v>
      </c>
      <c r="H256">
        <v>7.7892000000000001</v>
      </c>
      <c r="I256" s="14">
        <f t="shared" si="16"/>
        <v>1764.1914445642683</v>
      </c>
      <c r="J256">
        <v>4657.6099999999997</v>
      </c>
      <c r="K256">
        <v>7.7892000000000001</v>
      </c>
      <c r="L256" s="43">
        <f t="shared" si="17"/>
        <v>597.95742823396495</v>
      </c>
      <c r="M256">
        <v>7312.16</v>
      </c>
      <c r="N256">
        <v>7.7892000000000001</v>
      </c>
      <c r="O256" s="43">
        <f t="shared" si="18"/>
        <v>938.75622657012275</v>
      </c>
      <c r="P256">
        <v>3590.72</v>
      </c>
      <c r="Q256">
        <v>7.7892000000000001</v>
      </c>
      <c r="R256" s="43">
        <f t="shared" si="19"/>
        <v>460.98700765162016</v>
      </c>
      <c r="S256"/>
      <c r="U256" s="38"/>
    </row>
    <row r="257" spans="1:21" x14ac:dyDescent="0.3">
      <c r="A257" s="16">
        <v>255</v>
      </c>
      <c r="B257" s="3">
        <v>45681</v>
      </c>
      <c r="C257" s="40">
        <v>6101.24</v>
      </c>
      <c r="D257">
        <v>20197.77</v>
      </c>
      <c r="E257">
        <v>7.7869000000000002</v>
      </c>
      <c r="F257" s="14">
        <f t="shared" si="15"/>
        <v>2593.8139696156363</v>
      </c>
      <c r="G257">
        <v>14023.32</v>
      </c>
      <c r="H257">
        <v>7.7869000000000002</v>
      </c>
      <c r="I257" s="14">
        <f t="shared" si="16"/>
        <v>1800.8861035842247</v>
      </c>
      <c r="J257">
        <v>4687.34</v>
      </c>
      <c r="K257">
        <v>7.7869000000000002</v>
      </c>
      <c r="L257" s="43">
        <f t="shared" si="17"/>
        <v>601.95199630148068</v>
      </c>
      <c r="M257">
        <v>7382.81</v>
      </c>
      <c r="N257">
        <v>7.7869000000000002</v>
      </c>
      <c r="O257" s="43">
        <f t="shared" si="18"/>
        <v>948.10643516675441</v>
      </c>
      <c r="P257">
        <v>3620.12</v>
      </c>
      <c r="Q257">
        <v>7.7869000000000002</v>
      </c>
      <c r="R257" s="43">
        <f t="shared" si="19"/>
        <v>464.89874019186067</v>
      </c>
      <c r="S257"/>
      <c r="U257" s="38"/>
    </row>
    <row r="258" spans="1:21" x14ac:dyDescent="0.3">
      <c r="A258" s="16">
        <v>256</v>
      </c>
      <c r="B258" s="3">
        <v>45684</v>
      </c>
      <c r="C258" s="40">
        <v>6012.28</v>
      </c>
      <c r="D258">
        <v>20225.11</v>
      </c>
      <c r="E258">
        <v>7.7881</v>
      </c>
      <c r="F258" s="14">
        <f t="shared" si="15"/>
        <v>2596.9247955213723</v>
      </c>
      <c r="G258">
        <v>14195.05</v>
      </c>
      <c r="H258">
        <v>7.7881</v>
      </c>
      <c r="I258" s="14">
        <f t="shared" si="16"/>
        <v>1822.6589283650696</v>
      </c>
      <c r="J258">
        <v>4723.63</v>
      </c>
      <c r="K258">
        <v>7.7881</v>
      </c>
      <c r="L258" s="43">
        <f t="shared" si="17"/>
        <v>606.51891989060232</v>
      </c>
      <c r="M258">
        <v>7382.13</v>
      </c>
      <c r="N258">
        <v>7.7881</v>
      </c>
      <c r="O258" s="43">
        <f t="shared" si="18"/>
        <v>947.87303706937507</v>
      </c>
      <c r="P258">
        <v>3603.82</v>
      </c>
      <c r="Q258">
        <v>7.7881</v>
      </c>
      <c r="R258" s="43">
        <f t="shared" si="19"/>
        <v>462.73417136400406</v>
      </c>
      <c r="S258"/>
      <c r="U258" s="38"/>
    </row>
    <row r="259" spans="1:21" x14ac:dyDescent="0.3">
      <c r="A259" s="16">
        <v>257</v>
      </c>
      <c r="B259" s="3">
        <v>45691</v>
      </c>
      <c r="C259" s="40">
        <v>5994.57</v>
      </c>
      <c r="D259">
        <v>20217.259999999998</v>
      </c>
      <c r="E259">
        <v>7.7927</v>
      </c>
      <c r="F259" s="14">
        <f t="shared" ref="F259:F317" si="20">D259/E259</f>
        <v>2594.3844880465049</v>
      </c>
      <c r="G259">
        <v>14150.16</v>
      </c>
      <c r="H259">
        <v>7.7927</v>
      </c>
      <c r="I259" s="14">
        <f t="shared" ref="I259:I317" si="21">G259/H259</f>
        <v>1815.8225005453821</v>
      </c>
      <c r="J259">
        <v>4737.46</v>
      </c>
      <c r="K259">
        <v>7.7927</v>
      </c>
      <c r="L259" s="43">
        <f t="shared" ref="L259:L317" si="22">J259/K259</f>
        <v>607.93563206590784</v>
      </c>
      <c r="M259">
        <v>7384.11</v>
      </c>
      <c r="N259">
        <v>7.7927</v>
      </c>
      <c r="O259" s="43">
        <f t="shared" ref="O259:O317" si="23">M259/N259</f>
        <v>947.56759531356261</v>
      </c>
      <c r="P259">
        <v>3575.93</v>
      </c>
      <c r="Q259">
        <v>7.7927</v>
      </c>
      <c r="R259" s="43">
        <f t="shared" ref="R259:R317" si="24">P259/Q259</f>
        <v>458.88203061839926</v>
      </c>
      <c r="S259"/>
      <c r="U259" s="38"/>
    </row>
    <row r="260" spans="1:21" x14ac:dyDescent="0.3">
      <c r="A260" s="16">
        <v>258</v>
      </c>
      <c r="B260" s="3">
        <v>45692</v>
      </c>
      <c r="C260" s="40">
        <v>6037.88</v>
      </c>
      <c r="D260">
        <v>20789.96</v>
      </c>
      <c r="E260">
        <v>7.7869000000000002</v>
      </c>
      <c r="F260" s="14">
        <f t="shared" si="20"/>
        <v>2669.8634886797054</v>
      </c>
      <c r="G260">
        <v>14618.07</v>
      </c>
      <c r="H260">
        <v>7.7869000000000002</v>
      </c>
      <c r="I260" s="14">
        <f t="shared" si="21"/>
        <v>1877.2643799201221</v>
      </c>
      <c r="J260">
        <v>4977.38</v>
      </c>
      <c r="K260">
        <v>7.7869000000000002</v>
      </c>
      <c r="L260" s="43">
        <f t="shared" si="22"/>
        <v>639.19916783315568</v>
      </c>
      <c r="M260">
        <v>7643.63</v>
      </c>
      <c r="N260">
        <v>7.7869000000000002</v>
      </c>
      <c r="O260" s="43">
        <f t="shared" si="23"/>
        <v>981.60115065045136</v>
      </c>
      <c r="P260">
        <v>3612.71</v>
      </c>
      <c r="Q260">
        <v>7.7869000000000002</v>
      </c>
      <c r="R260" s="43">
        <f t="shared" si="24"/>
        <v>463.94714199488885</v>
      </c>
      <c r="S260"/>
      <c r="U260" s="38"/>
    </row>
    <row r="261" spans="1:21" x14ac:dyDescent="0.3">
      <c r="A261" s="16">
        <v>259</v>
      </c>
      <c r="B261" s="3">
        <v>45693</v>
      </c>
      <c r="C261" s="40">
        <v>6061.48</v>
      </c>
      <c r="D261">
        <v>20597.09</v>
      </c>
      <c r="E261">
        <v>7.7864000000000004</v>
      </c>
      <c r="F261" s="14">
        <f t="shared" si="20"/>
        <v>2645.2648207130378</v>
      </c>
      <c r="G261">
        <v>14468.58</v>
      </c>
      <c r="H261">
        <v>7.7864000000000004</v>
      </c>
      <c r="I261" s="14">
        <f t="shared" si="21"/>
        <v>1858.1860680160278</v>
      </c>
      <c r="J261">
        <v>4930.2</v>
      </c>
      <c r="K261">
        <v>7.7864000000000004</v>
      </c>
      <c r="L261" s="43">
        <f t="shared" si="22"/>
        <v>633.18093085379633</v>
      </c>
      <c r="M261">
        <v>7566.27</v>
      </c>
      <c r="N261">
        <v>7.7864000000000004</v>
      </c>
      <c r="O261" s="43">
        <f t="shared" si="23"/>
        <v>971.72891194903934</v>
      </c>
      <c r="P261">
        <v>3580.66</v>
      </c>
      <c r="Q261">
        <v>7.7864000000000004</v>
      </c>
      <c r="R261" s="43">
        <f t="shared" si="24"/>
        <v>459.86078290352407</v>
      </c>
      <c r="S261"/>
      <c r="U261" s="38"/>
    </row>
    <row r="262" spans="1:21" x14ac:dyDescent="0.3">
      <c r="A262" s="16">
        <v>260</v>
      </c>
      <c r="B262" s="3">
        <v>45694</v>
      </c>
      <c r="C262" s="40">
        <v>6083.57</v>
      </c>
      <c r="D262">
        <v>20891.62</v>
      </c>
      <c r="E262">
        <v>7.7862999999999998</v>
      </c>
      <c r="F262" s="14">
        <f t="shared" si="20"/>
        <v>2683.1254896420637</v>
      </c>
      <c r="G262">
        <v>14660.71</v>
      </c>
      <c r="H262">
        <v>7.7862999999999998</v>
      </c>
      <c r="I262" s="14">
        <f t="shared" si="21"/>
        <v>1882.8853242233154</v>
      </c>
      <c r="J262">
        <v>5059.38</v>
      </c>
      <c r="K262">
        <v>7.7862999999999998</v>
      </c>
      <c r="L262" s="43">
        <f t="shared" si="22"/>
        <v>649.77974134055978</v>
      </c>
      <c r="M262">
        <v>7690.35</v>
      </c>
      <c r="N262">
        <v>7.7862999999999998</v>
      </c>
      <c r="O262" s="43">
        <f t="shared" si="23"/>
        <v>987.67707383481252</v>
      </c>
      <c r="P262">
        <v>3625.5</v>
      </c>
      <c r="Q262">
        <v>7.7862999999999998</v>
      </c>
      <c r="R262" s="43">
        <f t="shared" si="24"/>
        <v>465.62552174973996</v>
      </c>
      <c r="S262"/>
      <c r="U262" s="38"/>
    </row>
    <row r="263" spans="1:21" x14ac:dyDescent="0.3">
      <c r="A263" s="16">
        <v>261</v>
      </c>
      <c r="B263" s="3">
        <v>45695</v>
      </c>
      <c r="C263" s="40">
        <v>6025.99</v>
      </c>
      <c r="D263">
        <v>21133.54</v>
      </c>
      <c r="E263">
        <v>7.7906000000000004</v>
      </c>
      <c r="F263" s="14">
        <f t="shared" si="20"/>
        <v>2712.6973532205479</v>
      </c>
      <c r="G263">
        <v>14823.48</v>
      </c>
      <c r="H263">
        <v>7.7906000000000004</v>
      </c>
      <c r="I263" s="14">
        <f t="shared" si="21"/>
        <v>1902.7391985212948</v>
      </c>
      <c r="J263">
        <v>5150.3500000000004</v>
      </c>
      <c r="K263">
        <v>7.7906000000000004</v>
      </c>
      <c r="L263" s="43">
        <f t="shared" si="22"/>
        <v>661.09798988524631</v>
      </c>
      <c r="M263">
        <v>7784.07</v>
      </c>
      <c r="N263">
        <v>7.7906000000000004</v>
      </c>
      <c r="O263" s="43">
        <f t="shared" si="23"/>
        <v>999.16181038687637</v>
      </c>
      <c r="P263">
        <v>3637.89</v>
      </c>
      <c r="Q263">
        <v>7.7906000000000004</v>
      </c>
      <c r="R263" s="43">
        <f t="shared" si="24"/>
        <v>466.95889918619872</v>
      </c>
      <c r="S263"/>
      <c r="U263" s="38"/>
    </row>
    <row r="264" spans="1:21" x14ac:dyDescent="0.3">
      <c r="A264" s="16">
        <v>262</v>
      </c>
      <c r="B264" s="3">
        <v>45698</v>
      </c>
      <c r="C264" s="40">
        <v>6066.44</v>
      </c>
      <c r="D264">
        <v>21521.98</v>
      </c>
      <c r="E264">
        <v>7.7885999999999997</v>
      </c>
      <c r="F264" s="14">
        <f t="shared" si="20"/>
        <v>2763.2668258737131</v>
      </c>
      <c r="G264">
        <v>15146.56</v>
      </c>
      <c r="H264">
        <v>7.7885999999999997</v>
      </c>
      <c r="I264" s="14">
        <f t="shared" si="21"/>
        <v>1944.7089335695759</v>
      </c>
      <c r="J264">
        <v>5286.66</v>
      </c>
      <c r="K264">
        <v>7.7885999999999997</v>
      </c>
      <c r="L264" s="43">
        <f t="shared" si="22"/>
        <v>678.76897003312536</v>
      </c>
      <c r="M264">
        <v>7946.81</v>
      </c>
      <c r="N264">
        <v>7.7885999999999997</v>
      </c>
      <c r="O264" s="43">
        <f t="shared" si="23"/>
        <v>1020.3130215956655</v>
      </c>
      <c r="P264">
        <v>3653.57</v>
      </c>
      <c r="Q264">
        <v>7.7885999999999997</v>
      </c>
      <c r="R264" s="43">
        <f t="shared" si="24"/>
        <v>469.09200626556765</v>
      </c>
      <c r="S264"/>
      <c r="U264" s="38"/>
    </row>
    <row r="265" spans="1:21" x14ac:dyDescent="0.3">
      <c r="A265" s="16">
        <v>263</v>
      </c>
      <c r="B265" s="3">
        <v>45699</v>
      </c>
      <c r="C265" s="40">
        <v>6068.5</v>
      </c>
      <c r="D265">
        <v>21294.86</v>
      </c>
      <c r="E265">
        <v>7.7916999999999996</v>
      </c>
      <c r="F265" s="14">
        <f t="shared" si="20"/>
        <v>2733.0184683701891</v>
      </c>
      <c r="G265">
        <v>14957.39</v>
      </c>
      <c r="H265">
        <v>7.7916999999999996</v>
      </c>
      <c r="I265" s="14">
        <f t="shared" si="21"/>
        <v>1919.6568143023987</v>
      </c>
      <c r="J265">
        <v>5142.3100000000004</v>
      </c>
      <c r="K265">
        <v>7.7916999999999996</v>
      </c>
      <c r="L265" s="43">
        <f t="shared" si="22"/>
        <v>659.97279156025013</v>
      </c>
      <c r="M265">
        <v>7842.72</v>
      </c>
      <c r="N265">
        <v>7.7916999999999996</v>
      </c>
      <c r="O265" s="43">
        <f t="shared" si="23"/>
        <v>1006.5479933775686</v>
      </c>
      <c r="P265">
        <v>3615.27</v>
      </c>
      <c r="Q265">
        <v>7.7916999999999996</v>
      </c>
      <c r="R265" s="43">
        <f t="shared" si="24"/>
        <v>463.98988667428165</v>
      </c>
      <c r="S265"/>
      <c r="U265" s="38"/>
    </row>
    <row r="266" spans="1:21" x14ac:dyDescent="0.3">
      <c r="A266" s="16">
        <v>264</v>
      </c>
      <c r="B266" s="3">
        <v>45700</v>
      </c>
      <c r="C266" s="40">
        <v>6051.97</v>
      </c>
      <c r="D266">
        <v>21857.919999999998</v>
      </c>
      <c r="E266">
        <v>7.7896999999999998</v>
      </c>
      <c r="F266" s="14">
        <f t="shared" si="20"/>
        <v>2806.0027985673387</v>
      </c>
      <c r="G266">
        <v>15324.69</v>
      </c>
      <c r="H266">
        <v>7.7896999999999998</v>
      </c>
      <c r="I266" s="14">
        <f t="shared" si="21"/>
        <v>1967.3016932616149</v>
      </c>
      <c r="J266">
        <v>5281.18</v>
      </c>
      <c r="K266">
        <v>7.7896999999999998</v>
      </c>
      <c r="L266" s="43">
        <f t="shared" si="22"/>
        <v>677.9696265581473</v>
      </c>
      <c r="M266">
        <v>8058.08</v>
      </c>
      <c r="N266">
        <v>7.7896999999999998</v>
      </c>
      <c r="O266" s="43">
        <f t="shared" si="23"/>
        <v>1034.4531881843973</v>
      </c>
      <c r="P266">
        <v>3701.32</v>
      </c>
      <c r="Q266">
        <v>7.7896999999999998</v>
      </c>
      <c r="R266" s="43">
        <f t="shared" si="24"/>
        <v>475.15565426139648</v>
      </c>
      <c r="S266"/>
      <c r="U266" s="38"/>
    </row>
    <row r="267" spans="1:21" x14ac:dyDescent="0.3">
      <c r="A267" s="16">
        <v>265</v>
      </c>
      <c r="B267" s="3">
        <v>45701</v>
      </c>
      <c r="C267" s="40">
        <v>6115.07</v>
      </c>
      <c r="D267">
        <v>21814.37</v>
      </c>
      <c r="E267">
        <v>7.7881999999999998</v>
      </c>
      <c r="F267" s="14">
        <f t="shared" si="20"/>
        <v>2800.9514393569757</v>
      </c>
      <c r="G267">
        <v>15263.15</v>
      </c>
      <c r="H267">
        <v>7.7881999999999998</v>
      </c>
      <c r="I267" s="14">
        <f t="shared" si="21"/>
        <v>1959.7788962789862</v>
      </c>
      <c r="J267">
        <v>5235.28</v>
      </c>
      <c r="K267">
        <v>7.7881999999999998</v>
      </c>
      <c r="L267" s="43">
        <f t="shared" si="22"/>
        <v>672.20667163144242</v>
      </c>
      <c r="M267">
        <v>8002.63</v>
      </c>
      <c r="N267">
        <v>7.7881999999999998</v>
      </c>
      <c r="O267" s="43">
        <f t="shared" si="23"/>
        <v>1027.5326776405332</v>
      </c>
      <c r="P267">
        <v>3668.25</v>
      </c>
      <c r="Q267">
        <v>7.7881999999999998</v>
      </c>
      <c r="R267" s="43">
        <f t="shared" si="24"/>
        <v>471.00100151511259</v>
      </c>
      <c r="S267"/>
      <c r="U267" s="38"/>
    </row>
    <row r="268" spans="1:21" x14ac:dyDescent="0.3">
      <c r="A268" s="16">
        <v>266</v>
      </c>
      <c r="B268" s="3">
        <v>45702</v>
      </c>
      <c r="C268" s="40">
        <v>6114.63</v>
      </c>
      <c r="D268">
        <v>22620.33</v>
      </c>
      <c r="E268">
        <v>7.7842000000000002</v>
      </c>
      <c r="F268" s="14">
        <f t="shared" si="20"/>
        <v>2905.9286760360733</v>
      </c>
      <c r="G268">
        <v>15937.76</v>
      </c>
      <c r="H268">
        <v>7.7842000000000002</v>
      </c>
      <c r="I268" s="14">
        <f t="shared" si="21"/>
        <v>2047.4499627450475</v>
      </c>
      <c r="J268">
        <v>5526.22</v>
      </c>
      <c r="K268">
        <v>7.7842000000000002</v>
      </c>
      <c r="L268" s="43">
        <f t="shared" si="22"/>
        <v>709.92780247167343</v>
      </c>
      <c r="M268">
        <v>8331.4</v>
      </c>
      <c r="N268">
        <v>7.7842000000000002</v>
      </c>
      <c r="O268" s="43">
        <f t="shared" si="23"/>
        <v>1070.2962411037743</v>
      </c>
      <c r="P268">
        <v>3768.82</v>
      </c>
      <c r="Q268">
        <v>7.7842000000000002</v>
      </c>
      <c r="R268" s="43">
        <f t="shared" si="24"/>
        <v>484.16279129518767</v>
      </c>
      <c r="S268"/>
      <c r="U268" s="38"/>
    </row>
    <row r="269" spans="1:21" x14ac:dyDescent="0.3">
      <c r="A269" s="16">
        <v>267</v>
      </c>
      <c r="B269" s="3">
        <v>45706</v>
      </c>
      <c r="C269" s="40">
        <v>6129.58</v>
      </c>
      <c r="D269">
        <v>22976.81</v>
      </c>
      <c r="E269">
        <v>7.7744999999999997</v>
      </c>
      <c r="F269" s="14">
        <f t="shared" si="20"/>
        <v>2955.4067785709694</v>
      </c>
      <c r="G269">
        <v>16133.11</v>
      </c>
      <c r="H269">
        <v>7.7744999999999997</v>
      </c>
      <c r="I269" s="14">
        <f t="shared" si="21"/>
        <v>2075.1315197118788</v>
      </c>
      <c r="J269">
        <v>5639.05</v>
      </c>
      <c r="K269">
        <v>7.7744999999999997</v>
      </c>
      <c r="L269" s="43">
        <f t="shared" si="22"/>
        <v>725.3263875490386</v>
      </c>
      <c r="M269">
        <v>8475.4</v>
      </c>
      <c r="N269">
        <v>7.7744999999999997</v>
      </c>
      <c r="O269" s="43">
        <f t="shared" si="23"/>
        <v>1090.1537076339314</v>
      </c>
      <c r="P269">
        <v>3823.61</v>
      </c>
      <c r="Q269">
        <v>7.7744999999999997</v>
      </c>
      <c r="R269" s="43">
        <f t="shared" si="24"/>
        <v>491.8142645829314</v>
      </c>
      <c r="S269"/>
      <c r="U269" s="38"/>
    </row>
    <row r="270" spans="1:21" x14ac:dyDescent="0.3">
      <c r="A270" s="16">
        <v>268</v>
      </c>
      <c r="B270" s="3">
        <v>45707</v>
      </c>
      <c r="C270" s="40">
        <v>6144.15</v>
      </c>
      <c r="D270">
        <v>22944.240000000002</v>
      </c>
      <c r="E270">
        <v>7.7770000000000001</v>
      </c>
      <c r="F270" s="14">
        <f t="shared" si="20"/>
        <v>2950.2687411598304</v>
      </c>
      <c r="G270">
        <v>15998.39</v>
      </c>
      <c r="H270">
        <v>7.7770000000000001</v>
      </c>
      <c r="I270" s="14">
        <f t="shared" si="21"/>
        <v>2057.1415712999869</v>
      </c>
      <c r="J270">
        <v>5672.24</v>
      </c>
      <c r="K270">
        <v>7.7770000000000001</v>
      </c>
      <c r="L270" s="43">
        <f t="shared" si="22"/>
        <v>729.36093609360933</v>
      </c>
      <c r="M270">
        <v>8463.1</v>
      </c>
      <c r="N270">
        <v>7.7770000000000001</v>
      </c>
      <c r="O270" s="43">
        <f t="shared" si="23"/>
        <v>1088.2216793107882</v>
      </c>
      <c r="P270">
        <v>3826.72</v>
      </c>
      <c r="Q270">
        <v>7.7770000000000001</v>
      </c>
      <c r="R270" s="43">
        <f t="shared" si="24"/>
        <v>492.05606274913202</v>
      </c>
      <c r="S270"/>
      <c r="U270" s="38"/>
    </row>
    <row r="271" spans="1:21" x14ac:dyDescent="0.3">
      <c r="A271" s="16">
        <v>269</v>
      </c>
      <c r="B271" s="3">
        <v>45708</v>
      </c>
      <c r="C271" s="40">
        <v>6117.52</v>
      </c>
      <c r="D271">
        <v>22576.98</v>
      </c>
      <c r="E271">
        <v>7.7763</v>
      </c>
      <c r="F271" s="14">
        <f t="shared" si="20"/>
        <v>2903.3061996064966</v>
      </c>
      <c r="G271">
        <v>15717.75</v>
      </c>
      <c r="H271">
        <v>7.7763</v>
      </c>
      <c r="I271" s="14">
        <f t="shared" si="21"/>
        <v>2021.2376065738204</v>
      </c>
      <c r="J271">
        <v>5500.02</v>
      </c>
      <c r="K271">
        <v>7.7763</v>
      </c>
      <c r="L271" s="43">
        <f t="shared" si="22"/>
        <v>707.27981173565843</v>
      </c>
      <c r="M271">
        <v>8322.56</v>
      </c>
      <c r="N271">
        <v>7.7763</v>
      </c>
      <c r="O271" s="43">
        <f t="shared" si="23"/>
        <v>1070.2467754587656</v>
      </c>
      <c r="P271">
        <v>3803.25</v>
      </c>
      <c r="Q271">
        <v>7.7763</v>
      </c>
      <c r="R271" s="43">
        <f t="shared" si="24"/>
        <v>489.08221133443925</v>
      </c>
      <c r="S271"/>
      <c r="U271" s="38"/>
    </row>
    <row r="272" spans="1:21" x14ac:dyDescent="0.3">
      <c r="A272" s="16">
        <v>270</v>
      </c>
      <c r="B272" s="3">
        <v>45709</v>
      </c>
      <c r="C272" s="40">
        <v>6013.13</v>
      </c>
      <c r="D272">
        <v>23477.919999999998</v>
      </c>
      <c r="E272">
        <v>7.7694999999999999</v>
      </c>
      <c r="F272" s="14">
        <f t="shared" si="20"/>
        <v>3021.8057790076582</v>
      </c>
      <c r="G272">
        <v>16371.95</v>
      </c>
      <c r="H272">
        <v>7.7694999999999999</v>
      </c>
      <c r="I272" s="14">
        <f t="shared" si="21"/>
        <v>2107.2076710213014</v>
      </c>
      <c r="J272">
        <v>5859.3</v>
      </c>
      <c r="K272">
        <v>7.7694999999999999</v>
      </c>
      <c r="L272" s="43">
        <f t="shared" si="22"/>
        <v>754.14119312697085</v>
      </c>
      <c r="M272">
        <v>8666.7199999999993</v>
      </c>
      <c r="N272">
        <v>7.7694999999999999</v>
      </c>
      <c r="O272" s="43">
        <f t="shared" si="23"/>
        <v>1115.4797606023553</v>
      </c>
      <c r="P272">
        <v>3862.1</v>
      </c>
      <c r="Q272">
        <v>7.7694999999999999</v>
      </c>
      <c r="R272" s="43">
        <f t="shared" si="24"/>
        <v>497.08475448870581</v>
      </c>
      <c r="S272"/>
      <c r="U272" s="38"/>
    </row>
    <row r="273" spans="1:21" x14ac:dyDescent="0.3">
      <c r="A273" s="16">
        <v>271</v>
      </c>
      <c r="B273" s="3">
        <v>45712</v>
      </c>
      <c r="C273" s="40">
        <v>5983.25</v>
      </c>
      <c r="D273">
        <v>23341.61</v>
      </c>
      <c r="E273">
        <v>7.7748999999999997</v>
      </c>
      <c r="F273" s="14">
        <f t="shared" si="20"/>
        <v>3002.1749475877505</v>
      </c>
      <c r="G273">
        <v>16297.38</v>
      </c>
      <c r="H273">
        <v>7.7748999999999997</v>
      </c>
      <c r="I273" s="14">
        <f t="shared" si="21"/>
        <v>2096.1530051833465</v>
      </c>
      <c r="J273">
        <v>5789.52</v>
      </c>
      <c r="K273">
        <v>7.7748999999999997</v>
      </c>
      <c r="L273" s="43">
        <f t="shared" si="22"/>
        <v>744.64237482154124</v>
      </c>
      <c r="M273">
        <v>8618.8799999999992</v>
      </c>
      <c r="N273">
        <v>7.7748999999999997</v>
      </c>
      <c r="O273" s="43">
        <f t="shared" si="23"/>
        <v>1108.5518784807521</v>
      </c>
      <c r="P273">
        <v>3858.77</v>
      </c>
      <c r="Q273">
        <v>7.7748999999999997</v>
      </c>
      <c r="R273" s="43">
        <f t="shared" si="24"/>
        <v>496.31120657500418</v>
      </c>
      <c r="S273"/>
      <c r="U273" s="38"/>
    </row>
    <row r="274" spans="1:21" x14ac:dyDescent="0.3">
      <c r="A274" s="16">
        <v>272</v>
      </c>
      <c r="B274" s="3">
        <v>45713</v>
      </c>
      <c r="C274" s="40">
        <v>5955.25</v>
      </c>
      <c r="D274">
        <v>23034.02</v>
      </c>
      <c r="E274">
        <v>7.7736999999999998</v>
      </c>
      <c r="F274" s="14">
        <f t="shared" si="20"/>
        <v>2963.0703525991485</v>
      </c>
      <c r="G274">
        <v>15957.64</v>
      </c>
      <c r="H274">
        <v>7.7736999999999998</v>
      </c>
      <c r="I274" s="14">
        <f t="shared" si="21"/>
        <v>2052.7728108879942</v>
      </c>
      <c r="J274">
        <v>5698.82</v>
      </c>
      <c r="K274">
        <v>7.7736999999999998</v>
      </c>
      <c r="L274" s="43">
        <f t="shared" si="22"/>
        <v>733.08977706883468</v>
      </c>
      <c r="M274">
        <v>8499.19</v>
      </c>
      <c r="N274">
        <v>7.7736999999999998</v>
      </c>
      <c r="O274" s="43">
        <f t="shared" si="23"/>
        <v>1093.3262153157441</v>
      </c>
      <c r="P274">
        <v>3812.27</v>
      </c>
      <c r="Q274">
        <v>7.7736999999999998</v>
      </c>
      <c r="R274" s="43">
        <f t="shared" si="24"/>
        <v>490.40611291920192</v>
      </c>
      <c r="S274"/>
      <c r="U274" s="38"/>
    </row>
    <row r="275" spans="1:21" x14ac:dyDescent="0.3">
      <c r="A275" s="16">
        <v>273</v>
      </c>
      <c r="B275" s="3">
        <v>45714</v>
      </c>
      <c r="C275" s="40">
        <v>5956.06</v>
      </c>
      <c r="D275">
        <v>23787.93</v>
      </c>
      <c r="E275">
        <v>7.7739000000000003</v>
      </c>
      <c r="F275" s="14">
        <f t="shared" si="20"/>
        <v>3059.973758345232</v>
      </c>
      <c r="G275">
        <v>16583.64</v>
      </c>
      <c r="H275">
        <v>7.7739000000000003</v>
      </c>
      <c r="I275" s="14">
        <f t="shared" si="21"/>
        <v>2133.2458611507736</v>
      </c>
      <c r="J275">
        <v>5953.79</v>
      </c>
      <c r="K275">
        <v>7.7739000000000003</v>
      </c>
      <c r="L275" s="43">
        <f t="shared" si="22"/>
        <v>765.86912617862333</v>
      </c>
      <c r="M275">
        <v>8792.89</v>
      </c>
      <c r="N275">
        <v>7.7739000000000003</v>
      </c>
      <c r="O275" s="43">
        <f t="shared" si="23"/>
        <v>1131.078351921172</v>
      </c>
      <c r="P275">
        <v>3877.01</v>
      </c>
      <c r="Q275">
        <v>7.7739000000000003</v>
      </c>
      <c r="R275" s="43">
        <f t="shared" si="24"/>
        <v>498.72136250787895</v>
      </c>
      <c r="S275"/>
      <c r="U275" s="38"/>
    </row>
    <row r="276" spans="1:21" x14ac:dyDescent="0.3">
      <c r="A276" s="16">
        <v>274</v>
      </c>
      <c r="B276" s="3">
        <v>45715</v>
      </c>
      <c r="C276" s="40">
        <v>5861.57</v>
      </c>
      <c r="D276">
        <v>23718.29</v>
      </c>
      <c r="E276">
        <v>7.7774000000000001</v>
      </c>
      <c r="F276" s="14">
        <f t="shared" si="20"/>
        <v>3049.642554066912</v>
      </c>
      <c r="G276">
        <v>16424.330000000002</v>
      </c>
      <c r="H276">
        <v>7.7774000000000001</v>
      </c>
      <c r="I276" s="14">
        <f t="shared" si="21"/>
        <v>2111.8021446755988</v>
      </c>
      <c r="J276">
        <v>5881.01</v>
      </c>
      <c r="K276">
        <v>7.7774000000000001</v>
      </c>
      <c r="L276" s="43">
        <f t="shared" si="22"/>
        <v>756.16658523413992</v>
      </c>
      <c r="M276">
        <v>8734.58</v>
      </c>
      <c r="N276">
        <v>7.7774000000000001</v>
      </c>
      <c r="O276" s="43">
        <f t="shared" si="23"/>
        <v>1123.0719777817781</v>
      </c>
      <c r="P276">
        <v>3881.15</v>
      </c>
      <c r="Q276">
        <v>7.7774000000000001</v>
      </c>
      <c r="R276" s="43">
        <f t="shared" si="24"/>
        <v>499.02923856301595</v>
      </c>
      <c r="S276"/>
      <c r="U276" s="38"/>
    </row>
    <row r="277" spans="1:21" x14ac:dyDescent="0.3">
      <c r="A277" s="16">
        <v>275</v>
      </c>
      <c r="B277" s="3">
        <v>45716</v>
      </c>
      <c r="C277" s="40">
        <v>5954.5</v>
      </c>
      <c r="D277">
        <v>22941.32</v>
      </c>
      <c r="E277">
        <v>7.7782999999999998</v>
      </c>
      <c r="F277" s="14">
        <f t="shared" si="20"/>
        <v>2949.4002545543372</v>
      </c>
      <c r="G277">
        <v>15821.3</v>
      </c>
      <c r="H277">
        <v>7.7782999999999998</v>
      </c>
      <c r="I277" s="14">
        <f t="shared" si="21"/>
        <v>2034.0305722330072</v>
      </c>
      <c r="J277">
        <v>5568.14</v>
      </c>
      <c r="K277">
        <v>7.7782999999999998</v>
      </c>
      <c r="L277" s="43">
        <f t="shared" si="22"/>
        <v>715.85564969209213</v>
      </c>
      <c r="M277">
        <v>8417.43</v>
      </c>
      <c r="N277">
        <v>7.7782999999999998</v>
      </c>
      <c r="O277" s="43">
        <f t="shared" si="23"/>
        <v>1082.1683401257344</v>
      </c>
      <c r="P277">
        <v>3802.29</v>
      </c>
      <c r="Q277">
        <v>7.7782999999999998</v>
      </c>
      <c r="R277" s="43">
        <f t="shared" si="24"/>
        <v>488.83303549618813</v>
      </c>
      <c r="S277"/>
      <c r="U277" s="38"/>
    </row>
    <row r="278" spans="1:21" x14ac:dyDescent="0.3">
      <c r="A278" s="16">
        <v>276</v>
      </c>
      <c r="B278" s="3">
        <v>45719</v>
      </c>
      <c r="C278" s="40">
        <v>5849.72</v>
      </c>
      <c r="D278">
        <v>23006.27</v>
      </c>
      <c r="E278">
        <v>7.7767999999999997</v>
      </c>
      <c r="F278" s="14">
        <f t="shared" si="20"/>
        <v>2958.3209031992596</v>
      </c>
      <c r="G278">
        <v>15852.09</v>
      </c>
      <c r="H278">
        <v>7.7767999999999997</v>
      </c>
      <c r="I278" s="14">
        <f t="shared" si="21"/>
        <v>2038.382110893941</v>
      </c>
      <c r="J278">
        <v>5535.86</v>
      </c>
      <c r="K278">
        <v>7.7767999999999997</v>
      </c>
      <c r="L278" s="43">
        <f t="shared" si="22"/>
        <v>711.84291739532966</v>
      </c>
      <c r="M278">
        <v>8419.69</v>
      </c>
      <c r="N278">
        <v>7.7767999999999997</v>
      </c>
      <c r="O278" s="43">
        <f t="shared" si="23"/>
        <v>1082.6676782224051</v>
      </c>
      <c r="P278">
        <v>3807.03</v>
      </c>
      <c r="Q278">
        <v>7.7767999999999997</v>
      </c>
      <c r="R278" s="43">
        <f t="shared" si="24"/>
        <v>489.53682748688414</v>
      </c>
      <c r="S278"/>
      <c r="U278" s="38"/>
    </row>
    <row r="279" spans="1:21" x14ac:dyDescent="0.3">
      <c r="A279" s="16">
        <v>277</v>
      </c>
      <c r="B279" s="3">
        <v>45720</v>
      </c>
      <c r="C279" s="40">
        <v>5778.15</v>
      </c>
      <c r="D279">
        <v>22941.77</v>
      </c>
      <c r="E279">
        <v>7.7713999999999999</v>
      </c>
      <c r="F279" s="14">
        <f t="shared" si="20"/>
        <v>2952.0768458707571</v>
      </c>
      <c r="G279">
        <v>15769.74</v>
      </c>
      <c r="H279">
        <v>7.7713999999999999</v>
      </c>
      <c r="I279" s="14">
        <f t="shared" si="21"/>
        <v>2029.2019455953882</v>
      </c>
      <c r="J279">
        <v>5535.64</v>
      </c>
      <c r="K279">
        <v>7.7713999999999999</v>
      </c>
      <c r="L279" s="43">
        <f t="shared" si="22"/>
        <v>712.3092364310163</v>
      </c>
      <c r="M279">
        <v>8367.4699999999993</v>
      </c>
      <c r="N279">
        <v>7.7713999999999999</v>
      </c>
      <c r="O279" s="43">
        <f t="shared" si="23"/>
        <v>1076.7004658105361</v>
      </c>
      <c r="P279">
        <v>3797.63</v>
      </c>
      <c r="Q279">
        <v>7.7713999999999999</v>
      </c>
      <c r="R279" s="43">
        <f t="shared" si="24"/>
        <v>488.66742157140288</v>
      </c>
      <c r="S279"/>
      <c r="U279" s="38"/>
    </row>
    <row r="280" spans="1:21" x14ac:dyDescent="0.3">
      <c r="A280" s="16">
        <v>278</v>
      </c>
      <c r="B280" s="3">
        <v>45721</v>
      </c>
      <c r="C280" s="40">
        <v>5842.63</v>
      </c>
      <c r="D280">
        <v>23594.21</v>
      </c>
      <c r="E280">
        <v>7.7706999999999997</v>
      </c>
      <c r="F280" s="14">
        <f t="shared" si="20"/>
        <v>3036.3043226478953</v>
      </c>
      <c r="G280">
        <v>16242.87</v>
      </c>
      <c r="H280">
        <v>7.7706999999999997</v>
      </c>
      <c r="I280" s="14">
        <f t="shared" si="21"/>
        <v>2090.271146743537</v>
      </c>
      <c r="J280">
        <v>5757.94</v>
      </c>
      <c r="K280">
        <v>7.7706999999999997</v>
      </c>
      <c r="L280" s="43">
        <f t="shared" si="22"/>
        <v>740.98086401482487</v>
      </c>
      <c r="M280">
        <v>8630.4</v>
      </c>
      <c r="N280">
        <v>7.7706999999999997</v>
      </c>
      <c r="O280" s="43">
        <f t="shared" si="23"/>
        <v>1110.6335336584864</v>
      </c>
      <c r="P280">
        <v>3846.5</v>
      </c>
      <c r="Q280">
        <v>7.7706999999999997</v>
      </c>
      <c r="R280" s="43">
        <f t="shared" si="24"/>
        <v>495.000450409873</v>
      </c>
      <c r="S280"/>
      <c r="U280" s="38"/>
    </row>
    <row r="281" spans="1:21" x14ac:dyDescent="0.3">
      <c r="A281" s="16">
        <v>279</v>
      </c>
      <c r="B281" s="3">
        <v>45722</v>
      </c>
      <c r="C281" s="40">
        <v>5738.52</v>
      </c>
      <c r="D281">
        <v>24369.71</v>
      </c>
      <c r="E281">
        <v>7.7718999999999996</v>
      </c>
      <c r="F281" s="14">
        <f t="shared" si="20"/>
        <v>3135.6180599338645</v>
      </c>
      <c r="G281">
        <v>16887.28</v>
      </c>
      <c r="H281">
        <v>7.7718999999999996</v>
      </c>
      <c r="I281" s="14">
        <f t="shared" si="21"/>
        <v>2172.8637784840257</v>
      </c>
      <c r="J281">
        <v>6068.77</v>
      </c>
      <c r="K281">
        <v>7.7718999999999996</v>
      </c>
      <c r="L281" s="43">
        <f t="shared" si="22"/>
        <v>780.86053603365986</v>
      </c>
      <c r="M281">
        <v>8938.09</v>
      </c>
      <c r="N281">
        <v>7.7718999999999996</v>
      </c>
      <c r="O281" s="43">
        <f t="shared" si="23"/>
        <v>1150.0521108094547</v>
      </c>
      <c r="P281">
        <v>3901.21</v>
      </c>
      <c r="Q281">
        <v>7.7718999999999996</v>
      </c>
      <c r="R281" s="43">
        <f t="shared" si="24"/>
        <v>501.96348383278223</v>
      </c>
      <c r="S281"/>
      <c r="U281" s="38"/>
    </row>
    <row r="282" spans="1:21" x14ac:dyDescent="0.3">
      <c r="A282" s="16">
        <v>280</v>
      </c>
      <c r="B282" s="3">
        <v>45723</v>
      </c>
      <c r="C282" s="40">
        <v>5770.2</v>
      </c>
      <c r="D282">
        <v>24231.3</v>
      </c>
      <c r="E282">
        <v>7.7701000000000002</v>
      </c>
      <c r="F282" s="14">
        <f t="shared" si="20"/>
        <v>3118.5312930335517</v>
      </c>
      <c r="G282">
        <v>16824.46</v>
      </c>
      <c r="H282">
        <v>7.7701000000000002</v>
      </c>
      <c r="I282" s="14">
        <f t="shared" si="21"/>
        <v>2165.2823000990975</v>
      </c>
      <c r="J282">
        <v>6037.44</v>
      </c>
      <c r="K282">
        <v>7.7701000000000002</v>
      </c>
      <c r="L282" s="43">
        <f t="shared" si="22"/>
        <v>777.00930489955078</v>
      </c>
      <c r="M282">
        <v>8914.0300000000007</v>
      </c>
      <c r="N282">
        <v>7.7701000000000002</v>
      </c>
      <c r="O282" s="43">
        <f t="shared" si="23"/>
        <v>1147.222043474344</v>
      </c>
      <c r="P282">
        <v>3917.07</v>
      </c>
      <c r="Q282">
        <v>7.7701000000000002</v>
      </c>
      <c r="R282" s="43">
        <f t="shared" si="24"/>
        <v>504.12092508461927</v>
      </c>
      <c r="S282"/>
      <c r="U282" s="38"/>
    </row>
    <row r="283" spans="1:21" x14ac:dyDescent="0.3">
      <c r="A283" s="16">
        <v>281</v>
      </c>
      <c r="B283" s="3">
        <v>45726</v>
      </c>
      <c r="C283" s="40">
        <v>5614.56</v>
      </c>
      <c r="D283">
        <v>23783.49</v>
      </c>
      <c r="E283">
        <v>7.7683999999999997</v>
      </c>
      <c r="F283" s="14">
        <f t="shared" si="20"/>
        <v>3061.5686627877044</v>
      </c>
      <c r="G283">
        <v>16466.88</v>
      </c>
      <c r="H283">
        <v>7.7683999999999997</v>
      </c>
      <c r="I283" s="14">
        <f t="shared" si="21"/>
        <v>2119.7260697183465</v>
      </c>
      <c r="J283">
        <v>5885.49</v>
      </c>
      <c r="K283">
        <v>7.7683999999999997</v>
      </c>
      <c r="L283" s="43">
        <f t="shared" si="22"/>
        <v>757.61932959167916</v>
      </c>
      <c r="M283">
        <v>8725.01</v>
      </c>
      <c r="N283">
        <v>7.7683999999999997</v>
      </c>
      <c r="O283" s="43">
        <f t="shared" si="23"/>
        <v>1123.1411873744917</v>
      </c>
      <c r="P283">
        <v>3870.42</v>
      </c>
      <c r="Q283">
        <v>7.7683999999999997</v>
      </c>
      <c r="R283" s="43">
        <f t="shared" si="24"/>
        <v>498.22614695432782</v>
      </c>
      <c r="S283"/>
      <c r="U283" s="38"/>
    </row>
    <row r="284" spans="1:21" x14ac:dyDescent="0.3">
      <c r="A284" s="16">
        <v>282</v>
      </c>
      <c r="B284" s="3">
        <v>45727</v>
      </c>
      <c r="C284" s="40">
        <v>5572.07</v>
      </c>
      <c r="D284">
        <v>23782.14</v>
      </c>
      <c r="E284">
        <v>7.7704000000000004</v>
      </c>
      <c r="F284" s="14">
        <f t="shared" si="20"/>
        <v>3060.6069185627507</v>
      </c>
      <c r="G284">
        <v>16491.5</v>
      </c>
      <c r="H284">
        <v>7.7704000000000004</v>
      </c>
      <c r="I284" s="14">
        <f t="shared" si="21"/>
        <v>2122.3489138268301</v>
      </c>
      <c r="J284">
        <v>5967.23</v>
      </c>
      <c r="K284">
        <v>7.7704000000000004</v>
      </c>
      <c r="L284" s="43">
        <f t="shared" si="22"/>
        <v>767.94373520024703</v>
      </c>
      <c r="M284">
        <v>8755.3700000000008</v>
      </c>
      <c r="N284">
        <v>7.7704000000000004</v>
      </c>
      <c r="O284" s="43">
        <f t="shared" si="23"/>
        <v>1126.7592401935551</v>
      </c>
      <c r="P284">
        <v>3883.54</v>
      </c>
      <c r="Q284">
        <v>7.7704000000000004</v>
      </c>
      <c r="R284" s="43">
        <f t="shared" si="24"/>
        <v>499.78636878410373</v>
      </c>
      <c r="S284"/>
      <c r="U284" s="38"/>
    </row>
    <row r="285" spans="1:21" x14ac:dyDescent="0.3">
      <c r="A285" s="16">
        <v>283</v>
      </c>
      <c r="B285" s="3">
        <v>45728</v>
      </c>
      <c r="C285" s="40">
        <v>5599.3</v>
      </c>
      <c r="D285">
        <v>23600.31</v>
      </c>
      <c r="E285">
        <v>7.7690999999999999</v>
      </c>
      <c r="F285" s="14">
        <f t="shared" si="20"/>
        <v>3037.714793219292</v>
      </c>
      <c r="G285">
        <v>16404.169999999998</v>
      </c>
      <c r="H285">
        <v>7.7690999999999999</v>
      </c>
      <c r="I285" s="14">
        <f t="shared" si="21"/>
        <v>2111.4633612644961</v>
      </c>
      <c r="J285">
        <v>5845.36</v>
      </c>
      <c r="K285">
        <v>7.7690999999999999</v>
      </c>
      <c r="L285" s="43">
        <f t="shared" si="22"/>
        <v>752.38573322521268</v>
      </c>
      <c r="M285">
        <v>8682.1299999999992</v>
      </c>
      <c r="N285">
        <v>7.7690999999999999</v>
      </c>
      <c r="O285" s="43">
        <f t="shared" si="23"/>
        <v>1117.5206909423227</v>
      </c>
      <c r="P285">
        <v>3869.93</v>
      </c>
      <c r="Q285">
        <v>7.7690999999999999</v>
      </c>
      <c r="R285" s="43">
        <f t="shared" si="24"/>
        <v>498.1181861476876</v>
      </c>
      <c r="S285"/>
      <c r="U285" s="38"/>
    </row>
    <row r="286" spans="1:21" x14ac:dyDescent="0.3">
      <c r="A286" s="16">
        <v>284</v>
      </c>
      <c r="B286" s="3">
        <v>45729</v>
      </c>
      <c r="C286" s="40">
        <v>5521.52</v>
      </c>
      <c r="D286">
        <v>23462.65</v>
      </c>
      <c r="E286">
        <v>7.7717000000000001</v>
      </c>
      <c r="F286" s="14">
        <f t="shared" si="20"/>
        <v>3018.9855501370357</v>
      </c>
      <c r="G286">
        <v>16317.89</v>
      </c>
      <c r="H286">
        <v>7.7717000000000001</v>
      </c>
      <c r="I286" s="14">
        <f t="shared" si="21"/>
        <v>2099.6551591028988</v>
      </c>
      <c r="J286">
        <v>5747.77</v>
      </c>
      <c r="K286">
        <v>7.7717000000000001</v>
      </c>
      <c r="L286" s="43">
        <f t="shared" si="22"/>
        <v>739.57692654116863</v>
      </c>
      <c r="M286">
        <v>8640.61</v>
      </c>
      <c r="N286">
        <v>7.7717000000000001</v>
      </c>
      <c r="O286" s="43">
        <f t="shared" si="23"/>
        <v>1111.8043671268836</v>
      </c>
      <c r="P286">
        <v>3868.49</v>
      </c>
      <c r="Q286">
        <v>7.7717000000000001</v>
      </c>
      <c r="R286" s="43">
        <f t="shared" si="24"/>
        <v>497.76625448743516</v>
      </c>
      <c r="S286"/>
      <c r="U286" s="38"/>
    </row>
    <row r="287" spans="1:21" x14ac:dyDescent="0.3">
      <c r="A287" s="16">
        <v>285</v>
      </c>
      <c r="B287" s="3">
        <v>45730</v>
      </c>
      <c r="C287" s="40">
        <v>5638.94</v>
      </c>
      <c r="D287">
        <v>23959.98</v>
      </c>
      <c r="E287">
        <v>7.7728000000000002</v>
      </c>
      <c r="F287" s="14">
        <f t="shared" si="20"/>
        <v>3082.5416838205019</v>
      </c>
      <c r="G287">
        <v>16823.439999999999</v>
      </c>
      <c r="H287">
        <v>7.7728000000000002</v>
      </c>
      <c r="I287" s="14">
        <f t="shared" si="21"/>
        <v>2164.3989296006584</v>
      </c>
      <c r="J287">
        <v>5880.78</v>
      </c>
      <c r="K287">
        <v>7.7728000000000002</v>
      </c>
      <c r="L287" s="43">
        <f t="shared" si="22"/>
        <v>756.58449979415388</v>
      </c>
      <c r="M287">
        <v>8877.99</v>
      </c>
      <c r="N287">
        <v>7.7728000000000002</v>
      </c>
      <c r="O287" s="43">
        <f t="shared" si="23"/>
        <v>1142.1868567311651</v>
      </c>
      <c r="P287">
        <v>3906.45</v>
      </c>
      <c r="Q287">
        <v>7.7728000000000002</v>
      </c>
      <c r="R287" s="43">
        <f t="shared" si="24"/>
        <v>502.57950802799502</v>
      </c>
      <c r="S287"/>
      <c r="U287" s="38"/>
    </row>
    <row r="288" spans="1:21" x14ac:dyDescent="0.3">
      <c r="A288" s="16">
        <v>286</v>
      </c>
      <c r="B288" s="3">
        <v>45733</v>
      </c>
      <c r="C288" s="40">
        <v>5675.12</v>
      </c>
      <c r="D288">
        <v>24145.57</v>
      </c>
      <c r="E288">
        <v>7.7694999999999999</v>
      </c>
      <c r="F288" s="14">
        <f t="shared" si="20"/>
        <v>3107.7379496750114</v>
      </c>
      <c r="G288">
        <v>16912.36</v>
      </c>
      <c r="H288">
        <v>7.7694999999999999</v>
      </c>
      <c r="I288" s="14">
        <f t="shared" si="21"/>
        <v>2176.7629834609693</v>
      </c>
      <c r="J288">
        <v>5872.81</v>
      </c>
      <c r="K288">
        <v>7.7694999999999999</v>
      </c>
      <c r="L288" s="43">
        <f t="shared" si="22"/>
        <v>755.88004376085985</v>
      </c>
      <c r="M288">
        <v>8928.4500000000007</v>
      </c>
      <c r="N288">
        <v>7.7694999999999999</v>
      </c>
      <c r="O288" s="43">
        <f t="shared" si="23"/>
        <v>1149.1666130381623</v>
      </c>
      <c r="P288">
        <v>3945.69</v>
      </c>
      <c r="Q288">
        <v>7.7694999999999999</v>
      </c>
      <c r="R288" s="43">
        <f t="shared" si="24"/>
        <v>507.84349057210892</v>
      </c>
      <c r="S288"/>
      <c r="U288" s="38"/>
    </row>
    <row r="289" spans="1:21" x14ac:dyDescent="0.3">
      <c r="A289" s="16">
        <v>287</v>
      </c>
      <c r="B289" s="3">
        <v>45734</v>
      </c>
      <c r="C289" s="40">
        <v>5614.66</v>
      </c>
      <c r="D289">
        <v>24740.57</v>
      </c>
      <c r="E289">
        <v>7.7690999999999999</v>
      </c>
      <c r="F289" s="14">
        <f t="shared" si="20"/>
        <v>3184.4834021958786</v>
      </c>
      <c r="G289">
        <v>17451.96</v>
      </c>
      <c r="H289">
        <v>7.7690999999999999</v>
      </c>
      <c r="I289" s="14">
        <f t="shared" si="21"/>
        <v>2246.3296906977644</v>
      </c>
      <c r="J289">
        <v>6105.5</v>
      </c>
      <c r="K289">
        <v>7.7690999999999999</v>
      </c>
      <c r="L289" s="43">
        <f t="shared" si="22"/>
        <v>785.86966315274617</v>
      </c>
      <c r="M289">
        <v>9177.7999999999993</v>
      </c>
      <c r="N289">
        <v>7.7690999999999999</v>
      </c>
      <c r="O289" s="43">
        <f t="shared" si="23"/>
        <v>1181.3208737176762</v>
      </c>
      <c r="P289">
        <v>4024.91</v>
      </c>
      <c r="Q289">
        <v>7.7690999999999999</v>
      </c>
      <c r="R289" s="43">
        <f t="shared" si="24"/>
        <v>518.06644270250092</v>
      </c>
      <c r="S289"/>
      <c r="U289" s="38"/>
    </row>
    <row r="290" spans="1:21" x14ac:dyDescent="0.3">
      <c r="A290" s="16">
        <v>288</v>
      </c>
      <c r="B290" s="3">
        <v>45735</v>
      </c>
      <c r="C290" s="40">
        <v>5675.29</v>
      </c>
      <c r="D290">
        <v>24771.14</v>
      </c>
      <c r="E290">
        <v>7.7706999999999997</v>
      </c>
      <c r="F290" s="14">
        <f t="shared" si="20"/>
        <v>3187.7617203083378</v>
      </c>
      <c r="G290">
        <v>17415.16</v>
      </c>
      <c r="H290">
        <v>7.7706999999999997</v>
      </c>
      <c r="I290" s="14">
        <f t="shared" si="21"/>
        <v>2241.1314296009368</v>
      </c>
      <c r="J290">
        <v>6041.19</v>
      </c>
      <c r="K290">
        <v>7.7706999999999997</v>
      </c>
      <c r="L290" s="43">
        <f t="shared" si="22"/>
        <v>777.43189159277802</v>
      </c>
      <c r="M290">
        <v>9163.67</v>
      </c>
      <c r="N290">
        <v>7.7706999999999997</v>
      </c>
      <c r="O290" s="43">
        <f t="shared" si="23"/>
        <v>1179.2592687917434</v>
      </c>
      <c r="P290">
        <v>4018.73</v>
      </c>
      <c r="Q290">
        <v>7.7706999999999997</v>
      </c>
      <c r="R290" s="43">
        <f t="shared" si="24"/>
        <v>517.16447681676038</v>
      </c>
      <c r="S290"/>
      <c r="U290" s="38"/>
    </row>
    <row r="291" spans="1:21" x14ac:dyDescent="0.3">
      <c r="A291" s="16">
        <v>289</v>
      </c>
      <c r="B291" s="3">
        <v>45736</v>
      </c>
      <c r="C291" s="40">
        <v>5662.89</v>
      </c>
      <c r="D291">
        <v>24219.95</v>
      </c>
      <c r="E291">
        <v>7.7725999999999997</v>
      </c>
      <c r="F291" s="14">
        <f t="shared" si="20"/>
        <v>3116.067982399712</v>
      </c>
      <c r="G291">
        <v>16957.39</v>
      </c>
      <c r="H291">
        <v>7.7725999999999997</v>
      </c>
      <c r="I291" s="14">
        <f t="shared" si="21"/>
        <v>2181.6882381699816</v>
      </c>
      <c r="J291">
        <v>5836.28</v>
      </c>
      <c r="K291">
        <v>7.7725999999999997</v>
      </c>
      <c r="L291" s="43">
        <f t="shared" si="22"/>
        <v>750.87872783881846</v>
      </c>
      <c r="M291">
        <v>8950.18</v>
      </c>
      <c r="N291">
        <v>7.7725999999999997</v>
      </c>
      <c r="O291" s="43">
        <f t="shared" si="23"/>
        <v>1151.504001235108</v>
      </c>
      <c r="P291">
        <v>3956.74</v>
      </c>
      <c r="Q291">
        <v>7.7725999999999997</v>
      </c>
      <c r="R291" s="43">
        <f t="shared" si="24"/>
        <v>509.0626045338754</v>
      </c>
      <c r="S291"/>
      <c r="U291" s="38"/>
    </row>
    <row r="292" spans="1:21" x14ac:dyDescent="0.3">
      <c r="A292" s="16">
        <v>290</v>
      </c>
      <c r="B292" s="3">
        <v>45737</v>
      </c>
      <c r="C292" s="40">
        <v>5667.56</v>
      </c>
      <c r="D292">
        <v>23689.72</v>
      </c>
      <c r="E292">
        <v>7.7732999999999999</v>
      </c>
      <c r="F292" s="14">
        <f t="shared" si="20"/>
        <v>3047.575675710445</v>
      </c>
      <c r="G292">
        <v>16551.36</v>
      </c>
      <c r="H292">
        <v>7.7732999999999999</v>
      </c>
      <c r="I292" s="14">
        <f t="shared" si="21"/>
        <v>2129.2578441588516</v>
      </c>
      <c r="J292">
        <v>5639.56</v>
      </c>
      <c r="K292">
        <v>7.7732999999999999</v>
      </c>
      <c r="L292" s="43">
        <f t="shared" si="22"/>
        <v>725.5039687134165</v>
      </c>
      <c r="M292">
        <v>8742.44</v>
      </c>
      <c r="N292">
        <v>7.7732999999999999</v>
      </c>
      <c r="O292" s="43">
        <f t="shared" si="23"/>
        <v>1124.6754917473918</v>
      </c>
      <c r="P292">
        <v>3909.24</v>
      </c>
      <c r="Q292">
        <v>7.7732999999999999</v>
      </c>
      <c r="R292" s="43">
        <f t="shared" si="24"/>
        <v>502.90610165566744</v>
      </c>
      <c r="S292"/>
      <c r="U292" s="38"/>
    </row>
    <row r="293" spans="1:21" x14ac:dyDescent="0.3">
      <c r="A293" s="16">
        <v>291</v>
      </c>
      <c r="B293" s="3">
        <v>45740</v>
      </c>
      <c r="C293" s="40">
        <v>5767.57</v>
      </c>
      <c r="D293">
        <v>23905.56</v>
      </c>
      <c r="E293">
        <v>7.7742000000000004</v>
      </c>
      <c r="F293" s="14">
        <f t="shared" si="20"/>
        <v>3074.9864937871421</v>
      </c>
      <c r="G293">
        <v>16796.41</v>
      </c>
      <c r="H293">
        <v>7.7742000000000004</v>
      </c>
      <c r="I293" s="14">
        <f t="shared" si="21"/>
        <v>2160.5322734172005</v>
      </c>
      <c r="J293">
        <v>5736.83</v>
      </c>
      <c r="K293">
        <v>7.7742000000000004</v>
      </c>
      <c r="L293" s="43">
        <f t="shared" si="22"/>
        <v>737.93187723495657</v>
      </c>
      <c r="M293">
        <v>8850.69</v>
      </c>
      <c r="N293">
        <v>7.7742000000000004</v>
      </c>
      <c r="O293" s="43">
        <f t="shared" si="23"/>
        <v>1138.4695531373004</v>
      </c>
      <c r="P293">
        <v>3904.02</v>
      </c>
      <c r="Q293">
        <v>7.7742000000000004</v>
      </c>
      <c r="R293" s="43">
        <f t="shared" si="24"/>
        <v>502.17642972910392</v>
      </c>
      <c r="S293"/>
      <c r="U293" s="38"/>
    </row>
    <row r="294" spans="1:21" x14ac:dyDescent="0.3">
      <c r="A294" s="16">
        <v>292</v>
      </c>
      <c r="B294" s="3">
        <v>45741</v>
      </c>
      <c r="C294" s="40">
        <v>5776.65</v>
      </c>
      <c r="D294">
        <v>23344.25</v>
      </c>
      <c r="E294">
        <v>7.7747000000000002</v>
      </c>
      <c r="F294" s="14">
        <f t="shared" si="20"/>
        <v>3002.5917398742072</v>
      </c>
      <c r="G294">
        <v>16357.06</v>
      </c>
      <c r="H294">
        <v>7.7747000000000002</v>
      </c>
      <c r="I294" s="14">
        <f t="shared" si="21"/>
        <v>2103.8831080298919</v>
      </c>
      <c r="J294">
        <v>5517.52</v>
      </c>
      <c r="K294">
        <v>7.7747000000000002</v>
      </c>
      <c r="L294" s="43">
        <f t="shared" si="22"/>
        <v>709.67625760479507</v>
      </c>
      <c r="M294">
        <v>8616.0499999999993</v>
      </c>
      <c r="N294">
        <v>7.7747000000000002</v>
      </c>
      <c r="O294" s="43">
        <f t="shared" si="23"/>
        <v>1108.2163942017055</v>
      </c>
      <c r="P294">
        <v>3847.06</v>
      </c>
      <c r="Q294">
        <v>7.7747000000000002</v>
      </c>
      <c r="R294" s="43">
        <f t="shared" si="24"/>
        <v>494.81780647484788</v>
      </c>
      <c r="S294"/>
      <c r="U294" s="38"/>
    </row>
    <row r="295" spans="1:21" x14ac:dyDescent="0.3">
      <c r="A295" s="16">
        <v>293</v>
      </c>
      <c r="B295" s="3">
        <v>45742</v>
      </c>
      <c r="C295" s="40">
        <v>5712.2</v>
      </c>
      <c r="D295">
        <v>23483.32</v>
      </c>
      <c r="E295">
        <v>7.7760999999999996</v>
      </c>
      <c r="F295" s="14">
        <f t="shared" si="20"/>
        <v>3019.9354432170371</v>
      </c>
      <c r="G295">
        <v>16404.669999999998</v>
      </c>
      <c r="H295">
        <v>7.7760999999999996</v>
      </c>
      <c r="I295" s="14">
        <f t="shared" si="21"/>
        <v>2109.6269338100074</v>
      </c>
      <c r="J295">
        <v>5573.04</v>
      </c>
      <c r="K295">
        <v>7.7760999999999996</v>
      </c>
      <c r="L295" s="43">
        <f t="shared" si="22"/>
        <v>716.68831419349033</v>
      </c>
      <c r="M295">
        <v>8654.26</v>
      </c>
      <c r="N295">
        <v>7.7760999999999996</v>
      </c>
      <c r="O295" s="43">
        <f t="shared" si="23"/>
        <v>1112.930646468024</v>
      </c>
      <c r="P295">
        <v>3849.68</v>
      </c>
      <c r="Q295">
        <v>7.7760999999999996</v>
      </c>
      <c r="R295" s="43">
        <f t="shared" si="24"/>
        <v>495.06564987590178</v>
      </c>
      <c r="S295"/>
      <c r="U295" s="38"/>
    </row>
    <row r="296" spans="1:21" x14ac:dyDescent="0.3">
      <c r="A296" s="16">
        <v>294</v>
      </c>
      <c r="B296" s="3">
        <v>45743</v>
      </c>
      <c r="C296" s="40">
        <v>5693.31</v>
      </c>
      <c r="D296">
        <v>23578.799999999999</v>
      </c>
      <c r="E296">
        <v>7.7754000000000003</v>
      </c>
      <c r="F296" s="14">
        <f t="shared" si="20"/>
        <v>3032.4870746199549</v>
      </c>
      <c r="G296">
        <v>16438.990000000002</v>
      </c>
      <c r="H296">
        <v>7.7754000000000003</v>
      </c>
      <c r="I296" s="14">
        <f t="shared" si="21"/>
        <v>2114.2307791239036</v>
      </c>
      <c r="J296">
        <v>5589.12</v>
      </c>
      <c r="K296">
        <v>7.7754000000000003</v>
      </c>
      <c r="L296" s="43">
        <f t="shared" si="22"/>
        <v>718.82089667412606</v>
      </c>
      <c r="M296">
        <v>8677.68</v>
      </c>
      <c r="N296">
        <v>7.7754000000000003</v>
      </c>
      <c r="O296" s="43">
        <f t="shared" si="23"/>
        <v>1116.0429045451037</v>
      </c>
      <c r="P296">
        <v>3875.42</v>
      </c>
      <c r="Q296">
        <v>7.7754000000000003</v>
      </c>
      <c r="R296" s="43">
        <f t="shared" si="24"/>
        <v>498.42066003035211</v>
      </c>
      <c r="S296"/>
      <c r="U296" s="38"/>
    </row>
    <row r="297" spans="1:21" x14ac:dyDescent="0.3">
      <c r="A297" s="16">
        <v>295</v>
      </c>
      <c r="B297" s="3">
        <v>45744</v>
      </c>
      <c r="C297" s="40">
        <v>5580.94</v>
      </c>
      <c r="D297">
        <v>23426.6</v>
      </c>
      <c r="E297">
        <v>7.7778</v>
      </c>
      <c r="F297" s="14">
        <f t="shared" si="20"/>
        <v>3011.98282290622</v>
      </c>
      <c r="G297">
        <v>16337.11</v>
      </c>
      <c r="H297">
        <v>7.7778</v>
      </c>
      <c r="I297" s="14">
        <f t="shared" si="21"/>
        <v>2100.4795700583713</v>
      </c>
      <c r="J297">
        <v>5506.47</v>
      </c>
      <c r="K297">
        <v>7.7778</v>
      </c>
      <c r="L297" s="43">
        <f t="shared" si="22"/>
        <v>707.97269150659577</v>
      </c>
      <c r="M297">
        <v>8606.51</v>
      </c>
      <c r="N297">
        <v>7.7778</v>
      </c>
      <c r="O297" s="43">
        <f t="shared" si="23"/>
        <v>1106.5481241482166</v>
      </c>
      <c r="P297">
        <v>3850.94</v>
      </c>
      <c r="Q297">
        <v>7.7778</v>
      </c>
      <c r="R297" s="43">
        <f t="shared" si="24"/>
        <v>495.11944251587852</v>
      </c>
      <c r="S297"/>
      <c r="U297" s="38"/>
    </row>
    <row r="298" spans="1:21" x14ac:dyDescent="0.3">
      <c r="A298" s="16">
        <v>296</v>
      </c>
      <c r="B298" s="3">
        <v>45747</v>
      </c>
      <c r="C298" s="40">
        <v>5611.85</v>
      </c>
      <c r="D298">
        <v>23119.58</v>
      </c>
      <c r="E298">
        <v>7.7801999999999998</v>
      </c>
      <c r="F298" s="14">
        <f t="shared" si="20"/>
        <v>2971.5919899231385</v>
      </c>
      <c r="G298">
        <v>16113.16</v>
      </c>
      <c r="H298">
        <v>7.7801999999999998</v>
      </c>
      <c r="I298" s="14">
        <f t="shared" si="21"/>
        <v>2071.0470167862009</v>
      </c>
      <c r="J298">
        <v>5394.72</v>
      </c>
      <c r="K298">
        <v>7.7801999999999998</v>
      </c>
      <c r="L298" s="43">
        <f t="shared" si="22"/>
        <v>693.39091540063248</v>
      </c>
      <c r="M298">
        <v>8516.5499999999993</v>
      </c>
      <c r="N298">
        <v>7.7801999999999998</v>
      </c>
      <c r="O298" s="43">
        <f t="shared" si="23"/>
        <v>1094.6440965527877</v>
      </c>
      <c r="P298">
        <v>3810.81</v>
      </c>
      <c r="Q298">
        <v>7.7801999999999998</v>
      </c>
      <c r="R298" s="43">
        <f t="shared" si="24"/>
        <v>489.80874527647103</v>
      </c>
      <c r="S298"/>
      <c r="U298" s="38"/>
    </row>
    <row r="299" spans="1:21" x14ac:dyDescent="0.3">
      <c r="A299" s="16">
        <v>297</v>
      </c>
      <c r="B299" s="3">
        <v>45748</v>
      </c>
      <c r="C299" s="40">
        <v>5633.07</v>
      </c>
      <c r="D299">
        <v>23206.84</v>
      </c>
      <c r="E299">
        <v>7.7808999999999999</v>
      </c>
      <c r="F299" s="14">
        <f t="shared" si="20"/>
        <v>2982.5392949401739</v>
      </c>
      <c r="G299">
        <v>16167.84</v>
      </c>
      <c r="H299">
        <v>7.7808999999999999</v>
      </c>
      <c r="I299" s="14">
        <f t="shared" si="21"/>
        <v>2077.8881620378106</v>
      </c>
      <c r="J299">
        <v>5407.38</v>
      </c>
      <c r="K299">
        <v>7.7808999999999999</v>
      </c>
      <c r="L299" s="43">
        <f t="shared" si="22"/>
        <v>694.9555963963038</v>
      </c>
      <c r="M299">
        <v>8537.34</v>
      </c>
      <c r="N299">
        <v>7.7808999999999999</v>
      </c>
      <c r="O299" s="43">
        <f t="shared" si="23"/>
        <v>1097.2175455281522</v>
      </c>
      <c r="P299">
        <v>3831.93</v>
      </c>
      <c r="Q299">
        <v>7.7808999999999999</v>
      </c>
      <c r="R299" s="43">
        <f t="shared" si="24"/>
        <v>492.47901913660371</v>
      </c>
      <c r="S299"/>
      <c r="U299" s="38"/>
    </row>
    <row r="300" spans="1:21" x14ac:dyDescent="0.3">
      <c r="A300" s="16">
        <v>298</v>
      </c>
      <c r="B300" s="3">
        <v>45749</v>
      </c>
      <c r="C300" s="40">
        <v>5670.97</v>
      </c>
      <c r="D300">
        <v>23202.53</v>
      </c>
      <c r="E300">
        <v>7.7820999999999998</v>
      </c>
      <c r="F300" s="14">
        <f t="shared" si="20"/>
        <v>2981.5255522288326</v>
      </c>
      <c r="G300">
        <v>16165.51</v>
      </c>
      <c r="H300">
        <v>7.7820999999999998</v>
      </c>
      <c r="I300" s="14">
        <f t="shared" si="21"/>
        <v>2077.2683465902519</v>
      </c>
      <c r="J300">
        <v>5426.44</v>
      </c>
      <c r="K300">
        <v>7.7820999999999998</v>
      </c>
      <c r="L300" s="43">
        <f t="shared" si="22"/>
        <v>697.29764459464661</v>
      </c>
      <c r="M300">
        <v>8531.51</v>
      </c>
      <c r="N300">
        <v>7.7820999999999998</v>
      </c>
      <c r="O300" s="43">
        <f t="shared" si="23"/>
        <v>1096.2991994448801</v>
      </c>
      <c r="P300">
        <v>3862</v>
      </c>
      <c r="Q300">
        <v>7.7820999999999998</v>
      </c>
      <c r="R300" s="43">
        <f t="shared" si="24"/>
        <v>496.26707444006115</v>
      </c>
      <c r="S300"/>
      <c r="U300" s="38"/>
    </row>
    <row r="301" spans="1:21" x14ac:dyDescent="0.3">
      <c r="A301" s="16">
        <v>299</v>
      </c>
      <c r="B301" s="3">
        <v>45750</v>
      </c>
      <c r="C301" s="40">
        <v>5396.52</v>
      </c>
      <c r="D301">
        <v>22849.81</v>
      </c>
      <c r="E301">
        <v>7.7779999999999996</v>
      </c>
      <c r="F301" s="14">
        <f t="shared" si="20"/>
        <v>2937.7487786063257</v>
      </c>
      <c r="G301">
        <v>15930.14</v>
      </c>
      <c r="H301">
        <v>7.7779999999999996</v>
      </c>
      <c r="I301" s="14">
        <f t="shared" si="21"/>
        <v>2048.1023399331448</v>
      </c>
      <c r="J301">
        <v>5313.26</v>
      </c>
      <c r="K301">
        <v>7.7779999999999996</v>
      </c>
      <c r="L301" s="43">
        <f t="shared" si="22"/>
        <v>683.1139110311135</v>
      </c>
      <c r="M301">
        <v>8420.14</v>
      </c>
      <c r="N301">
        <v>7.7779999999999996</v>
      </c>
      <c r="O301" s="43">
        <f t="shared" si="23"/>
        <v>1082.5584983286192</v>
      </c>
      <c r="P301">
        <v>3873.88</v>
      </c>
      <c r="Q301">
        <v>7.7779999999999996</v>
      </c>
      <c r="R301" s="43">
        <f t="shared" si="24"/>
        <v>498.05605554127027</v>
      </c>
      <c r="S301"/>
      <c r="U301" s="38"/>
    </row>
    <row r="302" spans="1:21" x14ac:dyDescent="0.3">
      <c r="A302" s="16">
        <v>300</v>
      </c>
      <c r="B302" s="3">
        <v>45754</v>
      </c>
      <c r="C302" s="40">
        <v>5062.25</v>
      </c>
      <c r="D302">
        <v>19828.3</v>
      </c>
      <c r="E302">
        <v>7.7675999999999998</v>
      </c>
      <c r="F302" s="14">
        <f t="shared" si="20"/>
        <v>2552.6932385807713</v>
      </c>
      <c r="G302">
        <v>13659.96</v>
      </c>
      <c r="H302">
        <v>7.7675999999999998</v>
      </c>
      <c r="I302" s="14">
        <f t="shared" si="21"/>
        <v>1758.5818013285957</v>
      </c>
      <c r="J302">
        <v>4401.51</v>
      </c>
      <c r="K302">
        <v>7.7675999999999998</v>
      </c>
      <c r="L302" s="43">
        <f t="shared" si="22"/>
        <v>566.64993048045733</v>
      </c>
      <c r="M302">
        <v>7262.72</v>
      </c>
      <c r="N302">
        <v>7.7675999999999998</v>
      </c>
      <c r="O302" s="43">
        <f t="shared" si="23"/>
        <v>935.00180235851496</v>
      </c>
      <c r="P302">
        <v>3469.18</v>
      </c>
      <c r="Q302">
        <v>7.7675999999999998</v>
      </c>
      <c r="R302" s="43">
        <f t="shared" si="24"/>
        <v>446.62186518358305</v>
      </c>
      <c r="S302"/>
      <c r="U302" s="38"/>
    </row>
    <row r="303" spans="1:21" x14ac:dyDescent="0.3">
      <c r="A303" s="16">
        <v>301</v>
      </c>
      <c r="B303" s="3">
        <v>45755</v>
      </c>
      <c r="C303" s="40">
        <v>4982.7700000000004</v>
      </c>
      <c r="D303">
        <v>20127.68</v>
      </c>
      <c r="E303">
        <v>7.7708000000000004</v>
      </c>
      <c r="F303" s="14">
        <f t="shared" si="20"/>
        <v>2590.1683224378439</v>
      </c>
      <c r="G303">
        <v>14036.73</v>
      </c>
      <c r="H303">
        <v>7.7708000000000004</v>
      </c>
      <c r="I303" s="14">
        <f t="shared" si="21"/>
        <v>1806.3429762701394</v>
      </c>
      <c r="J303">
        <v>4568.38</v>
      </c>
      <c r="K303">
        <v>7.7708000000000004</v>
      </c>
      <c r="L303" s="43">
        <f t="shared" si="22"/>
        <v>587.89056467802538</v>
      </c>
      <c r="M303">
        <v>7430.62</v>
      </c>
      <c r="N303">
        <v>7.7708000000000004</v>
      </c>
      <c r="O303" s="43">
        <f t="shared" si="23"/>
        <v>956.22329747258959</v>
      </c>
      <c r="P303">
        <v>3530.28</v>
      </c>
      <c r="Q303">
        <v>7.7708000000000004</v>
      </c>
      <c r="R303" s="43">
        <f t="shared" si="24"/>
        <v>454.30071549904773</v>
      </c>
      <c r="S303"/>
      <c r="U303" s="38"/>
    </row>
    <row r="304" spans="1:21" x14ac:dyDescent="0.3">
      <c r="A304" s="16">
        <v>302</v>
      </c>
      <c r="B304" s="3">
        <v>45756</v>
      </c>
      <c r="C304" s="40">
        <v>5456.9</v>
      </c>
      <c r="D304">
        <v>20264.490000000002</v>
      </c>
      <c r="E304">
        <v>7.7607999999999997</v>
      </c>
      <c r="F304" s="14">
        <f t="shared" si="20"/>
        <v>2611.1341614266576</v>
      </c>
      <c r="G304">
        <v>14190.02</v>
      </c>
      <c r="H304">
        <v>7.7607999999999997</v>
      </c>
      <c r="I304" s="14">
        <f t="shared" si="21"/>
        <v>1828.4223275950935</v>
      </c>
      <c r="J304">
        <v>4689.1899999999996</v>
      </c>
      <c r="K304">
        <v>7.7607999999999997</v>
      </c>
      <c r="L304" s="43">
        <f t="shared" si="22"/>
        <v>604.21477167302339</v>
      </c>
      <c r="M304">
        <v>7535.68</v>
      </c>
      <c r="N304">
        <v>7.7607999999999997</v>
      </c>
      <c r="O304" s="43">
        <f t="shared" si="23"/>
        <v>970.99268116689007</v>
      </c>
      <c r="P304">
        <v>3593.24</v>
      </c>
      <c r="Q304">
        <v>7.7607999999999997</v>
      </c>
      <c r="R304" s="43">
        <f t="shared" si="24"/>
        <v>462.99865993196579</v>
      </c>
      <c r="S304"/>
      <c r="U304" s="38"/>
    </row>
    <row r="305" spans="1:21" x14ac:dyDescent="0.3">
      <c r="A305" s="16">
        <v>303</v>
      </c>
      <c r="B305" s="3">
        <v>45757</v>
      </c>
      <c r="C305" s="40">
        <v>5268.05</v>
      </c>
      <c r="D305">
        <v>20681.78</v>
      </c>
      <c r="E305">
        <v>7.7586000000000004</v>
      </c>
      <c r="F305" s="14">
        <f t="shared" si="20"/>
        <v>2665.6587528677851</v>
      </c>
      <c r="G305">
        <v>14425.65</v>
      </c>
      <c r="H305">
        <v>7.7586000000000004</v>
      </c>
      <c r="I305" s="14">
        <f t="shared" si="21"/>
        <v>1859.3109581625549</v>
      </c>
      <c r="J305">
        <v>4813.74</v>
      </c>
      <c r="K305">
        <v>7.7586000000000004</v>
      </c>
      <c r="L305" s="43">
        <f t="shared" si="22"/>
        <v>620.43925450467862</v>
      </c>
      <c r="M305">
        <v>7668.38</v>
      </c>
      <c r="N305">
        <v>7.7586000000000004</v>
      </c>
      <c r="O305" s="43">
        <f t="shared" si="23"/>
        <v>988.37161343541356</v>
      </c>
      <c r="P305">
        <v>3643.5</v>
      </c>
      <c r="Q305">
        <v>7.7586000000000004</v>
      </c>
      <c r="R305" s="43">
        <f t="shared" si="24"/>
        <v>469.6079189544505</v>
      </c>
      <c r="S305"/>
      <c r="U305" s="38"/>
    </row>
    <row r="306" spans="1:21" x14ac:dyDescent="0.3">
      <c r="A306" s="16">
        <v>304</v>
      </c>
      <c r="B306" s="3">
        <v>45758</v>
      </c>
      <c r="C306" s="40">
        <v>5363.36</v>
      </c>
      <c r="D306">
        <v>20914.689999999999</v>
      </c>
      <c r="E306">
        <v>7.7534000000000001</v>
      </c>
      <c r="F306" s="14">
        <f t="shared" si="20"/>
        <v>2697.4862640905922</v>
      </c>
      <c r="G306">
        <v>14628.25</v>
      </c>
      <c r="H306">
        <v>7.7534000000000001</v>
      </c>
      <c r="I306" s="14">
        <f t="shared" si="21"/>
        <v>1886.6884205638817</v>
      </c>
      <c r="J306">
        <v>4900.43</v>
      </c>
      <c r="K306">
        <v>7.7534000000000001</v>
      </c>
      <c r="L306" s="43">
        <f t="shared" si="22"/>
        <v>632.03626795986281</v>
      </c>
      <c r="M306">
        <v>7801.51</v>
      </c>
      <c r="N306">
        <v>7.7534000000000001</v>
      </c>
      <c r="O306" s="43">
        <f t="shared" si="23"/>
        <v>1006.2050197332783</v>
      </c>
      <c r="P306">
        <v>3683.96</v>
      </c>
      <c r="Q306">
        <v>7.7534000000000001</v>
      </c>
      <c r="R306" s="43">
        <f t="shared" si="24"/>
        <v>475.14122836433052</v>
      </c>
      <c r="S306"/>
      <c r="U306" s="38"/>
    </row>
    <row r="307" spans="1:21" x14ac:dyDescent="0.3">
      <c r="A307" s="16">
        <v>305</v>
      </c>
      <c r="B307" s="3">
        <v>45761</v>
      </c>
      <c r="C307" s="40">
        <v>5405.97</v>
      </c>
      <c r="D307">
        <v>21417.4</v>
      </c>
      <c r="E307">
        <v>7.7561</v>
      </c>
      <c r="F307" s="14">
        <f t="shared" si="20"/>
        <v>2761.3620247289232</v>
      </c>
      <c r="G307">
        <v>14957.94</v>
      </c>
      <c r="H307">
        <v>7.7561</v>
      </c>
      <c r="I307" s="14">
        <f t="shared" si="21"/>
        <v>1928.5388275035134</v>
      </c>
      <c r="J307">
        <v>5015.12</v>
      </c>
      <c r="K307">
        <v>7.7561</v>
      </c>
      <c r="L307" s="43">
        <f t="shared" si="22"/>
        <v>646.60331867820162</v>
      </c>
      <c r="M307">
        <v>7965.81</v>
      </c>
      <c r="N307">
        <v>7.7561</v>
      </c>
      <c r="O307" s="43">
        <f t="shared" si="23"/>
        <v>1027.0380732584676</v>
      </c>
      <c r="P307">
        <v>3724.97</v>
      </c>
      <c r="Q307">
        <v>7.7561</v>
      </c>
      <c r="R307" s="43">
        <f t="shared" si="24"/>
        <v>480.2632766467683</v>
      </c>
      <c r="S307"/>
      <c r="U307" s="38"/>
    </row>
    <row r="308" spans="1:21" x14ac:dyDescent="0.3">
      <c r="A308" s="16">
        <v>306</v>
      </c>
      <c r="B308" s="3">
        <v>45762</v>
      </c>
      <c r="C308" s="40">
        <v>5396.63</v>
      </c>
      <c r="D308">
        <v>21466.27</v>
      </c>
      <c r="E308">
        <v>7.7573999999999996</v>
      </c>
      <c r="F308" s="14">
        <f t="shared" si="20"/>
        <v>2767.1990615412383</v>
      </c>
      <c r="G308">
        <v>15006.48</v>
      </c>
      <c r="H308">
        <v>7.7573999999999996</v>
      </c>
      <c r="I308" s="14">
        <f t="shared" si="21"/>
        <v>1934.4728904014232</v>
      </c>
      <c r="J308">
        <v>4981.6000000000004</v>
      </c>
      <c r="K308">
        <v>7.7573999999999996</v>
      </c>
      <c r="L308" s="43">
        <f t="shared" si="22"/>
        <v>642.17392425297146</v>
      </c>
      <c r="M308">
        <v>7982.88</v>
      </c>
      <c r="N308">
        <v>7.7573999999999996</v>
      </c>
      <c r="O308" s="43">
        <f t="shared" si="23"/>
        <v>1029.0664397865264</v>
      </c>
      <c r="P308">
        <v>3725.76</v>
      </c>
      <c r="Q308">
        <v>7.7573999999999996</v>
      </c>
      <c r="R308" s="43">
        <f t="shared" si="24"/>
        <v>480.2846314486813</v>
      </c>
      <c r="S308"/>
      <c r="U308" s="38"/>
    </row>
    <row r="309" spans="1:21" x14ac:dyDescent="0.3">
      <c r="A309" s="16">
        <v>307</v>
      </c>
      <c r="B309" s="3">
        <v>45763</v>
      </c>
      <c r="C309" s="40">
        <v>5275.7</v>
      </c>
      <c r="D309">
        <v>21056.98</v>
      </c>
      <c r="E309">
        <v>7.7622999999999998</v>
      </c>
      <c r="F309" s="14">
        <f t="shared" si="20"/>
        <v>2712.7243213995853</v>
      </c>
      <c r="G309">
        <v>14615.36</v>
      </c>
      <c r="H309">
        <v>7.7622999999999998</v>
      </c>
      <c r="I309" s="14">
        <f t="shared" si="21"/>
        <v>1882.8646148693044</v>
      </c>
      <c r="J309">
        <v>4796.28</v>
      </c>
      <c r="K309">
        <v>7.7622999999999998</v>
      </c>
      <c r="L309" s="43">
        <f t="shared" si="22"/>
        <v>617.89418084845988</v>
      </c>
      <c r="M309">
        <v>7779.01</v>
      </c>
      <c r="N309">
        <v>7.7622999999999998</v>
      </c>
      <c r="O309" s="43">
        <f t="shared" si="23"/>
        <v>1002.1527124692424</v>
      </c>
      <c r="P309">
        <v>3708.09</v>
      </c>
      <c r="Q309">
        <v>7.7622999999999998</v>
      </c>
      <c r="R309" s="43">
        <f t="shared" si="24"/>
        <v>477.70506164410034</v>
      </c>
      <c r="S309"/>
      <c r="U309" s="38"/>
    </row>
    <row r="310" spans="1:21" x14ac:dyDescent="0.3">
      <c r="A310" s="16">
        <v>308</v>
      </c>
      <c r="B310" s="3">
        <v>45764</v>
      </c>
      <c r="C310" s="40">
        <v>5282.7</v>
      </c>
      <c r="D310">
        <v>21395.14</v>
      </c>
      <c r="E310">
        <v>7.7638999999999996</v>
      </c>
      <c r="F310" s="14">
        <f t="shared" si="20"/>
        <v>2755.7207073764475</v>
      </c>
      <c r="G310">
        <v>14854.7</v>
      </c>
      <c r="H310">
        <v>7.7638999999999996</v>
      </c>
      <c r="I310" s="14">
        <f t="shared" si="21"/>
        <v>1913.3038807815662</v>
      </c>
      <c r="J310">
        <v>4887.37</v>
      </c>
      <c r="K310">
        <v>7.7638999999999996</v>
      </c>
      <c r="L310" s="43">
        <f t="shared" si="22"/>
        <v>629.49934955370372</v>
      </c>
      <c r="M310">
        <v>7897.44</v>
      </c>
      <c r="N310">
        <v>7.7638999999999996</v>
      </c>
      <c r="O310" s="43">
        <f t="shared" si="23"/>
        <v>1017.2001184971471</v>
      </c>
      <c r="P310">
        <v>3758.87</v>
      </c>
      <c r="Q310">
        <v>7.7638999999999996</v>
      </c>
      <c r="R310" s="43">
        <f t="shared" si="24"/>
        <v>484.14714254433983</v>
      </c>
      <c r="S310"/>
      <c r="U310" s="38"/>
    </row>
    <row r="311" spans="1:21" x14ac:dyDescent="0.3">
      <c r="A311" s="16">
        <v>309</v>
      </c>
      <c r="B311" s="3">
        <v>45769</v>
      </c>
      <c r="C311" s="40">
        <v>5287.76</v>
      </c>
      <c r="D311">
        <v>21562.32</v>
      </c>
      <c r="E311">
        <v>7.7580999999999998</v>
      </c>
      <c r="F311" s="14">
        <f t="shared" si="20"/>
        <v>2779.3299905904796</v>
      </c>
      <c r="G311">
        <v>14936.22</v>
      </c>
      <c r="H311">
        <v>7.7580999999999998</v>
      </c>
      <c r="I311" s="14">
        <f t="shared" si="21"/>
        <v>1925.2420051301219</v>
      </c>
      <c r="J311">
        <v>4899.21</v>
      </c>
      <c r="K311">
        <v>7.7580999999999998</v>
      </c>
      <c r="L311" s="43">
        <f t="shared" si="22"/>
        <v>631.49611373918879</v>
      </c>
      <c r="M311">
        <v>7950.79</v>
      </c>
      <c r="N311">
        <v>7.7580999999999998</v>
      </c>
      <c r="O311" s="43">
        <f t="shared" si="23"/>
        <v>1024.8372668565758</v>
      </c>
      <c r="P311">
        <v>3794.09</v>
      </c>
      <c r="Q311">
        <v>7.7580999999999998</v>
      </c>
      <c r="R311" s="43">
        <f t="shared" si="24"/>
        <v>489.0488650571661</v>
      </c>
      <c r="S311"/>
      <c r="U311" s="38"/>
    </row>
    <row r="312" spans="1:21" x14ac:dyDescent="0.3">
      <c r="A312" s="16">
        <v>310</v>
      </c>
      <c r="B312" s="3">
        <v>45770</v>
      </c>
      <c r="C312" s="40">
        <v>5375.86</v>
      </c>
      <c r="D312">
        <v>22072.62</v>
      </c>
      <c r="E312">
        <v>7.7601000000000004</v>
      </c>
      <c r="F312" s="14">
        <f t="shared" si="20"/>
        <v>2844.3731395213977</v>
      </c>
      <c r="G312">
        <v>15272.58</v>
      </c>
      <c r="H312">
        <v>7.7601000000000004</v>
      </c>
      <c r="I312" s="14">
        <f t="shared" si="21"/>
        <v>1968.0906173889512</v>
      </c>
      <c r="J312">
        <v>5049.3999999999996</v>
      </c>
      <c r="K312">
        <v>7.7601000000000004</v>
      </c>
      <c r="L312" s="43">
        <f t="shared" si="22"/>
        <v>650.687491140578</v>
      </c>
      <c r="M312">
        <v>8116.28</v>
      </c>
      <c r="N312">
        <v>7.7601000000000004</v>
      </c>
      <c r="O312" s="43">
        <f t="shared" si="23"/>
        <v>1045.8988930555017</v>
      </c>
      <c r="P312">
        <v>3773.46</v>
      </c>
      <c r="Q312">
        <v>7.7601000000000004</v>
      </c>
      <c r="R312" s="43">
        <f t="shared" si="24"/>
        <v>486.26435226350173</v>
      </c>
      <c r="S312"/>
      <c r="U312" s="38"/>
    </row>
    <row r="313" spans="1:21" x14ac:dyDescent="0.3">
      <c r="A313" s="16">
        <v>311</v>
      </c>
      <c r="B313" s="3">
        <v>45771</v>
      </c>
      <c r="C313" s="40">
        <v>5484.77</v>
      </c>
      <c r="D313">
        <v>21909.759999999998</v>
      </c>
      <c r="E313">
        <v>7.7587999999999999</v>
      </c>
      <c r="F313" s="14">
        <f t="shared" si="20"/>
        <v>2823.8593596947981</v>
      </c>
      <c r="G313">
        <v>15147.97</v>
      </c>
      <c r="H313">
        <v>7.7587999999999999</v>
      </c>
      <c r="I313" s="14">
        <f t="shared" si="21"/>
        <v>1952.3599010156208</v>
      </c>
      <c r="J313">
        <v>4975.8900000000003</v>
      </c>
      <c r="K313">
        <v>7.7587999999999999</v>
      </c>
      <c r="L313" s="43">
        <f t="shared" si="22"/>
        <v>641.32211166675268</v>
      </c>
      <c r="M313">
        <v>8056.85</v>
      </c>
      <c r="N313">
        <v>7.7587999999999999</v>
      </c>
      <c r="O313" s="43">
        <f t="shared" si="23"/>
        <v>1038.4144455328144</v>
      </c>
      <c r="P313">
        <v>3765.48</v>
      </c>
      <c r="Q313">
        <v>7.7587999999999999</v>
      </c>
      <c r="R313" s="43">
        <f t="shared" si="24"/>
        <v>485.31731711089344</v>
      </c>
      <c r="S313"/>
      <c r="U313" s="38"/>
    </row>
    <row r="314" spans="1:21" x14ac:dyDescent="0.3">
      <c r="A314" s="16">
        <v>312</v>
      </c>
      <c r="B314" s="3">
        <v>45772</v>
      </c>
      <c r="C314" s="40">
        <v>5525.21</v>
      </c>
      <c r="D314">
        <v>21980.74</v>
      </c>
      <c r="E314">
        <v>7.7573999999999996</v>
      </c>
      <c r="F314" s="14">
        <f t="shared" si="20"/>
        <v>2833.5189625389953</v>
      </c>
      <c r="G314">
        <v>15232.65</v>
      </c>
      <c r="H314">
        <v>7.7573999999999996</v>
      </c>
      <c r="I314" s="14">
        <f t="shared" si="21"/>
        <v>1963.6282775156626</v>
      </c>
      <c r="J314">
        <v>4982.96</v>
      </c>
      <c r="K314">
        <v>7.7573999999999996</v>
      </c>
      <c r="L314" s="43">
        <f t="shared" si="22"/>
        <v>642.34924072498518</v>
      </c>
      <c r="M314">
        <v>8080.54</v>
      </c>
      <c r="N314">
        <v>7.7573999999999996</v>
      </c>
      <c r="O314" s="43">
        <f t="shared" si="23"/>
        <v>1041.6557093871659</v>
      </c>
      <c r="P314">
        <v>3760.77</v>
      </c>
      <c r="Q314">
        <v>7.7573999999999996</v>
      </c>
      <c r="R314" s="43">
        <f t="shared" si="24"/>
        <v>484.79774151133114</v>
      </c>
      <c r="S314"/>
      <c r="U314" s="38"/>
    </row>
    <row r="315" spans="1:21" x14ac:dyDescent="0.3">
      <c r="A315" s="16">
        <v>313</v>
      </c>
      <c r="B315" s="3">
        <v>45775</v>
      </c>
      <c r="C315" s="40">
        <v>5528.75</v>
      </c>
      <c r="D315">
        <v>21971.96</v>
      </c>
      <c r="E315">
        <v>7.7567000000000004</v>
      </c>
      <c r="F315" s="14">
        <f t="shared" si="20"/>
        <v>2832.6427475601736</v>
      </c>
      <c r="G315">
        <v>15227.11</v>
      </c>
      <c r="H315">
        <v>7.7567000000000004</v>
      </c>
      <c r="I315" s="14">
        <f t="shared" si="21"/>
        <v>1963.0912630371163</v>
      </c>
      <c r="J315">
        <v>4988.9399999999996</v>
      </c>
      <c r="K315">
        <v>7.7567000000000004</v>
      </c>
      <c r="L315" s="43">
        <f t="shared" si="22"/>
        <v>643.17815565897865</v>
      </c>
      <c r="M315">
        <v>8080.19</v>
      </c>
      <c r="N315">
        <v>7.7567000000000004</v>
      </c>
      <c r="O315" s="43">
        <f t="shared" si="23"/>
        <v>1041.7045908698285</v>
      </c>
      <c r="P315">
        <v>3768.92</v>
      </c>
      <c r="Q315">
        <v>7.7567000000000004</v>
      </c>
      <c r="R315" s="43">
        <f t="shared" si="24"/>
        <v>485.89219642373689</v>
      </c>
      <c r="S315"/>
      <c r="U315" s="38"/>
    </row>
    <row r="316" spans="1:21" x14ac:dyDescent="0.3">
      <c r="A316" s="16">
        <v>314</v>
      </c>
      <c r="B316" s="3">
        <v>45776</v>
      </c>
      <c r="C316" s="40">
        <v>5560.83</v>
      </c>
      <c r="D316">
        <v>22008.11</v>
      </c>
      <c r="E316">
        <v>7.7588999999999997</v>
      </c>
      <c r="F316" s="14">
        <f t="shared" si="20"/>
        <v>2836.498730490147</v>
      </c>
      <c r="G316">
        <v>15223.19</v>
      </c>
      <c r="H316">
        <v>7.7588999999999997</v>
      </c>
      <c r="I316" s="14">
        <f t="shared" si="21"/>
        <v>1962.0294113856346</v>
      </c>
      <c r="J316">
        <v>5019.7299999999996</v>
      </c>
      <c r="K316">
        <v>7.7588999999999997</v>
      </c>
      <c r="L316" s="43">
        <f t="shared" si="22"/>
        <v>646.9641315134877</v>
      </c>
      <c r="M316">
        <v>8067.94</v>
      </c>
      <c r="N316">
        <v>7.7588999999999997</v>
      </c>
      <c r="O316" s="43">
        <f t="shared" si="23"/>
        <v>1039.8303883282424</v>
      </c>
      <c r="P316">
        <v>3755.88</v>
      </c>
      <c r="Q316">
        <v>7.7588999999999997</v>
      </c>
      <c r="R316" s="43">
        <f t="shared" si="24"/>
        <v>484.07377334415963</v>
      </c>
      <c r="S316"/>
      <c r="U316" s="38"/>
    </row>
    <row r="317" spans="1:21" x14ac:dyDescent="0.3">
      <c r="A317" s="16">
        <v>315</v>
      </c>
      <c r="B317" s="3">
        <v>45777</v>
      </c>
      <c r="C317" s="40">
        <v>5569.06</v>
      </c>
      <c r="D317">
        <v>22119.41</v>
      </c>
      <c r="E317">
        <v>7.7556000000000003</v>
      </c>
      <c r="F317" s="14">
        <f t="shared" si="20"/>
        <v>2852.0565784723294</v>
      </c>
      <c r="G317">
        <v>15274.26</v>
      </c>
      <c r="H317">
        <v>7.7556000000000003</v>
      </c>
      <c r="I317" s="14">
        <f t="shared" si="21"/>
        <v>1969.4491722110474</v>
      </c>
      <c r="J317">
        <v>5087.42</v>
      </c>
      <c r="K317">
        <v>7.7556000000000003</v>
      </c>
      <c r="L317" s="43">
        <f t="shared" si="22"/>
        <v>655.96730104698543</v>
      </c>
      <c r="M317">
        <v>8076.26</v>
      </c>
      <c r="N317">
        <v>7.7556000000000003</v>
      </c>
      <c r="O317" s="43">
        <f t="shared" si="23"/>
        <v>1041.3456083346227</v>
      </c>
      <c r="P317">
        <v>3770.44</v>
      </c>
      <c r="Q317">
        <v>7.7556000000000003</v>
      </c>
      <c r="R317" s="43">
        <f t="shared" si="24"/>
        <v>486.15709938624991</v>
      </c>
      <c r="S317"/>
      <c r="U317" s="38"/>
    </row>
    <row r="318" spans="1:21" x14ac:dyDescent="0.3">
      <c r="B318" s="3"/>
      <c r="C318" s="40"/>
      <c r="D318" s="19"/>
      <c r="E318"/>
      <c r="G318"/>
      <c r="H318"/>
      <c r="J318"/>
      <c r="K318"/>
      <c r="L318" s="43"/>
      <c r="M318"/>
      <c r="N318"/>
      <c r="O318" s="43"/>
      <c r="P318"/>
      <c r="Q318"/>
      <c r="R318" s="43"/>
      <c r="S318"/>
      <c r="U318" s="38"/>
    </row>
    <row r="319" spans="1:21" x14ac:dyDescent="0.3">
      <c r="B319" s="3"/>
      <c r="C319" s="40"/>
      <c r="D319" s="19"/>
      <c r="E319"/>
      <c r="G319"/>
      <c r="H319"/>
      <c r="J319"/>
      <c r="K319"/>
      <c r="L319" s="43"/>
      <c r="M319"/>
      <c r="N319"/>
      <c r="O319" s="43"/>
      <c r="P319"/>
      <c r="Q319"/>
      <c r="R319" s="43"/>
      <c r="S319"/>
      <c r="U319" s="38"/>
    </row>
    <row r="320" spans="1:21" x14ac:dyDescent="0.3">
      <c r="B320" s="3"/>
      <c r="C320" s="40"/>
      <c r="D320" s="19"/>
      <c r="E320"/>
      <c r="G320"/>
      <c r="H320"/>
      <c r="J320"/>
      <c r="K320"/>
      <c r="L320" s="43"/>
      <c r="M320"/>
      <c r="N320"/>
      <c r="O320" s="43"/>
      <c r="P320"/>
      <c r="Q320"/>
      <c r="R320" s="43"/>
      <c r="S320"/>
      <c r="U320" s="38"/>
    </row>
    <row r="321" spans="2:21" x14ac:dyDescent="0.3">
      <c r="B321" s="3"/>
      <c r="C321" s="40"/>
      <c r="D321" s="19"/>
      <c r="E321"/>
      <c r="G321"/>
      <c r="H321"/>
      <c r="J321"/>
      <c r="K321"/>
      <c r="L321" s="43"/>
      <c r="M321"/>
      <c r="N321"/>
      <c r="O321" s="43"/>
      <c r="P321"/>
      <c r="Q321"/>
      <c r="R321" s="43"/>
      <c r="S321"/>
      <c r="U321" s="38"/>
    </row>
    <row r="322" spans="2:21" x14ac:dyDescent="0.3">
      <c r="B322" s="3"/>
      <c r="C322" s="40"/>
      <c r="D322" s="19"/>
      <c r="E322"/>
      <c r="G322"/>
      <c r="H322"/>
      <c r="J322"/>
      <c r="K322"/>
      <c r="L322" s="43"/>
      <c r="M322"/>
      <c r="N322"/>
      <c r="O322" s="43"/>
      <c r="P322"/>
      <c r="Q322"/>
      <c r="R322" s="43"/>
      <c r="S322"/>
      <c r="U322" s="38"/>
    </row>
    <row r="323" spans="2:21" x14ac:dyDescent="0.3">
      <c r="B323" s="3"/>
      <c r="C323" s="40"/>
      <c r="D323" s="19"/>
      <c r="E323"/>
      <c r="G323"/>
      <c r="H323"/>
      <c r="J323"/>
      <c r="K323"/>
      <c r="L323" s="43"/>
      <c r="M323"/>
      <c r="N323"/>
      <c r="O323" s="43"/>
      <c r="P323"/>
      <c r="Q323"/>
      <c r="R323" s="43"/>
      <c r="S323"/>
      <c r="U323" s="38"/>
    </row>
    <row r="324" spans="2:21" x14ac:dyDescent="0.3">
      <c r="B324" s="3"/>
      <c r="C324" s="40"/>
      <c r="D324" s="19"/>
      <c r="E324"/>
      <c r="G324"/>
      <c r="H324"/>
      <c r="J324"/>
      <c r="K324"/>
      <c r="L324" s="43"/>
      <c r="M324"/>
      <c r="N324"/>
      <c r="O324" s="43"/>
      <c r="P324"/>
      <c r="Q324"/>
      <c r="R324" s="43"/>
      <c r="S324"/>
      <c r="U324" s="38"/>
    </row>
    <row r="325" spans="2:21" x14ac:dyDescent="0.3">
      <c r="B325" s="3"/>
      <c r="C325" s="40"/>
      <c r="D325" s="19"/>
      <c r="E325"/>
      <c r="G325"/>
      <c r="H325"/>
      <c r="J325"/>
      <c r="K325"/>
      <c r="L325" s="43"/>
      <c r="M325"/>
      <c r="N325"/>
      <c r="O325" s="43"/>
      <c r="P325"/>
      <c r="Q325"/>
      <c r="R325" s="43"/>
      <c r="S325"/>
      <c r="U325" s="38"/>
    </row>
    <row r="326" spans="2:21" x14ac:dyDescent="0.3">
      <c r="B326" s="3"/>
      <c r="C326" s="40"/>
      <c r="D326" s="19"/>
      <c r="E326"/>
      <c r="G326"/>
      <c r="H326"/>
      <c r="J326"/>
      <c r="K326"/>
      <c r="L326" s="43"/>
      <c r="M326"/>
      <c r="N326"/>
      <c r="O326" s="43"/>
      <c r="P326"/>
      <c r="Q326"/>
      <c r="R326" s="43"/>
      <c r="S326"/>
      <c r="U326" s="38"/>
    </row>
    <row r="327" spans="2:21" x14ac:dyDescent="0.3">
      <c r="B327" s="3"/>
      <c r="C327" s="40"/>
      <c r="D327"/>
      <c r="E327"/>
      <c r="G327"/>
      <c r="H327"/>
      <c r="J327"/>
      <c r="K327"/>
      <c r="L327" s="43"/>
      <c r="M327"/>
      <c r="N327"/>
      <c r="O327" s="43"/>
      <c r="P327"/>
      <c r="Q327"/>
      <c r="R327" s="43"/>
      <c r="S327"/>
      <c r="U327" s="38"/>
    </row>
    <row r="328" spans="2:21" x14ac:dyDescent="0.3">
      <c r="B328" s="3"/>
      <c r="C328" s="40"/>
      <c r="D328"/>
      <c r="E328"/>
      <c r="G328"/>
      <c r="H328"/>
      <c r="J328"/>
      <c r="K328"/>
      <c r="L328" s="43"/>
      <c r="M328"/>
      <c r="N328"/>
      <c r="O328" s="43"/>
      <c r="P328"/>
      <c r="Q328"/>
      <c r="R328" s="43"/>
      <c r="S328"/>
      <c r="U328" s="38"/>
    </row>
    <row r="329" spans="2:21" x14ac:dyDescent="0.3">
      <c r="B329" s="3"/>
      <c r="C329" s="40"/>
      <c r="D329"/>
      <c r="E329"/>
      <c r="G329"/>
      <c r="H329"/>
      <c r="J329"/>
      <c r="K329"/>
      <c r="L329" s="43"/>
      <c r="M329"/>
      <c r="N329"/>
      <c r="O329" s="43"/>
      <c r="P329"/>
      <c r="Q329"/>
      <c r="R329" s="43"/>
      <c r="S329"/>
      <c r="U329" s="38"/>
    </row>
    <row r="330" spans="2:21" x14ac:dyDescent="0.3">
      <c r="B330" s="3"/>
      <c r="C330" s="40"/>
      <c r="D330"/>
      <c r="E330"/>
      <c r="G330"/>
      <c r="H330"/>
      <c r="J330"/>
      <c r="K330"/>
      <c r="L330" s="43"/>
      <c r="M330"/>
      <c r="N330"/>
      <c r="O330" s="43"/>
      <c r="P330"/>
      <c r="Q330"/>
      <c r="R330" s="43"/>
      <c r="S330"/>
      <c r="U330" s="38"/>
    </row>
    <row r="331" spans="2:21" x14ac:dyDescent="0.3">
      <c r="B331" s="3"/>
      <c r="C331" s="40"/>
      <c r="D331"/>
      <c r="E331"/>
      <c r="G331"/>
      <c r="H331"/>
      <c r="J331"/>
      <c r="K331"/>
      <c r="L331" s="43"/>
      <c r="M331"/>
      <c r="N331"/>
      <c r="O331" s="43"/>
      <c r="P331"/>
      <c r="Q331"/>
      <c r="R331" s="43"/>
      <c r="S331"/>
      <c r="U331" s="38"/>
    </row>
    <row r="332" spans="2:21" x14ac:dyDescent="0.3">
      <c r="B332" s="3"/>
      <c r="C332" s="40"/>
      <c r="D332"/>
      <c r="E332"/>
      <c r="G332"/>
      <c r="H332"/>
      <c r="J332"/>
      <c r="K332"/>
      <c r="L332" s="43"/>
      <c r="M332"/>
      <c r="N332"/>
      <c r="O332" s="43"/>
      <c r="P332"/>
      <c r="Q332"/>
      <c r="R332" s="43"/>
      <c r="S332"/>
      <c r="U332" s="38"/>
    </row>
    <row r="333" spans="2:21" x14ac:dyDescent="0.3">
      <c r="B333" s="3"/>
      <c r="C333" s="40"/>
      <c r="D333"/>
      <c r="E333"/>
      <c r="G333"/>
      <c r="H333"/>
      <c r="J333"/>
      <c r="K333"/>
      <c r="L333" s="43"/>
      <c r="M333"/>
      <c r="N333"/>
      <c r="O333" s="43"/>
      <c r="P333"/>
      <c r="Q333"/>
      <c r="R333" s="43"/>
      <c r="S333"/>
      <c r="U333" s="38"/>
    </row>
    <row r="334" spans="2:21" x14ac:dyDescent="0.3">
      <c r="B334" s="3"/>
      <c r="C334" s="40"/>
      <c r="D334"/>
      <c r="E334"/>
      <c r="G334"/>
      <c r="H334"/>
      <c r="J334"/>
      <c r="K334"/>
      <c r="L334" s="43"/>
      <c r="M334"/>
      <c r="N334"/>
      <c r="O334" s="43"/>
      <c r="P334"/>
      <c r="Q334"/>
      <c r="R334" s="43"/>
      <c r="S334"/>
      <c r="U334" s="38"/>
    </row>
    <row r="335" spans="2:21" x14ac:dyDescent="0.3">
      <c r="B335" s="3"/>
      <c r="C335" s="23"/>
      <c r="D335"/>
      <c r="E335"/>
      <c r="G335"/>
      <c r="H335"/>
      <c r="J335"/>
      <c r="K335"/>
      <c r="L335" s="43"/>
      <c r="M335"/>
      <c r="N335"/>
      <c r="O335" s="43"/>
      <c r="P335"/>
      <c r="Q335"/>
      <c r="R335" s="43"/>
      <c r="S335"/>
      <c r="U335" s="38"/>
    </row>
    <row r="336" spans="2:21" x14ac:dyDescent="0.3">
      <c r="B336" s="3"/>
      <c r="C336" s="23"/>
      <c r="D336"/>
      <c r="E336"/>
      <c r="G336"/>
      <c r="H336"/>
      <c r="J336"/>
      <c r="K336"/>
      <c r="L336" s="43"/>
      <c r="M336"/>
      <c r="N336"/>
      <c r="O336" s="43"/>
      <c r="P336"/>
      <c r="Q336"/>
      <c r="R336" s="43"/>
      <c r="S336"/>
      <c r="U336" s="38"/>
    </row>
    <row r="337" spans="2:21" x14ac:dyDescent="0.3">
      <c r="B337" s="3"/>
      <c r="C337" s="23"/>
      <c r="D337"/>
      <c r="E337"/>
      <c r="G337"/>
      <c r="H337"/>
      <c r="J337"/>
      <c r="K337"/>
      <c r="L337" s="43"/>
      <c r="M337"/>
      <c r="N337"/>
      <c r="O337" s="43"/>
      <c r="P337"/>
      <c r="Q337"/>
      <c r="R337" s="43"/>
      <c r="S337"/>
      <c r="U337" s="38"/>
    </row>
    <row r="338" spans="2:21" x14ac:dyDescent="0.3">
      <c r="B338" s="3"/>
      <c r="C338" s="23"/>
      <c r="D338"/>
      <c r="E338"/>
      <c r="G338"/>
      <c r="H338"/>
      <c r="J338"/>
      <c r="K338"/>
      <c r="L338" s="43"/>
      <c r="M338"/>
      <c r="N338"/>
      <c r="O338" s="43"/>
      <c r="P338"/>
      <c r="Q338"/>
      <c r="R338" s="43"/>
      <c r="S338"/>
      <c r="U338" s="38"/>
    </row>
    <row r="339" spans="2:21" x14ac:dyDescent="0.3">
      <c r="B339" s="3"/>
      <c r="C339" s="23"/>
      <c r="D339"/>
      <c r="E339"/>
      <c r="G339"/>
      <c r="H339"/>
      <c r="J339"/>
      <c r="K339"/>
      <c r="L339" s="43"/>
      <c r="M339"/>
      <c r="N339"/>
      <c r="O339" s="43"/>
      <c r="P339"/>
      <c r="Q339"/>
      <c r="R339" s="43"/>
      <c r="S339"/>
      <c r="U339" s="38"/>
    </row>
    <row r="340" spans="2:21" x14ac:dyDescent="0.3">
      <c r="B340" s="3"/>
      <c r="C340" s="23"/>
      <c r="D340"/>
      <c r="E340"/>
      <c r="G340"/>
      <c r="H340"/>
      <c r="J340"/>
      <c r="K340"/>
      <c r="L340" s="43"/>
      <c r="M340"/>
      <c r="N340"/>
      <c r="O340" s="43"/>
      <c r="P340"/>
      <c r="Q340"/>
      <c r="R340" s="43"/>
      <c r="S340"/>
      <c r="U340" s="38"/>
    </row>
    <row r="341" spans="2:21" x14ac:dyDescent="0.3">
      <c r="B341" s="3"/>
      <c r="C341" s="23"/>
      <c r="D341"/>
      <c r="E341"/>
      <c r="G341"/>
      <c r="H341"/>
      <c r="J341"/>
      <c r="K341"/>
      <c r="L341" s="43"/>
      <c r="M341"/>
      <c r="N341"/>
      <c r="O341" s="43"/>
      <c r="P341"/>
      <c r="Q341"/>
      <c r="R341" s="43"/>
      <c r="S341"/>
      <c r="U341" s="38"/>
    </row>
    <row r="342" spans="2:21" x14ac:dyDescent="0.3">
      <c r="B342" s="3"/>
      <c r="C342" s="23"/>
      <c r="D342"/>
      <c r="E342"/>
      <c r="G342"/>
      <c r="H342"/>
      <c r="J342"/>
      <c r="K342"/>
      <c r="L342" s="43"/>
      <c r="M342"/>
      <c r="N342"/>
      <c r="O342" s="43"/>
      <c r="P342"/>
      <c r="Q342"/>
      <c r="R342" s="43"/>
      <c r="S342"/>
      <c r="U342" s="38"/>
    </row>
    <row r="343" spans="2:21" x14ac:dyDescent="0.3">
      <c r="B343" s="3"/>
      <c r="C343" s="23"/>
      <c r="D343"/>
      <c r="E343"/>
      <c r="G343"/>
      <c r="H343"/>
      <c r="J343"/>
      <c r="K343"/>
      <c r="L343" s="43"/>
      <c r="M343"/>
      <c r="N343"/>
      <c r="O343" s="43"/>
      <c r="P343"/>
      <c r="Q343"/>
      <c r="R343" s="43"/>
      <c r="S343"/>
      <c r="U343" s="38"/>
    </row>
    <row r="344" spans="2:21" x14ac:dyDescent="0.3">
      <c r="B344" s="3"/>
      <c r="C344" s="23"/>
      <c r="D344"/>
      <c r="E344"/>
      <c r="G344"/>
      <c r="H344"/>
      <c r="J344"/>
      <c r="K344"/>
      <c r="L344" s="43"/>
      <c r="M344"/>
      <c r="N344"/>
      <c r="O344" s="43"/>
      <c r="P344"/>
      <c r="Q344"/>
      <c r="R344" s="43"/>
      <c r="S344"/>
      <c r="U344" s="38"/>
    </row>
    <row r="345" spans="2:21" x14ac:dyDescent="0.3">
      <c r="B345" s="3"/>
      <c r="C345" s="23"/>
      <c r="D345"/>
      <c r="E345"/>
      <c r="G345"/>
      <c r="H345"/>
      <c r="J345"/>
      <c r="K345"/>
      <c r="L345" s="43"/>
      <c r="M345"/>
      <c r="N345"/>
      <c r="O345" s="43"/>
      <c r="P345"/>
      <c r="Q345"/>
      <c r="R345" s="43"/>
      <c r="S345"/>
      <c r="U345" s="38"/>
    </row>
    <row r="346" spans="2:21" x14ac:dyDescent="0.3">
      <c r="B346" s="3"/>
      <c r="C346" s="23"/>
      <c r="D346"/>
      <c r="E346"/>
      <c r="G346"/>
      <c r="H346"/>
      <c r="J346"/>
      <c r="K346"/>
      <c r="L346" s="43"/>
      <c r="M346"/>
      <c r="N346"/>
      <c r="O346" s="43"/>
      <c r="P346"/>
      <c r="Q346"/>
      <c r="R346" s="43"/>
      <c r="S346"/>
      <c r="U346" s="38"/>
    </row>
    <row r="347" spans="2:21" x14ac:dyDescent="0.3">
      <c r="B347" s="3"/>
      <c r="C347" s="23"/>
      <c r="D347"/>
      <c r="E347"/>
      <c r="G347"/>
      <c r="H347"/>
      <c r="J347"/>
      <c r="K347"/>
      <c r="L347" s="43"/>
      <c r="M347"/>
      <c r="N347"/>
      <c r="O347" s="43"/>
      <c r="P347"/>
      <c r="Q347"/>
      <c r="R347" s="43"/>
      <c r="S347"/>
      <c r="U347" s="38"/>
    </row>
    <row r="348" spans="2:21" x14ac:dyDescent="0.3">
      <c r="B348" s="3"/>
      <c r="C348" s="23"/>
      <c r="D348"/>
      <c r="E348"/>
      <c r="G348"/>
      <c r="H348"/>
      <c r="J348"/>
      <c r="K348"/>
      <c r="L348" s="43"/>
      <c r="M348"/>
      <c r="N348"/>
      <c r="O348" s="43"/>
      <c r="P348"/>
      <c r="Q348"/>
      <c r="R348" s="43"/>
      <c r="S348"/>
      <c r="U348" s="38"/>
    </row>
    <row r="349" spans="2:21" x14ac:dyDescent="0.3">
      <c r="B349" s="3"/>
      <c r="C349" s="23"/>
      <c r="D349"/>
      <c r="E349"/>
      <c r="G349"/>
      <c r="H349"/>
      <c r="J349"/>
      <c r="K349"/>
      <c r="L349" s="43"/>
      <c r="M349"/>
      <c r="N349"/>
      <c r="O349" s="43"/>
      <c r="P349"/>
      <c r="Q349"/>
      <c r="R349" s="43"/>
      <c r="S349"/>
      <c r="U349" s="38"/>
    </row>
    <row r="350" spans="2:21" x14ac:dyDescent="0.3">
      <c r="B350" s="3"/>
      <c r="C350" s="23"/>
      <c r="D350"/>
      <c r="E350" s="11"/>
      <c r="G350"/>
      <c r="H350"/>
      <c r="J350"/>
      <c r="K350"/>
      <c r="L350" s="43"/>
      <c r="M350"/>
      <c r="N350"/>
      <c r="O350" s="43"/>
      <c r="P350"/>
      <c r="Q350"/>
      <c r="R350" s="43"/>
      <c r="S350"/>
      <c r="U350" s="38"/>
    </row>
    <row r="351" spans="2:21" x14ac:dyDescent="0.3">
      <c r="B351" s="3"/>
      <c r="C351" s="23"/>
      <c r="D351"/>
      <c r="E351" s="11"/>
      <c r="G351"/>
      <c r="H351"/>
      <c r="J351"/>
      <c r="K351"/>
      <c r="L351" s="43"/>
      <c r="M351"/>
      <c r="N351"/>
      <c r="O351" s="43"/>
      <c r="P351"/>
      <c r="Q351"/>
      <c r="R351" s="43"/>
      <c r="S351"/>
      <c r="U351" s="38"/>
    </row>
    <row r="352" spans="2:21" x14ac:dyDescent="0.3">
      <c r="B352" s="3"/>
      <c r="C352" s="23"/>
      <c r="D352"/>
      <c r="E352" s="11"/>
      <c r="G352"/>
      <c r="H352"/>
      <c r="J352"/>
      <c r="K352"/>
      <c r="L352" s="43"/>
      <c r="M352"/>
      <c r="N352"/>
      <c r="O352" s="43"/>
      <c r="P352"/>
      <c r="Q352"/>
      <c r="R352" s="43"/>
      <c r="S352"/>
      <c r="U352" s="38"/>
    </row>
    <row r="353" spans="2:21" x14ac:dyDescent="0.3">
      <c r="B353" s="3"/>
      <c r="C353" s="23"/>
      <c r="D353"/>
      <c r="E353" s="11"/>
      <c r="G353"/>
      <c r="H353"/>
      <c r="J353"/>
      <c r="K353"/>
      <c r="L353" s="43"/>
      <c r="M353"/>
      <c r="N353"/>
      <c r="O353" s="43"/>
      <c r="P353"/>
      <c r="Q353"/>
      <c r="R353" s="43"/>
      <c r="S353"/>
      <c r="U353" s="38"/>
    </row>
    <row r="354" spans="2:21" x14ac:dyDescent="0.3">
      <c r="B354" s="3"/>
      <c r="C354" s="23"/>
      <c r="D354"/>
      <c r="E354" s="11"/>
      <c r="G354"/>
      <c r="H354"/>
      <c r="J354"/>
      <c r="K354"/>
      <c r="L354" s="43"/>
      <c r="M354"/>
      <c r="N354"/>
      <c r="O354" s="43"/>
      <c r="P354"/>
      <c r="Q354"/>
      <c r="R354" s="43"/>
      <c r="S354"/>
      <c r="U354" s="38"/>
    </row>
    <row r="355" spans="2:21" x14ac:dyDescent="0.3">
      <c r="B355" s="3"/>
      <c r="C355" s="23"/>
      <c r="D355"/>
      <c r="E355" s="11"/>
      <c r="G355"/>
      <c r="H355"/>
      <c r="J355"/>
      <c r="K355"/>
      <c r="L355" s="43"/>
      <c r="M355"/>
      <c r="N355"/>
      <c r="O355" s="43"/>
      <c r="P355"/>
      <c r="Q355"/>
      <c r="R355" s="43"/>
      <c r="S355"/>
      <c r="U355" s="38"/>
    </row>
    <row r="356" spans="2:21" x14ac:dyDescent="0.3">
      <c r="B356" s="3"/>
      <c r="C356" s="23"/>
      <c r="D356"/>
      <c r="E356" s="11"/>
      <c r="G356"/>
      <c r="H356"/>
      <c r="J356"/>
      <c r="K356"/>
      <c r="L356" s="43"/>
      <c r="M356"/>
      <c r="N356"/>
      <c r="O356" s="43"/>
      <c r="P356"/>
      <c r="Q356"/>
      <c r="R356" s="43"/>
      <c r="S356"/>
      <c r="U356" s="38"/>
    </row>
    <row r="357" spans="2:21" x14ac:dyDescent="0.3">
      <c r="B357" s="3"/>
      <c r="C357" s="23"/>
      <c r="D357"/>
      <c r="E357" s="11"/>
      <c r="G357"/>
      <c r="H357"/>
      <c r="J357" s="39"/>
      <c r="K357" s="19"/>
      <c r="L357" s="43"/>
      <c r="M357"/>
      <c r="N357"/>
      <c r="O357" s="43"/>
      <c r="P357"/>
      <c r="Q357"/>
      <c r="R357" s="43"/>
      <c r="S357"/>
      <c r="U357" s="38"/>
    </row>
    <row r="358" spans="2:21" x14ac:dyDescent="0.3">
      <c r="B358" s="3"/>
      <c r="C358" s="23"/>
      <c r="D358"/>
      <c r="E358" s="11"/>
      <c r="G358"/>
      <c r="H358"/>
      <c r="J358" s="39"/>
      <c r="K358" s="19"/>
      <c r="L358" s="43"/>
      <c r="M358"/>
      <c r="N358"/>
      <c r="O358" s="43"/>
      <c r="P358"/>
      <c r="Q358"/>
      <c r="R358" s="43"/>
      <c r="S358"/>
      <c r="U358" s="38"/>
    </row>
    <row r="359" spans="2:21" x14ac:dyDescent="0.3">
      <c r="B359" s="3"/>
      <c r="C359" s="23"/>
      <c r="D359"/>
      <c r="E359" s="11"/>
      <c r="G359"/>
      <c r="H359"/>
      <c r="J359" s="39"/>
      <c r="K359" s="19"/>
      <c r="L359" s="43"/>
      <c r="M359"/>
      <c r="N359"/>
      <c r="O359" s="43"/>
      <c r="P359"/>
      <c r="Q359"/>
      <c r="R359" s="43"/>
      <c r="S359"/>
      <c r="U359" s="38"/>
    </row>
    <row r="360" spans="2:21" x14ac:dyDescent="0.3">
      <c r="B360" s="3"/>
      <c r="C360" s="23"/>
      <c r="D360"/>
      <c r="E360" s="11"/>
      <c r="G360"/>
      <c r="H360"/>
      <c r="J360" s="39"/>
      <c r="K360" s="19"/>
      <c r="L360" s="43"/>
      <c r="M360"/>
      <c r="N360"/>
      <c r="O360" s="43"/>
      <c r="P360"/>
      <c r="Q360"/>
      <c r="R360" s="43"/>
      <c r="S360"/>
      <c r="U360" s="38"/>
    </row>
    <row r="361" spans="2:21" x14ac:dyDescent="0.3">
      <c r="B361" s="3"/>
      <c r="C361" s="23"/>
      <c r="D361"/>
      <c r="E361" s="11"/>
      <c r="G361"/>
      <c r="H361"/>
      <c r="J361" s="39"/>
      <c r="K361" s="19"/>
      <c r="L361" s="43"/>
      <c r="M361"/>
      <c r="N361"/>
      <c r="O361" s="43"/>
      <c r="P361"/>
      <c r="Q361"/>
      <c r="R361" s="43"/>
      <c r="S361"/>
      <c r="U361" s="38"/>
    </row>
    <row r="362" spans="2:21" x14ac:dyDescent="0.3">
      <c r="B362" s="3"/>
      <c r="C362" s="40"/>
      <c r="D362" s="39"/>
      <c r="E362" s="11"/>
      <c r="G362" s="39"/>
      <c r="H362" s="35"/>
      <c r="J362" s="39"/>
      <c r="K362"/>
      <c r="L362" s="43"/>
      <c r="M362"/>
      <c r="N362"/>
      <c r="O362" s="43"/>
      <c r="P362"/>
      <c r="Q362"/>
      <c r="R362" s="43"/>
      <c r="S362"/>
      <c r="U362" s="38"/>
    </row>
    <row r="363" spans="2:21" x14ac:dyDescent="0.3">
      <c r="B363" s="3"/>
      <c r="C363" s="40"/>
      <c r="D363" s="39"/>
      <c r="E363" s="11"/>
      <c r="G363" s="39"/>
      <c r="H363" s="35"/>
      <c r="J363" s="39"/>
      <c r="K363" s="19"/>
      <c r="L363" s="43"/>
      <c r="M363"/>
      <c r="N363"/>
      <c r="O363" s="43"/>
      <c r="P363"/>
      <c r="Q363"/>
      <c r="R363" s="43"/>
      <c r="S363"/>
      <c r="U363" s="38"/>
    </row>
    <row r="364" spans="2:21" x14ac:dyDescent="0.3">
      <c r="B364" s="3"/>
      <c r="C364" s="40"/>
      <c r="D364" s="39"/>
      <c r="E364" s="11"/>
      <c r="G364" s="39"/>
      <c r="H364" s="35"/>
      <c r="J364" s="39"/>
      <c r="K364" s="19"/>
      <c r="L364" s="43"/>
      <c r="M364"/>
      <c r="N364"/>
      <c r="O364" s="43"/>
      <c r="P364"/>
      <c r="Q364"/>
      <c r="R364" s="43"/>
      <c r="S364"/>
      <c r="U364" s="38"/>
    </row>
    <row r="365" spans="2:21" x14ac:dyDescent="0.3">
      <c r="C365" s="40"/>
      <c r="D365" s="39"/>
      <c r="E365" s="11"/>
      <c r="G365" s="39"/>
      <c r="H365" s="35"/>
      <c r="J365" s="39"/>
      <c r="K365" s="19"/>
      <c r="L365" s="43"/>
      <c r="M365"/>
      <c r="N365"/>
      <c r="O365" s="43"/>
      <c r="P365"/>
      <c r="Q365"/>
      <c r="R365" s="43"/>
      <c r="S365"/>
      <c r="U365" s="38"/>
    </row>
    <row r="366" spans="2:21" x14ac:dyDescent="0.3">
      <c r="C366" s="40"/>
      <c r="D366" s="39"/>
      <c r="E366" s="11"/>
      <c r="G366" s="39"/>
      <c r="H366" s="35"/>
      <c r="J366" s="39"/>
      <c r="K366" s="19"/>
      <c r="L366" s="43"/>
      <c r="M366"/>
      <c r="N366"/>
      <c r="O366" s="43"/>
      <c r="P366"/>
      <c r="Q366"/>
      <c r="R366" s="43"/>
      <c r="S366"/>
      <c r="U366" s="38"/>
    </row>
    <row r="367" spans="2:21" x14ac:dyDescent="0.3">
      <c r="C367" s="40"/>
      <c r="D367" s="39"/>
      <c r="E367" s="11"/>
      <c r="G367" s="39"/>
      <c r="H367" s="35"/>
      <c r="J367" s="39"/>
      <c r="K367" s="19"/>
      <c r="L367" s="43"/>
      <c r="M367"/>
      <c r="N367"/>
      <c r="O367" s="43"/>
      <c r="P367"/>
      <c r="Q367"/>
      <c r="R367" s="43"/>
      <c r="S367"/>
      <c r="U367" s="38"/>
    </row>
    <row r="368" spans="2:21" x14ac:dyDescent="0.3">
      <c r="C368" s="40"/>
      <c r="D368" s="39"/>
      <c r="E368" s="11"/>
      <c r="G368" s="39"/>
      <c r="H368" s="35"/>
      <c r="J368" s="39"/>
      <c r="K368" s="19"/>
      <c r="L368" s="43"/>
      <c r="M368"/>
      <c r="N368"/>
      <c r="O368" s="43"/>
      <c r="P368"/>
      <c r="Q368"/>
      <c r="R368" s="43"/>
      <c r="S368"/>
      <c r="U368" s="38"/>
    </row>
    <row r="369" spans="2:21" x14ac:dyDescent="0.3">
      <c r="C369" s="40"/>
      <c r="D369" s="39"/>
      <c r="E369" s="11"/>
      <c r="G369" s="39"/>
      <c r="H369" s="35"/>
      <c r="J369" s="39"/>
      <c r="K369" s="19"/>
      <c r="L369" s="43"/>
      <c r="M369"/>
      <c r="N369"/>
      <c r="O369" s="43"/>
      <c r="P369"/>
      <c r="Q369"/>
      <c r="R369" s="43"/>
      <c r="S369"/>
      <c r="U369" s="38"/>
    </row>
    <row r="370" spans="2:21" x14ac:dyDescent="0.3">
      <c r="C370" s="40"/>
      <c r="D370" s="39"/>
      <c r="E370" s="11"/>
      <c r="G370" s="39"/>
      <c r="H370" s="35"/>
      <c r="J370" s="39"/>
      <c r="K370" s="19"/>
      <c r="L370" s="43"/>
      <c r="M370"/>
      <c r="N370"/>
      <c r="O370" s="43"/>
      <c r="P370"/>
      <c r="Q370"/>
      <c r="R370" s="43"/>
      <c r="S370"/>
      <c r="U370" s="38"/>
    </row>
    <row r="371" spans="2:21" x14ac:dyDescent="0.3">
      <c r="C371" s="40"/>
      <c r="D371" s="39"/>
      <c r="E371" s="11"/>
      <c r="G371" s="39"/>
      <c r="H371" s="35"/>
      <c r="J371" s="39"/>
      <c r="K371" s="19"/>
      <c r="L371" s="43"/>
      <c r="M371"/>
      <c r="N371"/>
      <c r="O371" s="43"/>
      <c r="P371"/>
      <c r="Q371"/>
      <c r="R371" s="43"/>
      <c r="S371"/>
      <c r="U371" s="38"/>
    </row>
    <row r="372" spans="2:21" x14ac:dyDescent="0.3">
      <c r="C372" s="40"/>
      <c r="D372" s="39"/>
      <c r="E372" s="11"/>
      <c r="G372" s="39"/>
      <c r="H372" s="35"/>
      <c r="J372" s="39"/>
      <c r="K372" s="19"/>
      <c r="L372" s="43"/>
      <c r="M372"/>
      <c r="N372"/>
      <c r="O372" s="43"/>
      <c r="P372"/>
      <c r="Q372"/>
      <c r="R372" s="43"/>
      <c r="S372"/>
      <c r="U372" s="38"/>
    </row>
    <row r="373" spans="2:21" x14ac:dyDescent="0.3">
      <c r="C373" s="40"/>
      <c r="D373" s="39"/>
      <c r="E373" s="11"/>
      <c r="G373" s="39"/>
      <c r="H373" s="35"/>
      <c r="J373" s="39"/>
      <c r="K373" s="19"/>
      <c r="L373" s="43"/>
      <c r="M373"/>
      <c r="N373"/>
      <c r="O373" s="43"/>
      <c r="P373"/>
      <c r="Q373"/>
      <c r="R373" s="43"/>
      <c r="S373"/>
      <c r="U373" s="38"/>
    </row>
    <row r="374" spans="2:21" x14ac:dyDescent="0.3">
      <c r="C374" s="40"/>
      <c r="D374" s="39"/>
      <c r="E374" s="11"/>
      <c r="G374" s="39"/>
      <c r="H374" s="35"/>
      <c r="J374" s="39"/>
      <c r="K374" s="19"/>
      <c r="L374" s="43"/>
      <c r="M374"/>
      <c r="N374"/>
      <c r="O374" s="43"/>
      <c r="P374"/>
      <c r="Q374"/>
      <c r="R374" s="43"/>
      <c r="S374"/>
      <c r="U374" s="38"/>
    </row>
    <row r="375" spans="2:21" x14ac:dyDescent="0.3">
      <c r="C375" s="40"/>
      <c r="D375" s="39"/>
      <c r="E375" s="11"/>
      <c r="G375" s="39"/>
      <c r="H375" s="35"/>
      <c r="J375" s="39"/>
      <c r="K375" s="19"/>
      <c r="L375" s="43"/>
      <c r="M375"/>
      <c r="N375"/>
      <c r="O375" s="43"/>
      <c r="P375"/>
      <c r="Q375"/>
      <c r="R375" s="43"/>
      <c r="S375"/>
      <c r="U375" s="38"/>
    </row>
    <row r="376" spans="2:21" x14ac:dyDescent="0.3">
      <c r="B376" s="38"/>
      <c r="C376" s="40"/>
      <c r="D376" s="39"/>
      <c r="E376" s="12"/>
      <c r="G376" s="39"/>
      <c r="H376" s="12"/>
      <c r="J376" s="39"/>
      <c r="K376"/>
      <c r="L376" s="43"/>
      <c r="M376"/>
      <c r="N376"/>
      <c r="O376" s="43"/>
      <c r="P376"/>
      <c r="Q376"/>
      <c r="R376" s="43"/>
      <c r="S376"/>
      <c r="U376" s="38"/>
    </row>
    <row r="377" spans="2:21" x14ac:dyDescent="0.3">
      <c r="B377" s="38"/>
      <c r="C377" s="40"/>
      <c r="D377" s="39"/>
      <c r="E377" s="12"/>
      <c r="G377" s="39"/>
      <c r="H377" s="12"/>
      <c r="J377" s="39"/>
      <c r="K377"/>
      <c r="L377" s="43"/>
      <c r="M377"/>
      <c r="N377"/>
      <c r="O377" s="43"/>
      <c r="P377"/>
      <c r="Q377"/>
      <c r="R377" s="43"/>
      <c r="S377"/>
      <c r="U377" s="38"/>
    </row>
    <row r="378" spans="2:21" x14ac:dyDescent="0.3">
      <c r="B378" s="38"/>
      <c r="C378" s="40"/>
      <c r="D378" s="39"/>
      <c r="E378" s="12"/>
      <c r="G378" s="39"/>
      <c r="H378" s="12"/>
      <c r="J378" s="39"/>
      <c r="K378"/>
      <c r="L378" s="43"/>
      <c r="M378"/>
      <c r="N378"/>
      <c r="O378" s="43"/>
      <c r="P378"/>
      <c r="Q378"/>
      <c r="R378" s="43"/>
      <c r="S378"/>
      <c r="U378" s="38"/>
    </row>
    <row r="379" spans="2:21" x14ac:dyDescent="0.3">
      <c r="B379" s="38"/>
      <c r="C379" s="40"/>
      <c r="D379" s="39"/>
      <c r="E379" s="12"/>
      <c r="G379" s="39"/>
      <c r="H379" s="12"/>
      <c r="J379" s="39"/>
      <c r="K379"/>
      <c r="L379" s="43"/>
      <c r="M379"/>
      <c r="N379"/>
      <c r="O379" s="43"/>
      <c r="P379"/>
      <c r="Q379"/>
      <c r="R379" s="43"/>
      <c r="S379"/>
      <c r="U379" s="38"/>
    </row>
    <row r="380" spans="2:21" x14ac:dyDescent="0.3">
      <c r="B380" s="38"/>
      <c r="C380" s="40"/>
      <c r="D380" s="39"/>
      <c r="E380" s="12"/>
      <c r="G380" s="39"/>
      <c r="H380" s="12"/>
      <c r="J380" s="39"/>
      <c r="K380"/>
      <c r="L380" s="43"/>
      <c r="M380"/>
      <c r="N380"/>
      <c r="O380" s="43"/>
      <c r="P380"/>
      <c r="Q380"/>
      <c r="R380" s="43"/>
      <c r="S380"/>
      <c r="U380" s="38"/>
    </row>
    <row r="381" spans="2:21" x14ac:dyDescent="0.3">
      <c r="B381" s="38"/>
      <c r="C381" s="40"/>
      <c r="D381" s="39"/>
      <c r="E381" s="12"/>
      <c r="G381" s="39"/>
      <c r="H381" s="12"/>
      <c r="J381" s="39"/>
      <c r="K381"/>
      <c r="L381" s="43"/>
      <c r="M381"/>
      <c r="N381"/>
      <c r="O381" s="43"/>
      <c r="P381"/>
      <c r="Q381"/>
      <c r="R381" s="43"/>
      <c r="S381"/>
      <c r="U381" s="38"/>
    </row>
    <row r="382" spans="2:21" x14ac:dyDescent="0.3">
      <c r="B382" s="38"/>
      <c r="C382" s="40"/>
      <c r="D382" s="39"/>
      <c r="E382" s="12"/>
      <c r="G382" s="39"/>
      <c r="H382" s="12"/>
      <c r="J382" s="39"/>
      <c r="K382"/>
      <c r="L382" s="43"/>
      <c r="M382"/>
      <c r="N382"/>
      <c r="O382" s="43"/>
      <c r="P382"/>
      <c r="Q382"/>
      <c r="R382" s="43"/>
      <c r="S382"/>
      <c r="U382" s="38"/>
    </row>
    <row r="383" spans="2:21" x14ac:dyDescent="0.3">
      <c r="B383" s="38"/>
      <c r="C383" s="40"/>
      <c r="D383" s="39"/>
      <c r="E383" s="12"/>
      <c r="G383" s="39"/>
      <c r="H383" s="12"/>
      <c r="J383" s="39"/>
      <c r="K383"/>
      <c r="L383" s="43"/>
      <c r="M383"/>
      <c r="N383"/>
      <c r="O383" s="43"/>
      <c r="P383"/>
      <c r="Q383"/>
      <c r="R383" s="43"/>
      <c r="S383"/>
      <c r="U383" s="38"/>
    </row>
    <row r="384" spans="2:21" x14ac:dyDescent="0.3">
      <c r="B384" s="38"/>
      <c r="C384" s="40"/>
      <c r="D384" s="39"/>
      <c r="E384" s="12"/>
      <c r="G384" s="39"/>
      <c r="H384" s="12"/>
      <c r="J384" s="39"/>
      <c r="K384"/>
      <c r="L384" s="43"/>
      <c r="M384"/>
      <c r="N384"/>
      <c r="O384" s="43"/>
      <c r="P384"/>
      <c r="Q384"/>
      <c r="R384" s="43"/>
      <c r="S384"/>
      <c r="U384" s="38"/>
    </row>
    <row r="385" spans="2:21" x14ac:dyDescent="0.3">
      <c r="B385" s="38"/>
      <c r="C385" s="40"/>
      <c r="D385" s="39"/>
      <c r="E385" s="12"/>
      <c r="G385" s="39"/>
      <c r="H385" s="12"/>
      <c r="J385" s="39"/>
      <c r="K385"/>
      <c r="L385" s="43"/>
      <c r="M385"/>
      <c r="N385"/>
      <c r="O385" s="43"/>
      <c r="P385"/>
      <c r="Q385"/>
      <c r="R385" s="43"/>
      <c r="S385"/>
      <c r="U385" s="38"/>
    </row>
    <row r="386" spans="2:21" x14ac:dyDescent="0.3">
      <c r="B386" s="38"/>
      <c r="C386" s="40"/>
      <c r="D386" s="39"/>
      <c r="E386" s="12"/>
      <c r="G386" s="39"/>
      <c r="H386" s="12"/>
      <c r="J386" s="39"/>
      <c r="K386"/>
      <c r="L386" s="43"/>
      <c r="M386"/>
      <c r="N386"/>
      <c r="O386" s="43"/>
      <c r="P386"/>
      <c r="Q386"/>
      <c r="R386" s="43"/>
      <c r="S386"/>
      <c r="U386" s="38"/>
    </row>
    <row r="387" spans="2:21" x14ac:dyDescent="0.3">
      <c r="B387" s="38"/>
      <c r="C387" s="40"/>
      <c r="D387" s="39"/>
      <c r="E387" s="12"/>
      <c r="G387" s="39"/>
      <c r="H387" s="12"/>
      <c r="J387" s="39"/>
      <c r="K387"/>
      <c r="L387" s="43"/>
      <c r="M387"/>
      <c r="N387"/>
      <c r="O387" s="43"/>
      <c r="P387"/>
      <c r="Q387"/>
      <c r="R387" s="43"/>
      <c r="S387"/>
      <c r="U387" s="38"/>
    </row>
    <row r="388" spans="2:21" x14ac:dyDescent="0.3">
      <c r="B388" s="38"/>
      <c r="C388" s="40"/>
      <c r="D388" s="39"/>
      <c r="E388" s="12"/>
      <c r="G388" s="39"/>
      <c r="H388" s="12"/>
      <c r="J388" s="39"/>
      <c r="K388"/>
      <c r="L388" s="43"/>
      <c r="M388"/>
      <c r="N388"/>
      <c r="O388" s="43"/>
      <c r="P388"/>
      <c r="Q388"/>
      <c r="R388" s="43"/>
      <c r="S388"/>
      <c r="U388" s="38"/>
    </row>
    <row r="389" spans="2:21" x14ac:dyDescent="0.3">
      <c r="B389" s="38"/>
      <c r="C389" s="40"/>
      <c r="D389" s="39"/>
      <c r="E389" s="12"/>
      <c r="G389" s="39"/>
      <c r="H389" s="12"/>
      <c r="J389" s="39"/>
      <c r="K389"/>
      <c r="L389" s="43"/>
      <c r="M389"/>
      <c r="N389"/>
      <c r="O389" s="43"/>
      <c r="P389"/>
      <c r="Q389"/>
      <c r="R389" s="43"/>
      <c r="S389"/>
      <c r="U389" s="38"/>
    </row>
    <row r="390" spans="2:21" x14ac:dyDescent="0.3">
      <c r="B390" s="38"/>
      <c r="C390" s="40"/>
      <c r="D390" s="39"/>
      <c r="E390" s="12"/>
      <c r="G390" s="39"/>
      <c r="H390" s="12"/>
      <c r="J390" s="39"/>
      <c r="K390"/>
      <c r="L390" s="43"/>
      <c r="M390"/>
      <c r="N390"/>
      <c r="O390" s="43"/>
      <c r="P390"/>
      <c r="Q390"/>
      <c r="R390" s="43"/>
      <c r="S390"/>
      <c r="U390" s="38"/>
    </row>
    <row r="391" spans="2:21" x14ac:dyDescent="0.3">
      <c r="B391" s="38"/>
      <c r="C391" s="40"/>
      <c r="D391" s="39"/>
      <c r="E391" s="12"/>
      <c r="G391" s="39"/>
      <c r="H391" s="12"/>
      <c r="J391" s="39"/>
      <c r="K391"/>
      <c r="L391" s="43"/>
      <c r="M391"/>
      <c r="N391"/>
      <c r="O391" s="43"/>
      <c r="P391"/>
      <c r="Q391"/>
      <c r="R391" s="43"/>
      <c r="S391"/>
      <c r="U391" s="38"/>
    </row>
    <row r="392" spans="2:21" x14ac:dyDescent="0.3">
      <c r="B392" s="38"/>
      <c r="C392" s="40"/>
      <c r="D392" s="39"/>
      <c r="E392" s="12"/>
      <c r="G392" s="39"/>
      <c r="H392" s="12"/>
      <c r="J392" s="39"/>
      <c r="K392"/>
      <c r="L392" s="43"/>
      <c r="M392"/>
      <c r="N392"/>
      <c r="O392" s="43"/>
      <c r="P392"/>
      <c r="Q392"/>
      <c r="R392" s="43"/>
      <c r="S392"/>
      <c r="U392" s="38"/>
    </row>
    <row r="393" spans="2:21" x14ac:dyDescent="0.3">
      <c r="B393" s="38"/>
      <c r="C393" s="40"/>
      <c r="D393" s="39"/>
      <c r="E393" s="12"/>
      <c r="G393" s="39"/>
      <c r="H393" s="12"/>
      <c r="J393" s="39"/>
      <c r="K393"/>
      <c r="L393" s="43"/>
      <c r="M393"/>
      <c r="N393"/>
      <c r="O393" s="43"/>
      <c r="P393"/>
      <c r="Q393"/>
      <c r="R393" s="43"/>
      <c r="S393"/>
      <c r="U393" s="38"/>
    </row>
    <row r="394" spans="2:21" x14ac:dyDescent="0.3">
      <c r="B394" s="38"/>
      <c r="C394" s="40"/>
      <c r="D394" s="39"/>
      <c r="E394" s="12"/>
      <c r="G394" s="39"/>
      <c r="H394" s="12"/>
      <c r="J394" s="39"/>
      <c r="K394"/>
      <c r="L394" s="43"/>
      <c r="M394"/>
      <c r="N394"/>
      <c r="O394" s="43"/>
      <c r="P394"/>
      <c r="Q394"/>
      <c r="R394" s="43"/>
      <c r="S394"/>
      <c r="U394" s="38"/>
    </row>
    <row r="395" spans="2:21" x14ac:dyDescent="0.3">
      <c r="B395" s="38"/>
      <c r="C395" s="40"/>
      <c r="D395" s="39"/>
      <c r="E395" s="12"/>
      <c r="G395" s="39"/>
      <c r="H395" s="12"/>
      <c r="J395" s="39"/>
      <c r="K395"/>
      <c r="L395" s="43"/>
      <c r="M395"/>
      <c r="N395"/>
      <c r="O395" s="43"/>
      <c r="P395"/>
      <c r="Q395"/>
      <c r="R395" s="43"/>
      <c r="S395"/>
      <c r="U395" s="38"/>
    </row>
    <row r="396" spans="2:21" x14ac:dyDescent="0.3">
      <c r="B396" s="38"/>
      <c r="C396" s="40"/>
      <c r="D396" s="39"/>
      <c r="E396" s="12"/>
      <c r="G396" s="39"/>
      <c r="H396" s="12"/>
      <c r="J396" s="39"/>
      <c r="K396"/>
      <c r="L396" s="43"/>
      <c r="M396"/>
      <c r="N396"/>
      <c r="O396" s="43"/>
      <c r="P396"/>
      <c r="Q396"/>
      <c r="R396" s="43"/>
      <c r="S396"/>
      <c r="U396" s="38"/>
    </row>
    <row r="397" spans="2:21" x14ac:dyDescent="0.3">
      <c r="B397" s="38"/>
      <c r="C397" s="40"/>
      <c r="D397" s="39"/>
      <c r="E397" s="12"/>
      <c r="G397" s="39"/>
      <c r="H397" s="12"/>
      <c r="J397" s="39"/>
      <c r="K397"/>
      <c r="L397" s="43"/>
      <c r="M397"/>
      <c r="N397"/>
      <c r="O397" s="43"/>
      <c r="P397"/>
      <c r="Q397"/>
      <c r="R397" s="43"/>
      <c r="S397"/>
      <c r="U397" s="38"/>
    </row>
    <row r="398" spans="2:21" x14ac:dyDescent="0.3">
      <c r="B398" s="38"/>
      <c r="C398" s="40"/>
      <c r="D398" s="39"/>
      <c r="E398" s="12"/>
      <c r="G398" s="39"/>
      <c r="H398" s="12"/>
      <c r="J398" s="39"/>
      <c r="K398"/>
      <c r="L398" s="43"/>
      <c r="M398"/>
      <c r="N398"/>
      <c r="O398" s="43"/>
      <c r="P398"/>
      <c r="Q398"/>
      <c r="R398" s="43"/>
      <c r="S398"/>
      <c r="U398" s="38"/>
    </row>
    <row r="399" spans="2:21" x14ac:dyDescent="0.3">
      <c r="B399" s="38"/>
      <c r="C399" s="40"/>
      <c r="D399" s="39"/>
      <c r="E399" s="12"/>
      <c r="G399" s="39"/>
      <c r="H399" s="12"/>
      <c r="J399" s="39"/>
      <c r="K399"/>
      <c r="L399" s="43"/>
      <c r="M399"/>
      <c r="N399"/>
      <c r="O399" s="43"/>
      <c r="P399"/>
      <c r="Q399"/>
      <c r="R399" s="43"/>
      <c r="S399"/>
      <c r="U399" s="38"/>
    </row>
    <row r="400" spans="2:21" x14ac:dyDescent="0.3">
      <c r="B400" s="38"/>
      <c r="C400" s="40"/>
      <c r="D400" s="39"/>
      <c r="E400" s="12"/>
      <c r="G400" s="39"/>
      <c r="H400" s="12"/>
      <c r="J400" s="39"/>
      <c r="K400"/>
      <c r="L400" s="43"/>
      <c r="M400"/>
      <c r="N400"/>
      <c r="O400" s="43"/>
      <c r="P400"/>
      <c r="Q400"/>
      <c r="R400" s="43"/>
      <c r="S400"/>
      <c r="U400" s="38"/>
    </row>
    <row r="401" spans="2:21" x14ac:dyDescent="0.3">
      <c r="B401" s="38"/>
      <c r="C401" s="40"/>
      <c r="D401" s="39"/>
      <c r="E401" s="12"/>
      <c r="G401" s="39"/>
      <c r="H401" s="12"/>
      <c r="J401" s="39"/>
      <c r="K401"/>
      <c r="L401" s="43"/>
      <c r="M401"/>
      <c r="N401"/>
      <c r="O401" s="43"/>
      <c r="P401"/>
      <c r="Q401"/>
      <c r="R401" s="43"/>
      <c r="S401"/>
      <c r="U401" s="38"/>
    </row>
    <row r="402" spans="2:21" x14ac:dyDescent="0.3">
      <c r="B402" s="38"/>
      <c r="C402" s="40"/>
      <c r="D402" s="39"/>
      <c r="E402" s="12"/>
      <c r="G402" s="39"/>
      <c r="H402" s="12"/>
      <c r="J402" s="39"/>
      <c r="K402"/>
      <c r="L402" s="43"/>
      <c r="M402"/>
      <c r="N402"/>
      <c r="O402" s="43"/>
      <c r="P402"/>
      <c r="Q402"/>
      <c r="R402" s="43"/>
      <c r="S402"/>
      <c r="U402" s="38"/>
    </row>
    <row r="403" spans="2:21" x14ac:dyDescent="0.3">
      <c r="B403" s="38"/>
      <c r="C403" s="40"/>
      <c r="D403" s="39"/>
      <c r="E403" s="12"/>
      <c r="G403" s="39"/>
      <c r="H403" s="12"/>
      <c r="J403" s="39"/>
      <c r="K403"/>
      <c r="L403" s="43"/>
      <c r="M403"/>
      <c r="N403"/>
      <c r="O403" s="43"/>
      <c r="P403"/>
      <c r="Q403"/>
      <c r="R403" s="43"/>
      <c r="S403"/>
      <c r="U403" s="38"/>
    </row>
    <row r="404" spans="2:21" x14ac:dyDescent="0.3">
      <c r="B404" s="38"/>
      <c r="C404" s="40"/>
      <c r="D404" s="39"/>
      <c r="E404" s="12"/>
      <c r="G404" s="39"/>
      <c r="H404" s="12"/>
      <c r="J404" s="39"/>
      <c r="K404"/>
      <c r="L404" s="43"/>
      <c r="M404"/>
      <c r="N404"/>
      <c r="O404" s="43"/>
      <c r="P404"/>
      <c r="Q404"/>
      <c r="R404" s="43"/>
      <c r="S404"/>
    </row>
    <row r="405" spans="2:21" x14ac:dyDescent="0.3">
      <c r="B405" s="38"/>
      <c r="C405" s="40"/>
      <c r="D405" s="39"/>
      <c r="E405" s="12"/>
      <c r="G405" s="39"/>
      <c r="H405" s="12"/>
      <c r="J405" s="39"/>
      <c r="K405"/>
      <c r="L405" s="43"/>
      <c r="M405"/>
      <c r="N405"/>
      <c r="O405" s="43"/>
      <c r="P405"/>
      <c r="Q405"/>
      <c r="R405" s="43"/>
      <c r="S405"/>
    </row>
    <row r="406" spans="2:21" x14ac:dyDescent="0.3">
      <c r="B406" s="38"/>
      <c r="C406" s="40"/>
      <c r="D406" s="39"/>
      <c r="E406" s="12"/>
      <c r="G406" s="39"/>
      <c r="H406" s="12"/>
      <c r="J406" s="39"/>
      <c r="K406"/>
      <c r="L406" s="43"/>
      <c r="M406"/>
      <c r="N406"/>
      <c r="O406" s="43"/>
      <c r="P406"/>
      <c r="Q406"/>
      <c r="R406" s="43"/>
      <c r="S406"/>
    </row>
    <row r="407" spans="2:21" x14ac:dyDescent="0.3">
      <c r="B407" s="38"/>
      <c r="C407" s="40"/>
      <c r="D407" s="39"/>
      <c r="E407" s="12"/>
      <c r="G407" s="39"/>
      <c r="H407" s="12"/>
      <c r="J407" s="39"/>
      <c r="K407"/>
      <c r="L407" s="43"/>
      <c r="M407"/>
      <c r="N407"/>
      <c r="O407" s="43"/>
      <c r="P407"/>
      <c r="Q407"/>
      <c r="R407" s="43"/>
      <c r="S407"/>
    </row>
    <row r="408" spans="2:21" x14ac:dyDescent="0.3">
      <c r="B408" s="38"/>
      <c r="C408" s="40"/>
      <c r="D408" s="39"/>
      <c r="E408" s="12"/>
      <c r="G408" s="39"/>
      <c r="H408" s="12"/>
      <c r="J408" s="39"/>
      <c r="K408"/>
      <c r="L408" s="43"/>
      <c r="M408"/>
      <c r="N408"/>
      <c r="O408" s="43"/>
      <c r="P408"/>
      <c r="Q408"/>
      <c r="R408" s="43"/>
      <c r="S408"/>
    </row>
    <row r="409" spans="2:21" x14ac:dyDescent="0.3">
      <c r="B409" s="38"/>
      <c r="C409" s="40"/>
      <c r="D409" s="39"/>
      <c r="E409" s="12"/>
      <c r="G409" s="39"/>
      <c r="H409" s="12"/>
      <c r="J409" s="39"/>
      <c r="K409"/>
      <c r="L409" s="43"/>
      <c r="M409"/>
      <c r="N409"/>
      <c r="O409" s="43"/>
      <c r="P409"/>
      <c r="Q409"/>
      <c r="R409" s="43"/>
      <c r="S409"/>
    </row>
    <row r="410" spans="2:21" x14ac:dyDescent="0.3">
      <c r="B410" s="38"/>
      <c r="C410" s="40"/>
      <c r="D410" s="39"/>
      <c r="E410" s="12"/>
      <c r="G410" s="39"/>
      <c r="H410" s="12"/>
      <c r="J410" s="39"/>
      <c r="K410"/>
      <c r="L410" s="43"/>
      <c r="M410"/>
      <c r="N410"/>
      <c r="O410" s="43"/>
      <c r="P410"/>
      <c r="Q410"/>
      <c r="R410" s="43"/>
      <c r="S410"/>
    </row>
    <row r="411" spans="2:21" x14ac:dyDescent="0.3">
      <c r="B411" s="38"/>
      <c r="C411" s="40"/>
      <c r="D411" s="39"/>
      <c r="E411" s="12"/>
      <c r="G411" s="39"/>
      <c r="H411" s="12"/>
      <c r="J411" s="39"/>
      <c r="K411"/>
      <c r="L411" s="43"/>
      <c r="M411"/>
      <c r="N411"/>
      <c r="O411" s="43"/>
      <c r="P411"/>
      <c r="Q411"/>
      <c r="R411" s="43"/>
      <c r="S411"/>
    </row>
    <row r="412" spans="2:21" x14ac:dyDescent="0.3">
      <c r="B412" s="38"/>
      <c r="C412" s="40"/>
      <c r="D412" s="39"/>
      <c r="E412" s="12"/>
      <c r="G412" s="39"/>
      <c r="H412" s="12"/>
      <c r="J412" s="39"/>
      <c r="K412"/>
      <c r="L412" s="43"/>
      <c r="M412"/>
      <c r="N412"/>
      <c r="O412" s="43"/>
      <c r="P412"/>
      <c r="Q412"/>
      <c r="R412" s="43"/>
      <c r="S412"/>
    </row>
    <row r="413" spans="2:21" x14ac:dyDescent="0.3">
      <c r="B413" s="38"/>
      <c r="C413" s="40"/>
      <c r="D413" s="39"/>
      <c r="E413" s="12"/>
      <c r="G413" s="39"/>
      <c r="H413" s="12"/>
      <c r="J413" s="39"/>
      <c r="K413"/>
      <c r="L413" s="43"/>
      <c r="M413"/>
      <c r="N413"/>
      <c r="O413" s="43"/>
      <c r="P413"/>
      <c r="Q413"/>
      <c r="R413" s="43"/>
      <c r="S413"/>
    </row>
    <row r="414" spans="2:21" x14ac:dyDescent="0.3">
      <c r="B414" s="38"/>
      <c r="C414" s="40"/>
      <c r="D414" s="39"/>
      <c r="E414" s="12"/>
      <c r="G414" s="39"/>
      <c r="H414" s="12"/>
      <c r="J414" s="39"/>
      <c r="K414"/>
      <c r="L414" s="43"/>
      <c r="M414"/>
      <c r="N414"/>
      <c r="O414" s="43"/>
      <c r="P414"/>
      <c r="Q414"/>
      <c r="R414" s="43"/>
      <c r="S414"/>
    </row>
    <row r="415" spans="2:21" x14ac:dyDescent="0.3">
      <c r="B415" s="38"/>
      <c r="C415" s="40"/>
      <c r="D415" s="39"/>
      <c r="E415" s="12"/>
      <c r="G415" s="39"/>
      <c r="H415" s="12"/>
      <c r="J415" s="39"/>
      <c r="K415"/>
      <c r="L415" s="43"/>
      <c r="M415"/>
      <c r="N415"/>
      <c r="O415" s="43"/>
      <c r="P415"/>
      <c r="Q415"/>
      <c r="R415" s="43"/>
      <c r="S415"/>
    </row>
    <row r="416" spans="2:21" x14ac:dyDescent="0.3">
      <c r="B416" s="38"/>
      <c r="C416" s="40"/>
      <c r="D416" s="39"/>
      <c r="E416" s="12"/>
      <c r="G416" s="39"/>
      <c r="H416" s="12"/>
      <c r="J416" s="39"/>
      <c r="K416"/>
      <c r="L416" s="43"/>
      <c r="M416"/>
      <c r="N416"/>
      <c r="O416" s="43"/>
      <c r="P416"/>
      <c r="Q416"/>
      <c r="R416" s="43"/>
      <c r="S416"/>
    </row>
    <row r="417" spans="2:19" x14ac:dyDescent="0.3">
      <c r="B417" s="38"/>
      <c r="C417" s="40"/>
      <c r="D417" s="39"/>
      <c r="E417" s="12"/>
      <c r="G417" s="39"/>
      <c r="H417" s="12"/>
      <c r="J417" s="39"/>
      <c r="K417"/>
      <c r="L417" s="43"/>
      <c r="M417"/>
      <c r="N417"/>
      <c r="O417" s="43"/>
      <c r="P417"/>
      <c r="Q417"/>
      <c r="R417" s="43"/>
      <c r="S417"/>
    </row>
    <row r="418" spans="2:19" x14ac:dyDescent="0.3">
      <c r="B418" s="38"/>
      <c r="C418" s="40"/>
      <c r="D418" s="39"/>
      <c r="E418" s="12"/>
      <c r="G418" s="39"/>
      <c r="H418" s="12"/>
      <c r="J418" s="39"/>
      <c r="K418"/>
      <c r="L418" s="43"/>
      <c r="M418"/>
      <c r="N418"/>
      <c r="O418" s="43"/>
      <c r="P418"/>
      <c r="Q418"/>
      <c r="R418" s="43"/>
      <c r="S418"/>
    </row>
    <row r="419" spans="2:19" x14ac:dyDescent="0.3">
      <c r="B419" s="38"/>
      <c r="C419" s="40"/>
      <c r="D419" s="39"/>
      <c r="E419" s="12"/>
      <c r="G419" s="39"/>
      <c r="H419" s="12"/>
      <c r="J419" s="39"/>
      <c r="K419"/>
      <c r="L419" s="43"/>
      <c r="M419"/>
      <c r="N419"/>
      <c r="O419" s="43"/>
      <c r="P419"/>
      <c r="Q419"/>
      <c r="R419" s="43"/>
      <c r="S419"/>
    </row>
    <row r="420" spans="2:19" x14ac:dyDescent="0.3">
      <c r="B420" s="38"/>
      <c r="C420" s="40"/>
      <c r="D420" s="39"/>
      <c r="E420" s="12"/>
      <c r="G420" s="39"/>
      <c r="H420" s="12"/>
      <c r="J420" s="39"/>
      <c r="K420"/>
      <c r="L420" s="43"/>
      <c r="M420"/>
      <c r="N420"/>
      <c r="O420" s="43"/>
      <c r="P420"/>
      <c r="Q420"/>
      <c r="R420" s="43"/>
      <c r="S420"/>
    </row>
    <row r="421" spans="2:19" x14ac:dyDescent="0.3">
      <c r="B421" s="38"/>
      <c r="C421" s="40"/>
      <c r="D421" s="39"/>
      <c r="E421" s="12"/>
      <c r="G421" s="39"/>
      <c r="H421" s="12"/>
      <c r="J421" s="39"/>
      <c r="K421"/>
      <c r="L421" s="43"/>
      <c r="M421"/>
      <c r="N421"/>
      <c r="O421" s="43"/>
      <c r="P421"/>
      <c r="Q421"/>
      <c r="R421" s="43"/>
      <c r="S421"/>
    </row>
    <row r="422" spans="2:19" x14ac:dyDescent="0.3">
      <c r="B422" s="38"/>
      <c r="C422" s="40"/>
      <c r="D422" s="39"/>
      <c r="E422" s="12"/>
      <c r="G422" s="39"/>
      <c r="H422" s="12"/>
      <c r="J422" s="39"/>
      <c r="K422"/>
      <c r="L422" s="43"/>
      <c r="M422"/>
      <c r="N422"/>
      <c r="O422" s="43"/>
      <c r="P422"/>
      <c r="Q422"/>
      <c r="R422" s="43"/>
      <c r="S422"/>
    </row>
    <row r="423" spans="2:19" x14ac:dyDescent="0.3">
      <c r="B423" s="38"/>
      <c r="C423" s="40"/>
      <c r="D423" s="39"/>
      <c r="E423" s="12"/>
      <c r="G423" s="39"/>
      <c r="H423" s="12"/>
      <c r="J423" s="39"/>
      <c r="K423"/>
      <c r="L423" s="43"/>
      <c r="M423"/>
      <c r="N423"/>
      <c r="O423" s="43"/>
      <c r="P423"/>
      <c r="Q423"/>
      <c r="R423" s="43"/>
      <c r="S423"/>
    </row>
    <row r="424" spans="2:19" x14ac:dyDescent="0.3">
      <c r="B424" s="38"/>
      <c r="C424" s="40"/>
      <c r="D424" s="39"/>
      <c r="E424" s="12"/>
      <c r="G424" s="39"/>
      <c r="H424" s="12"/>
      <c r="J424" s="39"/>
      <c r="K424"/>
      <c r="L424" s="43"/>
      <c r="M424"/>
      <c r="N424"/>
      <c r="O424" s="43"/>
      <c r="P424"/>
      <c r="Q424"/>
      <c r="R424" s="43"/>
      <c r="S424"/>
    </row>
    <row r="425" spans="2:19" x14ac:dyDescent="0.3">
      <c r="B425" s="38"/>
      <c r="C425" s="40"/>
      <c r="D425" s="39"/>
      <c r="E425" s="12"/>
      <c r="G425" s="39"/>
      <c r="H425" s="12"/>
      <c r="J425" s="39"/>
      <c r="K425"/>
      <c r="L425" s="43"/>
      <c r="M425"/>
      <c r="N425"/>
      <c r="O425" s="43"/>
      <c r="P425"/>
      <c r="Q425"/>
      <c r="R425" s="43"/>
      <c r="S425"/>
    </row>
    <row r="426" spans="2:19" x14ac:dyDescent="0.3">
      <c r="B426" s="38"/>
      <c r="C426" s="40"/>
      <c r="D426" s="39"/>
      <c r="E426" s="12"/>
      <c r="G426" s="39"/>
      <c r="H426" s="12"/>
      <c r="J426" s="39"/>
      <c r="K426"/>
      <c r="L426" s="43"/>
      <c r="M426"/>
      <c r="N426"/>
      <c r="O426" s="43"/>
      <c r="P426"/>
      <c r="Q426"/>
      <c r="R426" s="43"/>
      <c r="S426"/>
    </row>
    <row r="427" spans="2:19" x14ac:dyDescent="0.3">
      <c r="B427" s="38"/>
      <c r="C427" s="40"/>
      <c r="D427" s="39"/>
      <c r="E427" s="12"/>
      <c r="G427" s="39"/>
      <c r="H427" s="12"/>
      <c r="J427" s="39"/>
      <c r="K427"/>
      <c r="L427" s="43"/>
      <c r="M427"/>
      <c r="N427"/>
      <c r="O427" s="43"/>
      <c r="P427"/>
      <c r="Q427"/>
      <c r="R427" s="43"/>
      <c r="S427"/>
    </row>
    <row r="428" spans="2:19" x14ac:dyDescent="0.3">
      <c r="B428" s="38"/>
      <c r="C428" s="40"/>
      <c r="D428" s="39"/>
      <c r="E428" s="12"/>
      <c r="G428" s="39"/>
      <c r="H428" s="12"/>
      <c r="J428" s="39"/>
      <c r="K428"/>
      <c r="L428" s="43"/>
      <c r="M428"/>
      <c r="N428"/>
      <c r="O428" s="43"/>
      <c r="P428"/>
      <c r="Q428"/>
      <c r="R428" s="43"/>
      <c r="S428"/>
    </row>
    <row r="429" spans="2:19" x14ac:dyDescent="0.3">
      <c r="B429" s="38"/>
      <c r="C429" s="40"/>
      <c r="D429" s="39"/>
      <c r="E429" s="12"/>
      <c r="G429" s="39"/>
      <c r="H429" s="12"/>
      <c r="J429" s="39"/>
      <c r="K429"/>
      <c r="L429" s="43"/>
      <c r="M429"/>
      <c r="N429"/>
      <c r="O429" s="43"/>
      <c r="P429"/>
      <c r="Q429"/>
      <c r="R429" s="43"/>
      <c r="S429"/>
    </row>
    <row r="430" spans="2:19" x14ac:dyDescent="0.3">
      <c r="B430" s="38"/>
      <c r="C430" s="40"/>
      <c r="D430" s="39"/>
      <c r="E430" s="12"/>
      <c r="G430" s="39"/>
      <c r="H430" s="12"/>
      <c r="J430" s="39"/>
      <c r="K430"/>
      <c r="L430" s="43"/>
      <c r="M430"/>
      <c r="N430"/>
      <c r="O430" s="43"/>
      <c r="P430"/>
      <c r="Q430"/>
      <c r="R430" s="43"/>
      <c r="S430"/>
    </row>
    <row r="431" spans="2:19" x14ac:dyDescent="0.3">
      <c r="B431" s="38"/>
      <c r="C431" s="40"/>
      <c r="D431" s="39"/>
      <c r="E431" s="12"/>
      <c r="G431" s="39"/>
      <c r="H431" s="12"/>
      <c r="J431" s="39"/>
      <c r="K431"/>
      <c r="L431" s="43"/>
      <c r="M431"/>
      <c r="N431"/>
      <c r="O431" s="43"/>
      <c r="P431"/>
      <c r="Q431"/>
      <c r="R431" s="43"/>
      <c r="S431"/>
    </row>
    <row r="432" spans="2:19" x14ac:dyDescent="0.3">
      <c r="B432" s="38"/>
      <c r="C432" s="40"/>
      <c r="D432" s="39"/>
      <c r="E432" s="12"/>
      <c r="G432" s="39"/>
      <c r="H432" s="12"/>
      <c r="J432" s="39"/>
      <c r="K432"/>
      <c r="L432" s="43"/>
      <c r="M432"/>
      <c r="N432"/>
      <c r="O432" s="43"/>
      <c r="P432"/>
      <c r="Q432"/>
      <c r="R432" s="43"/>
      <c r="S432"/>
    </row>
    <row r="433" spans="2:21" x14ac:dyDescent="0.3">
      <c r="B433" s="38"/>
      <c r="C433" s="40"/>
      <c r="D433" s="39"/>
      <c r="E433" s="12"/>
      <c r="G433" s="39"/>
      <c r="H433" s="12"/>
      <c r="J433" s="39"/>
      <c r="K433"/>
      <c r="L433" s="43"/>
      <c r="M433"/>
      <c r="N433"/>
      <c r="O433" s="43"/>
      <c r="P433"/>
      <c r="Q433"/>
      <c r="R433" s="43"/>
      <c r="S433"/>
    </row>
    <row r="434" spans="2:21" x14ac:dyDescent="0.3">
      <c r="B434" s="38"/>
      <c r="C434" s="40"/>
      <c r="D434" s="39"/>
      <c r="E434" s="12"/>
      <c r="G434" s="39"/>
      <c r="H434" s="12"/>
      <c r="J434" s="39"/>
      <c r="K434"/>
      <c r="L434" s="43"/>
      <c r="M434"/>
      <c r="N434"/>
      <c r="O434" s="43"/>
      <c r="P434"/>
      <c r="Q434"/>
      <c r="R434" s="43"/>
      <c r="S434"/>
    </row>
    <row r="435" spans="2:21" x14ac:dyDescent="0.3">
      <c r="B435" s="38"/>
      <c r="C435" s="40"/>
      <c r="D435" s="39"/>
      <c r="E435" s="12"/>
      <c r="G435" s="39"/>
      <c r="H435" s="12"/>
      <c r="J435" s="39"/>
      <c r="K435"/>
      <c r="L435" s="43"/>
      <c r="M435"/>
      <c r="N435"/>
      <c r="O435" s="43"/>
      <c r="P435"/>
      <c r="Q435"/>
      <c r="R435" s="43"/>
      <c r="S435"/>
    </row>
    <row r="436" spans="2:21" x14ac:dyDescent="0.3">
      <c r="B436" s="38"/>
      <c r="C436" s="40"/>
      <c r="D436" s="39"/>
      <c r="E436" s="12"/>
      <c r="G436" s="39"/>
      <c r="H436" s="12"/>
      <c r="J436" s="39"/>
      <c r="K436"/>
      <c r="L436" s="43"/>
      <c r="M436"/>
      <c r="N436"/>
      <c r="O436" s="43"/>
      <c r="P436"/>
      <c r="Q436"/>
      <c r="R436" s="43"/>
      <c r="S436"/>
    </row>
    <row r="437" spans="2:21" x14ac:dyDescent="0.3">
      <c r="B437" s="38"/>
      <c r="C437" s="40"/>
      <c r="D437" s="39"/>
      <c r="E437" s="12"/>
      <c r="G437" s="39"/>
      <c r="H437" s="12"/>
      <c r="J437" s="39"/>
      <c r="K437"/>
      <c r="L437" s="43"/>
      <c r="M437"/>
      <c r="N437"/>
      <c r="O437" s="43"/>
      <c r="P437"/>
      <c r="Q437"/>
      <c r="R437" s="43"/>
      <c r="S437"/>
    </row>
    <row r="438" spans="2:21" x14ac:dyDescent="0.3">
      <c r="B438" s="38"/>
      <c r="C438" s="40"/>
      <c r="D438" s="39"/>
      <c r="E438" s="12"/>
      <c r="G438" s="39"/>
      <c r="H438" s="12"/>
      <c r="J438" s="39"/>
      <c r="K438"/>
      <c r="L438" s="43"/>
      <c r="M438"/>
      <c r="N438"/>
      <c r="O438" s="43"/>
      <c r="P438"/>
      <c r="Q438"/>
      <c r="R438" s="43"/>
      <c r="S438"/>
    </row>
    <row r="439" spans="2:21" x14ac:dyDescent="0.3">
      <c r="B439" s="38"/>
      <c r="C439" s="40"/>
      <c r="D439" s="39"/>
      <c r="E439" s="12"/>
      <c r="G439" s="39"/>
      <c r="H439" s="12"/>
      <c r="J439" s="39"/>
      <c r="K439"/>
      <c r="L439" s="43"/>
      <c r="M439"/>
      <c r="N439"/>
      <c r="O439" s="43"/>
      <c r="P439"/>
      <c r="Q439"/>
      <c r="R439" s="43"/>
      <c r="S439"/>
    </row>
    <row r="440" spans="2:21" x14ac:dyDescent="0.3">
      <c r="B440" s="38"/>
      <c r="C440" s="40"/>
      <c r="D440" s="39"/>
      <c r="E440" s="12"/>
      <c r="G440" s="39"/>
      <c r="H440" s="12"/>
      <c r="J440" s="39"/>
      <c r="K440"/>
      <c r="L440" s="43"/>
      <c r="M440"/>
      <c r="N440"/>
      <c r="O440" s="43"/>
      <c r="P440"/>
      <c r="Q440"/>
      <c r="R440" s="43"/>
      <c r="S440"/>
    </row>
    <row r="441" spans="2:21" x14ac:dyDescent="0.3">
      <c r="B441" s="38"/>
      <c r="C441" s="40"/>
      <c r="D441" s="39"/>
      <c r="E441" s="12"/>
      <c r="G441" s="39"/>
      <c r="H441" s="12"/>
      <c r="J441" s="39"/>
      <c r="K441"/>
      <c r="L441" s="43"/>
      <c r="M441"/>
      <c r="N441"/>
      <c r="O441" s="43"/>
      <c r="P441"/>
      <c r="Q441"/>
      <c r="R441" s="43"/>
      <c r="S441"/>
    </row>
    <row r="442" spans="2:21" x14ac:dyDescent="0.3">
      <c r="B442" s="38"/>
      <c r="C442" s="40"/>
      <c r="D442" s="39"/>
      <c r="E442" s="12"/>
      <c r="G442" s="39"/>
      <c r="H442" s="12"/>
      <c r="J442" s="39"/>
      <c r="K442"/>
      <c r="L442" s="43"/>
      <c r="M442"/>
      <c r="N442"/>
      <c r="O442" s="43"/>
      <c r="P442"/>
      <c r="Q442"/>
      <c r="R442" s="43"/>
      <c r="S442"/>
    </row>
    <row r="443" spans="2:21" x14ac:dyDescent="0.3">
      <c r="B443" s="38"/>
      <c r="C443" s="40"/>
      <c r="D443" s="39"/>
      <c r="E443" s="12"/>
      <c r="G443" s="39"/>
      <c r="H443" s="12"/>
      <c r="J443" s="39"/>
      <c r="K443"/>
      <c r="L443" s="43"/>
      <c r="M443"/>
      <c r="N443"/>
      <c r="O443" s="43"/>
      <c r="P443"/>
      <c r="Q443"/>
      <c r="R443" s="43"/>
      <c r="S443"/>
    </row>
    <row r="444" spans="2:21" x14ac:dyDescent="0.3">
      <c r="B444" s="38"/>
      <c r="C444" s="40"/>
      <c r="D444" s="39"/>
      <c r="E444" s="12"/>
      <c r="G444" s="39"/>
      <c r="H444" s="12"/>
      <c r="J444" s="39"/>
      <c r="K444"/>
      <c r="L444" s="43"/>
      <c r="M444"/>
      <c r="N444"/>
      <c r="O444" s="43"/>
      <c r="P444"/>
      <c r="Q444"/>
      <c r="R444" s="43"/>
      <c r="S444"/>
    </row>
    <row r="445" spans="2:21" x14ac:dyDescent="0.3">
      <c r="B445" s="38"/>
      <c r="C445" s="40"/>
      <c r="D445" s="39"/>
      <c r="E445" s="12"/>
      <c r="G445" s="39"/>
      <c r="H445" s="12"/>
      <c r="J445" s="39"/>
      <c r="K445"/>
      <c r="L445" s="43"/>
      <c r="M445"/>
      <c r="N445"/>
      <c r="O445" s="43"/>
      <c r="P445"/>
      <c r="Q445"/>
      <c r="R445" s="43"/>
      <c r="S445"/>
    </row>
    <row r="446" spans="2:21" x14ac:dyDescent="0.3">
      <c r="B446" s="38"/>
      <c r="C446" s="40"/>
      <c r="D446" s="39"/>
      <c r="E446" s="12"/>
      <c r="G446" s="39"/>
      <c r="H446" s="12"/>
      <c r="J446" s="39"/>
      <c r="K446"/>
      <c r="L446" s="43"/>
      <c r="M446"/>
      <c r="N446"/>
      <c r="O446" s="43"/>
      <c r="P446"/>
      <c r="Q446"/>
      <c r="R446" s="43"/>
      <c r="S446"/>
    </row>
    <row r="447" spans="2:21" x14ac:dyDescent="0.3">
      <c r="B447" s="38"/>
      <c r="C447" s="40"/>
      <c r="D447" s="39"/>
      <c r="E447" s="12"/>
      <c r="G447" s="39"/>
      <c r="H447" s="12"/>
      <c r="J447" s="39"/>
      <c r="K447"/>
      <c r="L447" s="43"/>
      <c r="M447"/>
      <c r="N447"/>
      <c r="O447" s="43"/>
      <c r="P447"/>
      <c r="Q447"/>
      <c r="R447" s="43"/>
      <c r="S447"/>
      <c r="U447" s="38"/>
    </row>
    <row r="448" spans="2:21" x14ac:dyDescent="0.3">
      <c r="B448" s="38"/>
      <c r="C448" s="40"/>
      <c r="D448" s="39"/>
      <c r="E448" s="12"/>
      <c r="G448" s="39"/>
      <c r="H448" s="12"/>
      <c r="J448" s="39"/>
      <c r="K448"/>
      <c r="L448" s="43"/>
      <c r="M448"/>
      <c r="N448"/>
      <c r="O448" s="43"/>
      <c r="P448"/>
      <c r="Q448"/>
      <c r="R448" s="43"/>
      <c r="S448"/>
      <c r="U448" s="38"/>
    </row>
    <row r="449" spans="2:21" x14ac:dyDescent="0.3">
      <c r="B449" s="38"/>
      <c r="C449" s="40"/>
      <c r="D449" s="39"/>
      <c r="E449" s="12"/>
      <c r="G449" s="39"/>
      <c r="H449" s="12"/>
      <c r="J449" s="39"/>
      <c r="K449"/>
      <c r="L449" s="43"/>
      <c r="M449"/>
      <c r="N449"/>
      <c r="O449" s="43"/>
      <c r="P449"/>
      <c r="Q449"/>
      <c r="R449" s="43"/>
      <c r="S449"/>
      <c r="U449" s="38"/>
    </row>
    <row r="450" spans="2:21" x14ac:dyDescent="0.3">
      <c r="B450" s="38"/>
      <c r="C450" s="40"/>
      <c r="D450" s="39"/>
      <c r="E450" s="12"/>
      <c r="G450" s="39"/>
      <c r="H450" s="12"/>
      <c r="J450" s="39"/>
      <c r="K450"/>
      <c r="L450" s="43"/>
      <c r="M450"/>
      <c r="N450"/>
      <c r="O450" s="43"/>
      <c r="P450"/>
      <c r="Q450"/>
      <c r="R450" s="43"/>
      <c r="S450"/>
      <c r="U450" s="38"/>
    </row>
    <row r="451" spans="2:21" x14ac:dyDescent="0.3">
      <c r="B451" s="38"/>
      <c r="C451" s="40"/>
      <c r="D451" s="39"/>
      <c r="E451" s="12"/>
      <c r="G451" s="39"/>
      <c r="H451" s="12"/>
      <c r="J451" s="39"/>
      <c r="K451"/>
      <c r="L451" s="43"/>
      <c r="M451"/>
      <c r="N451"/>
      <c r="O451" s="43"/>
      <c r="P451"/>
      <c r="Q451"/>
      <c r="R451" s="43"/>
      <c r="S451"/>
      <c r="U451" s="38"/>
    </row>
    <row r="452" spans="2:21" x14ac:dyDescent="0.3">
      <c r="B452" s="38"/>
      <c r="C452" s="40"/>
      <c r="D452" s="39"/>
      <c r="E452" s="12"/>
      <c r="G452" s="39"/>
      <c r="H452" s="12"/>
      <c r="J452" s="39"/>
      <c r="K452"/>
      <c r="L452" s="43"/>
      <c r="M452"/>
      <c r="N452"/>
      <c r="O452" s="43"/>
      <c r="P452"/>
      <c r="Q452"/>
      <c r="R452" s="43"/>
      <c r="S452"/>
      <c r="U452" s="38"/>
    </row>
    <row r="453" spans="2:21" x14ac:dyDescent="0.3">
      <c r="B453" s="38"/>
      <c r="C453" s="40"/>
      <c r="D453" s="39"/>
      <c r="E453" s="12"/>
      <c r="G453" s="39"/>
      <c r="H453" s="12"/>
      <c r="J453" s="39"/>
      <c r="K453"/>
      <c r="L453" s="43"/>
      <c r="M453"/>
      <c r="N453"/>
      <c r="O453" s="43"/>
      <c r="P453"/>
      <c r="Q453"/>
      <c r="R453" s="43"/>
      <c r="S453"/>
      <c r="U453" s="38"/>
    </row>
    <row r="454" spans="2:21" x14ac:dyDescent="0.3">
      <c r="B454" s="38"/>
      <c r="C454" s="40"/>
      <c r="D454" s="39"/>
      <c r="E454" s="12"/>
      <c r="G454" s="39"/>
      <c r="H454" s="12"/>
      <c r="J454" s="39"/>
      <c r="K454"/>
      <c r="L454" s="43"/>
      <c r="M454"/>
      <c r="N454"/>
      <c r="O454" s="43"/>
      <c r="P454"/>
      <c r="Q454"/>
      <c r="R454" s="43"/>
      <c r="S454"/>
      <c r="U454" s="38"/>
    </row>
    <row r="455" spans="2:21" x14ac:dyDescent="0.3">
      <c r="B455" s="38"/>
      <c r="C455" s="40"/>
      <c r="D455" s="39"/>
      <c r="E455" s="12"/>
      <c r="G455" s="39"/>
      <c r="H455" s="12"/>
      <c r="J455" s="39"/>
      <c r="K455"/>
      <c r="L455" s="43"/>
      <c r="M455"/>
      <c r="N455"/>
      <c r="O455" s="43"/>
      <c r="P455"/>
      <c r="Q455"/>
      <c r="R455" s="43"/>
      <c r="S455"/>
      <c r="U455" s="38"/>
    </row>
    <row r="456" spans="2:21" x14ac:dyDescent="0.3">
      <c r="B456" s="38"/>
      <c r="C456" s="40"/>
      <c r="D456" s="39"/>
      <c r="E456" s="12"/>
      <c r="G456" s="39"/>
      <c r="H456" s="12"/>
      <c r="J456" s="39"/>
      <c r="K456"/>
      <c r="L456" s="43"/>
      <c r="M456"/>
      <c r="N456"/>
      <c r="O456" s="43"/>
      <c r="P456"/>
      <c r="Q456"/>
      <c r="R456" s="43"/>
      <c r="S456"/>
      <c r="U456" s="38"/>
    </row>
    <row r="457" spans="2:21" x14ac:dyDescent="0.3">
      <c r="B457" s="38"/>
      <c r="C457" s="40"/>
      <c r="D457" s="39"/>
      <c r="E457" s="12"/>
      <c r="G457" s="39"/>
      <c r="H457" s="12"/>
      <c r="J457" s="39"/>
      <c r="K457"/>
      <c r="L457" s="43"/>
      <c r="M457"/>
      <c r="N457"/>
      <c r="O457" s="43"/>
      <c r="P457"/>
      <c r="Q457"/>
      <c r="R457" s="43"/>
      <c r="S457"/>
      <c r="U457" s="38"/>
    </row>
    <row r="458" spans="2:21" x14ac:dyDescent="0.3">
      <c r="B458" s="38"/>
      <c r="C458" s="40"/>
      <c r="D458" s="39"/>
      <c r="E458" s="12"/>
      <c r="G458" s="39"/>
      <c r="H458" s="12"/>
      <c r="J458" s="39"/>
      <c r="K458"/>
      <c r="L458" s="43"/>
      <c r="M458"/>
      <c r="N458"/>
      <c r="O458" s="43"/>
      <c r="P458"/>
      <c r="Q458"/>
      <c r="R458" s="43"/>
      <c r="S458"/>
      <c r="U458" s="38"/>
    </row>
    <row r="459" spans="2:21" x14ac:dyDescent="0.3">
      <c r="B459" s="38"/>
      <c r="C459" s="40"/>
      <c r="D459" s="39"/>
      <c r="E459" s="12"/>
      <c r="G459" s="39"/>
      <c r="H459" s="12"/>
      <c r="J459" s="39"/>
      <c r="K459"/>
      <c r="L459" s="43"/>
      <c r="M459"/>
      <c r="N459"/>
      <c r="O459" s="43"/>
      <c r="P459"/>
      <c r="Q459"/>
      <c r="R459" s="43"/>
      <c r="S459"/>
      <c r="U459" s="38"/>
    </row>
    <row r="460" spans="2:21" x14ac:dyDescent="0.3">
      <c r="B460" s="38"/>
      <c r="C460" s="40"/>
      <c r="D460" s="39"/>
      <c r="E460" s="12"/>
      <c r="G460" s="39"/>
      <c r="H460" s="12"/>
      <c r="J460" s="39"/>
      <c r="K460"/>
      <c r="L460" s="43"/>
      <c r="M460"/>
      <c r="N460"/>
      <c r="O460" s="43"/>
      <c r="P460"/>
      <c r="Q460"/>
      <c r="R460" s="43"/>
      <c r="S460"/>
      <c r="U460" s="38"/>
    </row>
    <row r="461" spans="2:21" x14ac:dyDescent="0.3">
      <c r="B461" s="38"/>
      <c r="C461" s="40"/>
      <c r="D461" s="39"/>
      <c r="E461" s="12"/>
      <c r="G461" s="39"/>
      <c r="H461" s="12"/>
      <c r="J461" s="39"/>
      <c r="K461"/>
      <c r="L461" s="43"/>
      <c r="M461"/>
      <c r="N461"/>
      <c r="O461" s="43"/>
      <c r="P461"/>
      <c r="Q461"/>
      <c r="R461" s="43"/>
      <c r="S461"/>
      <c r="U461" s="38"/>
    </row>
    <row r="462" spans="2:21" x14ac:dyDescent="0.3">
      <c r="B462" s="38"/>
      <c r="C462" s="40"/>
      <c r="D462" s="39"/>
      <c r="E462" s="12"/>
      <c r="G462" s="39"/>
      <c r="H462" s="12"/>
      <c r="J462" s="39"/>
      <c r="K462"/>
      <c r="L462" s="43"/>
      <c r="M462"/>
      <c r="N462"/>
      <c r="O462" s="43"/>
      <c r="P462"/>
      <c r="Q462"/>
      <c r="R462" s="43"/>
      <c r="S462"/>
      <c r="U462" s="38"/>
    </row>
    <row r="463" spans="2:21" x14ac:dyDescent="0.3">
      <c r="B463" s="38"/>
      <c r="C463" s="40"/>
      <c r="D463" s="39"/>
      <c r="E463" s="12"/>
      <c r="G463" s="39"/>
      <c r="H463" s="12"/>
      <c r="J463" s="39"/>
      <c r="K463"/>
      <c r="L463" s="43"/>
      <c r="M463"/>
      <c r="N463"/>
      <c r="O463" s="43"/>
      <c r="P463"/>
      <c r="Q463"/>
      <c r="R463" s="43"/>
      <c r="S463"/>
      <c r="U463" s="38"/>
    </row>
    <row r="464" spans="2:21" x14ac:dyDescent="0.3">
      <c r="B464" s="38"/>
      <c r="C464" s="40"/>
      <c r="D464" s="39"/>
      <c r="E464" s="12"/>
      <c r="G464" s="39"/>
      <c r="H464" s="12"/>
      <c r="J464" s="39"/>
      <c r="K464"/>
      <c r="L464" s="43"/>
      <c r="M464"/>
      <c r="N464"/>
      <c r="O464" s="43"/>
      <c r="P464"/>
      <c r="Q464"/>
      <c r="R464" s="43"/>
      <c r="S464"/>
      <c r="U464" s="38"/>
    </row>
    <row r="465" spans="2:21" x14ac:dyDescent="0.3">
      <c r="B465" s="38"/>
      <c r="C465" s="40"/>
      <c r="D465" s="39"/>
      <c r="E465" s="12"/>
      <c r="G465" s="39"/>
      <c r="H465" s="12"/>
      <c r="J465" s="39"/>
      <c r="K465"/>
      <c r="L465" s="43"/>
      <c r="M465"/>
      <c r="N465"/>
      <c r="O465" s="43"/>
      <c r="P465"/>
      <c r="Q465"/>
      <c r="R465" s="43"/>
      <c r="S465"/>
      <c r="U465" s="38"/>
    </row>
    <row r="466" spans="2:21" x14ac:dyDescent="0.3">
      <c r="B466" s="38"/>
      <c r="C466" s="40"/>
      <c r="D466" s="39"/>
      <c r="E466" s="12"/>
      <c r="G466" s="39"/>
      <c r="H466" s="12"/>
      <c r="J466" s="39"/>
      <c r="K466"/>
      <c r="L466" s="43"/>
      <c r="M466"/>
      <c r="N466"/>
      <c r="O466" s="43"/>
      <c r="P466"/>
      <c r="Q466"/>
      <c r="R466" s="43"/>
      <c r="S466"/>
      <c r="U466" s="38"/>
    </row>
    <row r="467" spans="2:21" x14ac:dyDescent="0.3">
      <c r="B467" s="38"/>
      <c r="C467" s="40"/>
      <c r="D467" s="39"/>
      <c r="E467" s="12"/>
      <c r="G467" s="39"/>
      <c r="H467" s="12"/>
      <c r="J467" s="39"/>
      <c r="K467"/>
      <c r="L467" s="43"/>
      <c r="M467"/>
      <c r="N467"/>
      <c r="O467" s="43"/>
      <c r="P467"/>
      <c r="Q467"/>
      <c r="R467" s="43"/>
      <c r="S467"/>
      <c r="U467" s="38"/>
    </row>
    <row r="468" spans="2:21" x14ac:dyDescent="0.3">
      <c r="B468" s="38"/>
      <c r="C468" s="40"/>
      <c r="D468" s="39"/>
      <c r="E468" s="12"/>
      <c r="G468" s="39"/>
      <c r="H468" s="12"/>
      <c r="J468" s="39"/>
      <c r="K468"/>
      <c r="L468" s="43"/>
      <c r="M468"/>
      <c r="N468"/>
      <c r="O468" s="43"/>
      <c r="P468"/>
      <c r="Q468"/>
      <c r="R468" s="43"/>
      <c r="S468"/>
      <c r="U468" s="38"/>
    </row>
    <row r="469" spans="2:21" x14ac:dyDescent="0.3">
      <c r="B469" s="38"/>
      <c r="C469" s="40"/>
      <c r="D469" s="39"/>
      <c r="E469" s="12"/>
      <c r="G469" s="39"/>
      <c r="H469" s="12"/>
      <c r="J469" s="39"/>
      <c r="K469"/>
      <c r="L469" s="43"/>
      <c r="M469"/>
      <c r="N469"/>
      <c r="O469" s="43"/>
      <c r="P469"/>
      <c r="Q469"/>
      <c r="R469" s="43"/>
      <c r="S469"/>
      <c r="U469" s="38"/>
    </row>
    <row r="470" spans="2:21" x14ac:dyDescent="0.3">
      <c r="B470" s="38"/>
      <c r="C470" s="40"/>
      <c r="D470" s="39"/>
      <c r="E470" s="12"/>
      <c r="G470" s="39"/>
      <c r="H470" s="12"/>
      <c r="J470" s="39"/>
      <c r="K470"/>
      <c r="L470" s="43"/>
      <c r="M470"/>
      <c r="N470"/>
      <c r="O470" s="43"/>
      <c r="P470"/>
      <c r="Q470"/>
      <c r="R470" s="43"/>
      <c r="S470"/>
      <c r="U470" s="38"/>
    </row>
    <row r="471" spans="2:21" x14ac:dyDescent="0.3">
      <c r="B471" s="38"/>
      <c r="C471" s="40"/>
      <c r="D471" s="39"/>
      <c r="E471" s="12"/>
      <c r="G471" s="39"/>
      <c r="H471" s="12"/>
      <c r="J471" s="39"/>
      <c r="K471"/>
      <c r="L471" s="43"/>
      <c r="M471"/>
      <c r="N471"/>
      <c r="O471" s="43"/>
      <c r="P471"/>
      <c r="Q471"/>
      <c r="R471" s="43"/>
      <c r="S471"/>
      <c r="U471" s="38"/>
    </row>
    <row r="472" spans="2:21" x14ac:dyDescent="0.3">
      <c r="B472" s="38"/>
      <c r="C472" s="40"/>
      <c r="D472" s="39"/>
      <c r="E472" s="12"/>
      <c r="G472" s="39"/>
      <c r="H472" s="12"/>
      <c r="J472" s="39"/>
      <c r="K472"/>
      <c r="L472" s="43"/>
      <c r="M472"/>
      <c r="N472"/>
      <c r="O472" s="43"/>
      <c r="P472"/>
      <c r="Q472"/>
      <c r="R472" s="43"/>
      <c r="S472"/>
      <c r="U472" s="38"/>
    </row>
    <row r="473" spans="2:21" x14ac:dyDescent="0.3">
      <c r="B473" s="38"/>
      <c r="C473" s="40"/>
      <c r="D473" s="39"/>
      <c r="E473" s="12"/>
      <c r="G473" s="39"/>
      <c r="H473" s="12"/>
      <c r="J473" s="39"/>
      <c r="K473"/>
      <c r="L473" s="43"/>
      <c r="M473"/>
      <c r="N473"/>
      <c r="O473" s="43"/>
      <c r="P473"/>
      <c r="Q473"/>
      <c r="R473" s="43"/>
      <c r="S473"/>
      <c r="U473" s="38"/>
    </row>
    <row r="474" spans="2:21" x14ac:dyDescent="0.3">
      <c r="B474" s="38"/>
      <c r="C474" s="40"/>
      <c r="D474" s="39"/>
      <c r="E474" s="12"/>
      <c r="G474" s="39"/>
      <c r="H474" s="12"/>
      <c r="J474" s="39"/>
      <c r="K474"/>
      <c r="L474" s="43"/>
      <c r="M474"/>
      <c r="N474"/>
      <c r="O474" s="43"/>
      <c r="P474"/>
      <c r="Q474"/>
      <c r="R474" s="43"/>
      <c r="S474"/>
      <c r="U474" s="38"/>
    </row>
    <row r="475" spans="2:21" x14ac:dyDescent="0.3">
      <c r="B475" s="38"/>
      <c r="C475" s="40"/>
      <c r="D475" s="39"/>
      <c r="E475" s="12"/>
      <c r="G475" s="39"/>
      <c r="H475" s="12"/>
      <c r="J475" s="39"/>
      <c r="K475"/>
      <c r="L475" s="43"/>
      <c r="M475"/>
      <c r="N475"/>
      <c r="O475" s="43"/>
      <c r="P475"/>
      <c r="Q475"/>
      <c r="R475" s="43"/>
      <c r="S475"/>
      <c r="U475" s="38"/>
    </row>
    <row r="476" spans="2:21" x14ac:dyDescent="0.3">
      <c r="B476" s="38"/>
      <c r="C476" s="40"/>
      <c r="D476" s="39"/>
      <c r="E476" s="12"/>
      <c r="G476" s="39"/>
      <c r="H476" s="12"/>
      <c r="J476" s="39"/>
      <c r="K476"/>
      <c r="L476" s="43"/>
      <c r="M476"/>
      <c r="N476"/>
      <c r="O476" s="43"/>
      <c r="P476"/>
      <c r="Q476"/>
      <c r="R476" s="43"/>
      <c r="S476"/>
      <c r="U476" s="38"/>
    </row>
    <row r="477" spans="2:21" x14ac:dyDescent="0.3">
      <c r="B477" s="38"/>
      <c r="C477" s="40"/>
      <c r="D477" s="39"/>
      <c r="E477" s="12"/>
      <c r="G477" s="39"/>
      <c r="H477" s="12"/>
      <c r="J477" s="39"/>
      <c r="K477"/>
      <c r="L477" s="43"/>
      <c r="M477"/>
      <c r="N477"/>
      <c r="O477" s="43"/>
      <c r="P477"/>
      <c r="Q477"/>
      <c r="R477" s="43"/>
      <c r="S477"/>
      <c r="U477" s="38"/>
    </row>
    <row r="478" spans="2:21" x14ac:dyDescent="0.3">
      <c r="B478" s="38"/>
      <c r="C478" s="40"/>
      <c r="D478" s="39"/>
      <c r="E478" s="12"/>
      <c r="G478" s="39"/>
      <c r="H478" s="12"/>
      <c r="J478" s="39"/>
      <c r="K478"/>
      <c r="L478" s="43"/>
      <c r="M478"/>
      <c r="N478"/>
      <c r="O478" s="43"/>
      <c r="P478"/>
      <c r="Q478"/>
      <c r="R478" s="43"/>
      <c r="S478"/>
      <c r="U478" s="38"/>
    </row>
    <row r="479" spans="2:21" x14ac:dyDescent="0.3">
      <c r="B479" s="38"/>
      <c r="C479" s="40"/>
      <c r="D479" s="39"/>
      <c r="E479" s="12"/>
      <c r="G479" s="39"/>
      <c r="H479" s="12"/>
      <c r="J479" s="39"/>
      <c r="K479"/>
      <c r="L479" s="43"/>
      <c r="M479"/>
      <c r="N479"/>
      <c r="O479" s="43"/>
      <c r="P479"/>
      <c r="Q479"/>
      <c r="R479" s="43"/>
      <c r="S479"/>
      <c r="U479" s="38"/>
    </row>
    <row r="480" spans="2:21" x14ac:dyDescent="0.3">
      <c r="B480" s="38"/>
      <c r="C480" s="40"/>
      <c r="D480" s="39"/>
      <c r="E480" s="12"/>
      <c r="G480" s="39"/>
      <c r="H480" s="12"/>
      <c r="J480" s="39"/>
      <c r="K480"/>
      <c r="L480" s="43"/>
      <c r="M480"/>
      <c r="N480"/>
      <c r="O480" s="43"/>
      <c r="P480"/>
      <c r="Q480"/>
      <c r="R480" s="43"/>
      <c r="S480"/>
      <c r="U480" s="38"/>
    </row>
    <row r="481" spans="2:21" x14ac:dyDescent="0.3">
      <c r="B481" s="38"/>
      <c r="C481" s="40"/>
      <c r="D481" s="39"/>
      <c r="E481" s="12"/>
      <c r="G481" s="39"/>
      <c r="H481" s="12"/>
      <c r="J481" s="39"/>
      <c r="K481"/>
      <c r="L481" s="43"/>
      <c r="M481"/>
      <c r="N481"/>
      <c r="O481" s="43"/>
      <c r="P481"/>
      <c r="Q481"/>
      <c r="R481" s="43"/>
      <c r="S481"/>
      <c r="U481" s="38"/>
    </row>
    <row r="482" spans="2:21" x14ac:dyDescent="0.3">
      <c r="B482" s="38"/>
      <c r="C482" s="40"/>
      <c r="D482" s="39"/>
      <c r="E482" s="12"/>
      <c r="G482" s="39"/>
      <c r="H482" s="12"/>
      <c r="J482" s="39"/>
      <c r="K482"/>
      <c r="L482" s="43"/>
      <c r="M482"/>
      <c r="N482"/>
      <c r="O482" s="43"/>
      <c r="P482"/>
      <c r="Q482"/>
      <c r="R482" s="43"/>
      <c r="S482"/>
      <c r="U482" s="38"/>
    </row>
    <row r="483" spans="2:21" x14ac:dyDescent="0.3">
      <c r="B483" s="38"/>
      <c r="C483" s="40"/>
      <c r="D483" s="39"/>
      <c r="E483" s="12"/>
      <c r="G483" s="39"/>
      <c r="H483" s="12"/>
      <c r="J483" s="39"/>
      <c r="K483"/>
      <c r="L483" s="43"/>
      <c r="M483"/>
      <c r="N483"/>
      <c r="O483" s="43"/>
      <c r="P483"/>
      <c r="Q483"/>
      <c r="R483" s="43"/>
      <c r="S483"/>
      <c r="U483" s="38"/>
    </row>
    <row r="484" spans="2:21" x14ac:dyDescent="0.3">
      <c r="B484" s="38"/>
      <c r="C484" s="40"/>
      <c r="D484" s="39"/>
      <c r="E484" s="12"/>
      <c r="G484" s="39"/>
      <c r="H484" s="12"/>
      <c r="J484" s="39"/>
      <c r="K484"/>
      <c r="L484" s="43"/>
      <c r="M484"/>
      <c r="N484"/>
      <c r="O484" s="43"/>
      <c r="P484"/>
      <c r="Q484"/>
      <c r="R484" s="43"/>
      <c r="S484"/>
      <c r="U484" s="38"/>
    </row>
    <row r="485" spans="2:21" x14ac:dyDescent="0.3">
      <c r="B485" s="38"/>
      <c r="C485" s="40"/>
      <c r="D485" s="39"/>
      <c r="E485" s="12"/>
      <c r="G485" s="39"/>
      <c r="H485" s="12"/>
      <c r="J485" s="39"/>
      <c r="K485"/>
      <c r="L485" s="43"/>
      <c r="M485"/>
      <c r="N485"/>
      <c r="O485" s="43"/>
      <c r="P485"/>
      <c r="Q485"/>
      <c r="R485" s="43"/>
      <c r="S485"/>
      <c r="U485" s="38"/>
    </row>
    <row r="486" spans="2:21" x14ac:dyDescent="0.3">
      <c r="B486" s="38"/>
      <c r="C486" s="40"/>
      <c r="D486" s="39"/>
      <c r="E486" s="12"/>
      <c r="G486" s="39"/>
      <c r="H486" s="12"/>
      <c r="J486" s="39"/>
      <c r="K486"/>
      <c r="L486" s="43"/>
      <c r="M486"/>
      <c r="N486"/>
      <c r="O486" s="43"/>
      <c r="P486"/>
      <c r="Q486"/>
      <c r="R486" s="43"/>
      <c r="S486"/>
      <c r="U486" s="38"/>
    </row>
    <row r="487" spans="2:21" x14ac:dyDescent="0.3">
      <c r="B487" s="38"/>
      <c r="C487" s="40"/>
      <c r="D487" s="39"/>
      <c r="E487" s="12"/>
      <c r="G487" s="39"/>
      <c r="H487" s="12"/>
      <c r="J487" s="39"/>
      <c r="K487"/>
      <c r="L487" s="43"/>
      <c r="M487"/>
      <c r="N487"/>
      <c r="O487" s="43"/>
      <c r="P487"/>
      <c r="Q487"/>
      <c r="R487" s="43"/>
      <c r="S487"/>
      <c r="U487" s="38"/>
    </row>
    <row r="488" spans="2:21" x14ac:dyDescent="0.3">
      <c r="B488" s="38"/>
      <c r="C488" s="40"/>
      <c r="D488" s="39"/>
      <c r="E488" s="12"/>
      <c r="G488" s="39"/>
      <c r="H488" s="12"/>
      <c r="J488" s="39"/>
      <c r="K488"/>
      <c r="L488" s="43"/>
      <c r="M488"/>
      <c r="N488"/>
      <c r="O488" s="43"/>
      <c r="P488"/>
      <c r="Q488"/>
      <c r="R488" s="43"/>
      <c r="S488"/>
      <c r="U488" s="38"/>
    </row>
    <row r="489" spans="2:21" x14ac:dyDescent="0.3">
      <c r="B489" s="38"/>
      <c r="C489" s="40"/>
      <c r="D489" s="39"/>
      <c r="E489" s="12"/>
      <c r="G489" s="39"/>
      <c r="H489" s="12"/>
      <c r="J489" s="39"/>
      <c r="K489"/>
      <c r="L489" s="43"/>
      <c r="M489"/>
      <c r="N489"/>
      <c r="O489" s="43"/>
      <c r="P489"/>
      <c r="Q489"/>
      <c r="R489" s="43"/>
      <c r="S489"/>
      <c r="U489" s="38"/>
    </row>
    <row r="490" spans="2:21" x14ac:dyDescent="0.3">
      <c r="B490" s="38"/>
      <c r="C490" s="40"/>
      <c r="D490" s="39"/>
      <c r="E490" s="12"/>
      <c r="G490" s="39"/>
      <c r="H490" s="12"/>
      <c r="J490" s="39"/>
      <c r="K490"/>
      <c r="L490" s="43"/>
      <c r="M490"/>
      <c r="N490"/>
      <c r="O490" s="43"/>
      <c r="P490"/>
      <c r="Q490"/>
      <c r="R490" s="43"/>
      <c r="S490"/>
      <c r="U490" s="38"/>
    </row>
    <row r="491" spans="2:21" x14ac:dyDescent="0.3">
      <c r="B491" s="38"/>
      <c r="C491" s="40"/>
      <c r="D491" s="39"/>
      <c r="E491" s="12"/>
      <c r="G491" s="39"/>
      <c r="H491" s="12"/>
      <c r="J491" s="39"/>
      <c r="K491"/>
      <c r="L491" s="43"/>
      <c r="M491"/>
      <c r="N491"/>
      <c r="O491" s="43"/>
      <c r="P491"/>
      <c r="Q491"/>
      <c r="R491" s="43"/>
      <c r="S491"/>
      <c r="U491" s="38"/>
    </row>
    <row r="492" spans="2:21" x14ac:dyDescent="0.3">
      <c r="B492" s="38"/>
      <c r="C492" s="40"/>
      <c r="D492" s="39"/>
      <c r="E492" s="12"/>
      <c r="G492" s="39"/>
      <c r="H492" s="12"/>
      <c r="J492" s="39"/>
      <c r="K492"/>
      <c r="L492" s="43"/>
      <c r="M492"/>
      <c r="N492"/>
      <c r="O492" s="43"/>
      <c r="P492"/>
      <c r="Q492"/>
      <c r="R492" s="43"/>
      <c r="S492"/>
    </row>
    <row r="493" spans="2:21" x14ac:dyDescent="0.3">
      <c r="B493" s="38"/>
      <c r="C493" s="40"/>
      <c r="D493" s="39"/>
      <c r="E493" s="12"/>
      <c r="G493" s="39"/>
      <c r="H493" s="12"/>
      <c r="J493" s="39"/>
      <c r="K493"/>
      <c r="L493" s="43"/>
      <c r="M493"/>
      <c r="N493"/>
      <c r="O493" s="43"/>
      <c r="P493"/>
      <c r="Q493"/>
      <c r="R493" s="43"/>
      <c r="S493"/>
    </row>
    <row r="494" spans="2:21" x14ac:dyDescent="0.3">
      <c r="B494" s="38"/>
      <c r="C494" s="40"/>
      <c r="D494" s="39"/>
      <c r="E494" s="12"/>
      <c r="G494" s="39"/>
      <c r="H494" s="12"/>
      <c r="J494" s="39"/>
      <c r="K494"/>
      <c r="L494" s="43"/>
      <c r="M494"/>
      <c r="N494"/>
      <c r="O494" s="43"/>
      <c r="P494"/>
      <c r="Q494"/>
      <c r="R494" s="43"/>
      <c r="S494"/>
      <c r="U494" s="38"/>
    </row>
    <row r="495" spans="2:21" x14ac:dyDescent="0.3">
      <c r="B495" s="38"/>
      <c r="C495" s="40"/>
      <c r="D495" s="39"/>
      <c r="E495" s="12"/>
      <c r="G495" s="39"/>
      <c r="H495" s="12"/>
      <c r="J495" s="39"/>
      <c r="K495"/>
      <c r="L495" s="43"/>
      <c r="M495"/>
      <c r="N495"/>
      <c r="O495" s="43"/>
      <c r="P495"/>
      <c r="Q495"/>
      <c r="R495" s="43"/>
      <c r="S495"/>
      <c r="U495" s="38"/>
    </row>
    <row r="496" spans="2:21" x14ac:dyDescent="0.3">
      <c r="B496" s="38"/>
      <c r="C496" s="40"/>
      <c r="D496" s="39"/>
      <c r="E496" s="12"/>
      <c r="G496" s="39"/>
      <c r="H496" s="12"/>
      <c r="J496" s="39"/>
      <c r="K496"/>
      <c r="L496" s="43"/>
      <c r="M496"/>
      <c r="N496"/>
      <c r="O496" s="43"/>
      <c r="P496"/>
      <c r="Q496"/>
      <c r="R496" s="43"/>
      <c r="S496"/>
      <c r="U496" s="38"/>
    </row>
    <row r="497" spans="2:22" x14ac:dyDescent="0.3">
      <c r="B497" s="38"/>
      <c r="C497" s="40"/>
      <c r="D497" s="39"/>
      <c r="E497" s="12"/>
      <c r="G497" s="39"/>
      <c r="H497" s="12"/>
      <c r="J497" s="39"/>
      <c r="K497"/>
      <c r="L497" s="43"/>
      <c r="M497"/>
      <c r="N497"/>
      <c r="O497" s="43"/>
      <c r="P497"/>
      <c r="Q497"/>
      <c r="R497" s="43"/>
      <c r="S497"/>
      <c r="U497" s="38"/>
    </row>
    <row r="498" spans="2:22" x14ac:dyDescent="0.3">
      <c r="B498" s="38"/>
      <c r="C498" s="40"/>
      <c r="D498" s="39"/>
      <c r="E498" s="12"/>
      <c r="G498" s="39"/>
      <c r="H498" s="12"/>
      <c r="J498" s="39"/>
      <c r="K498"/>
      <c r="L498" s="43"/>
      <c r="M498"/>
      <c r="N498"/>
      <c r="O498" s="43"/>
      <c r="P498"/>
      <c r="Q498"/>
      <c r="R498" s="43"/>
      <c r="S498"/>
      <c r="U498" s="38"/>
    </row>
    <row r="499" spans="2:22" x14ac:dyDescent="0.3">
      <c r="B499" s="38"/>
      <c r="C499" s="40"/>
      <c r="D499" s="39"/>
      <c r="E499" s="12"/>
      <c r="G499" s="39"/>
      <c r="H499" s="12"/>
      <c r="J499" s="39"/>
      <c r="K499"/>
      <c r="L499" s="43"/>
      <c r="M499"/>
      <c r="N499"/>
      <c r="O499" s="43"/>
      <c r="P499"/>
      <c r="Q499"/>
      <c r="R499" s="43"/>
      <c r="S499"/>
      <c r="U499" s="38"/>
    </row>
    <row r="500" spans="2:22" x14ac:dyDescent="0.3">
      <c r="B500" s="38"/>
      <c r="C500" s="40"/>
      <c r="D500" s="39"/>
      <c r="E500" s="12"/>
      <c r="G500" s="39"/>
      <c r="H500" s="12"/>
      <c r="J500" s="39"/>
      <c r="K500"/>
      <c r="L500" s="43"/>
      <c r="M500"/>
      <c r="N500"/>
      <c r="O500" s="43"/>
      <c r="P500"/>
      <c r="Q500"/>
      <c r="R500" s="43"/>
      <c r="S500"/>
      <c r="U500" s="38"/>
    </row>
    <row r="501" spans="2:22" x14ac:dyDescent="0.3">
      <c r="B501" s="38"/>
      <c r="C501" s="40"/>
      <c r="D501" s="39"/>
      <c r="E501" s="12"/>
      <c r="G501" s="39"/>
      <c r="H501" s="12"/>
      <c r="J501" s="39"/>
      <c r="K501"/>
      <c r="L501" s="43"/>
      <c r="M501"/>
      <c r="N501"/>
      <c r="O501" s="43"/>
      <c r="P501"/>
      <c r="Q501"/>
      <c r="R501" s="43"/>
      <c r="S501"/>
      <c r="U501" s="38"/>
    </row>
    <row r="502" spans="2:22" x14ac:dyDescent="0.3">
      <c r="B502" s="38"/>
      <c r="C502" s="40"/>
      <c r="D502" s="39"/>
      <c r="E502" s="12"/>
      <c r="G502" s="39"/>
      <c r="H502" s="12"/>
      <c r="J502" s="39"/>
      <c r="K502"/>
      <c r="L502" s="43"/>
      <c r="M502"/>
      <c r="N502"/>
      <c r="O502" s="43"/>
      <c r="P502"/>
      <c r="Q502"/>
      <c r="R502" s="43"/>
      <c r="S502"/>
      <c r="U502" s="38"/>
      <c r="V502" s="39"/>
    </row>
    <row r="503" spans="2:22" x14ac:dyDescent="0.3">
      <c r="B503" s="38"/>
      <c r="C503" s="40"/>
      <c r="D503" s="39"/>
      <c r="E503" s="12"/>
      <c r="G503" s="39"/>
      <c r="H503" s="12"/>
      <c r="J503" s="39"/>
      <c r="K503"/>
      <c r="L503" s="43"/>
      <c r="M503"/>
      <c r="N503"/>
      <c r="O503" s="43"/>
      <c r="P503"/>
      <c r="Q503"/>
      <c r="R503" s="43"/>
      <c r="S503"/>
      <c r="U503" s="38"/>
      <c r="V503" s="39"/>
    </row>
    <row r="504" spans="2:22" x14ac:dyDescent="0.3">
      <c r="B504" s="38"/>
      <c r="C504" s="40"/>
      <c r="D504" s="39"/>
      <c r="E504" s="12"/>
      <c r="G504" s="39"/>
      <c r="H504" s="12"/>
      <c r="J504" s="39"/>
      <c r="K504"/>
      <c r="L504" s="43"/>
      <c r="M504"/>
      <c r="N504"/>
      <c r="O504" s="43"/>
      <c r="P504"/>
      <c r="Q504"/>
      <c r="R504" s="43"/>
      <c r="S504"/>
      <c r="U504" s="38"/>
      <c r="V504" s="39"/>
    </row>
    <row r="505" spans="2:22" x14ac:dyDescent="0.3">
      <c r="B505" s="38"/>
      <c r="C505" s="40"/>
      <c r="D505" s="39"/>
      <c r="E505" s="12"/>
      <c r="G505" s="39"/>
      <c r="H505" s="12"/>
      <c r="J505" s="39"/>
      <c r="K505"/>
      <c r="L505" s="43"/>
      <c r="M505"/>
      <c r="N505"/>
      <c r="O505" s="43"/>
      <c r="P505"/>
      <c r="Q505"/>
      <c r="R505" s="43"/>
      <c r="S505"/>
      <c r="U505" s="38"/>
      <c r="V505" s="39"/>
    </row>
    <row r="506" spans="2:22" x14ac:dyDescent="0.3">
      <c r="B506" s="38"/>
      <c r="C506" s="40"/>
      <c r="D506" s="39"/>
      <c r="E506" s="12"/>
      <c r="G506" s="39"/>
      <c r="H506" s="12"/>
      <c r="J506" s="39"/>
      <c r="K506"/>
      <c r="L506" s="43"/>
      <c r="M506"/>
      <c r="N506"/>
      <c r="O506" s="43"/>
      <c r="P506"/>
      <c r="Q506"/>
      <c r="R506" s="43"/>
      <c r="S506"/>
      <c r="U506" s="38"/>
      <c r="V506" s="39"/>
    </row>
    <row r="507" spans="2:22" x14ac:dyDescent="0.3">
      <c r="C507" s="40"/>
      <c r="D507" s="39"/>
      <c r="E507" s="11"/>
      <c r="G507" s="39"/>
      <c r="H507" s="35"/>
      <c r="J507" s="39"/>
      <c r="K507" s="19"/>
      <c r="L507" s="43"/>
      <c r="M507"/>
      <c r="N507"/>
      <c r="O507" s="43"/>
      <c r="P507"/>
      <c r="Q507"/>
      <c r="R507" s="43"/>
      <c r="S507"/>
      <c r="U507" s="38"/>
    </row>
    <row r="508" spans="2:22" x14ac:dyDescent="0.3">
      <c r="C508" s="40"/>
      <c r="D508" s="39"/>
      <c r="E508" s="11"/>
      <c r="G508" s="39"/>
      <c r="H508" s="35"/>
      <c r="J508" s="39"/>
      <c r="K508" s="19"/>
      <c r="L508" s="43"/>
      <c r="M508"/>
      <c r="N508"/>
      <c r="O508" s="43"/>
      <c r="P508"/>
      <c r="Q508"/>
      <c r="R508" s="43"/>
      <c r="S508"/>
      <c r="U508" s="38"/>
      <c r="V508" s="39"/>
    </row>
    <row r="509" spans="2:22" x14ac:dyDescent="0.3">
      <c r="C509" s="40"/>
      <c r="D509" s="39"/>
      <c r="E509" s="11"/>
      <c r="G509" s="39"/>
      <c r="H509" s="35"/>
      <c r="J509" s="39"/>
      <c r="K509" s="19"/>
      <c r="L509" s="43"/>
      <c r="M509"/>
      <c r="N509"/>
      <c r="O509" s="43"/>
      <c r="P509"/>
      <c r="Q509"/>
      <c r="R509" s="43"/>
      <c r="S509"/>
      <c r="U509" s="38"/>
      <c r="V509" s="39"/>
    </row>
    <row r="510" spans="2:22" x14ac:dyDescent="0.3">
      <c r="C510" s="40"/>
      <c r="D510" s="39"/>
      <c r="E510" s="11"/>
      <c r="G510" s="39"/>
      <c r="H510" s="35"/>
      <c r="J510" s="39"/>
      <c r="K510" s="19"/>
      <c r="L510" s="43"/>
      <c r="M510"/>
      <c r="N510"/>
      <c r="O510" s="43"/>
      <c r="P510"/>
      <c r="Q510"/>
      <c r="R510" s="43"/>
      <c r="S510"/>
      <c r="U510" s="38"/>
      <c r="V510" s="39"/>
    </row>
    <row r="511" spans="2:22" x14ac:dyDescent="0.3">
      <c r="C511" s="40"/>
      <c r="D511" s="39"/>
      <c r="E511" s="11"/>
      <c r="G511" s="39"/>
      <c r="H511" s="35"/>
      <c r="J511" s="39"/>
      <c r="K511" s="19"/>
      <c r="L511" s="43"/>
      <c r="M511"/>
      <c r="N511"/>
      <c r="O511" s="43"/>
      <c r="P511"/>
      <c r="Q511"/>
      <c r="R511" s="43"/>
      <c r="S511"/>
      <c r="U511" s="38"/>
      <c r="V511" s="39"/>
    </row>
    <row r="512" spans="2:22" x14ac:dyDescent="0.3">
      <c r="C512" s="40"/>
      <c r="D512" s="39"/>
      <c r="E512" s="11"/>
      <c r="G512" s="39"/>
      <c r="H512" s="35"/>
      <c r="J512" s="39"/>
      <c r="K512" s="19"/>
      <c r="L512" s="43"/>
      <c r="M512"/>
      <c r="N512"/>
      <c r="O512" s="43"/>
      <c r="P512"/>
      <c r="Q512"/>
      <c r="R512" s="43"/>
      <c r="S512"/>
      <c r="U512" s="38"/>
      <c r="V512" s="39"/>
    </row>
    <row r="513" spans="2:34" x14ac:dyDescent="0.3">
      <c r="C513" s="40"/>
      <c r="D513" s="39"/>
      <c r="E513" s="11"/>
      <c r="G513" s="39"/>
      <c r="H513" s="35"/>
      <c r="J513" s="39"/>
      <c r="K513" s="19"/>
      <c r="L513" s="43"/>
      <c r="M513"/>
      <c r="N513"/>
      <c r="O513" s="43"/>
      <c r="P513"/>
      <c r="Q513"/>
      <c r="R513" s="43"/>
      <c r="S513"/>
      <c r="U513" s="38"/>
      <c r="V513" s="39"/>
    </row>
    <row r="514" spans="2:34" x14ac:dyDescent="0.3">
      <c r="C514" s="40"/>
      <c r="D514" s="39"/>
      <c r="E514" s="11"/>
      <c r="G514" s="39"/>
      <c r="H514" s="35"/>
      <c r="J514" s="39"/>
      <c r="K514" s="19"/>
      <c r="L514" s="43"/>
      <c r="M514"/>
      <c r="N514"/>
      <c r="O514" s="43"/>
      <c r="P514"/>
      <c r="Q514"/>
      <c r="R514" s="43"/>
      <c r="S514"/>
      <c r="U514" s="38"/>
      <c r="V514" s="39"/>
    </row>
    <row r="515" spans="2:34" x14ac:dyDescent="0.3">
      <c r="B515" s="38"/>
      <c r="C515" s="40"/>
      <c r="D515" s="39"/>
      <c r="E515" s="12"/>
      <c r="G515" s="39"/>
      <c r="H515" s="12"/>
      <c r="J515" s="39"/>
      <c r="K515"/>
      <c r="L515" s="43"/>
      <c r="M515"/>
      <c r="N515"/>
      <c r="O515" s="43"/>
      <c r="P515"/>
      <c r="Q515"/>
      <c r="R515" s="43"/>
      <c r="S515"/>
      <c r="U515" s="38"/>
      <c r="V515" s="39"/>
      <c r="W515" s="38"/>
      <c r="X515" s="39"/>
      <c r="Y515" s="38"/>
      <c r="AA515" s="38"/>
      <c r="AB515" s="39"/>
      <c r="AC515" s="39"/>
      <c r="AD515" s="38"/>
      <c r="AF515" s="38"/>
      <c r="AG515" s="39"/>
      <c r="AH515" s="38"/>
    </row>
    <row r="516" spans="2:34" x14ac:dyDescent="0.3">
      <c r="B516" s="38"/>
      <c r="C516" s="40"/>
      <c r="D516" s="39"/>
      <c r="E516" s="12"/>
      <c r="G516" s="39"/>
      <c r="H516" s="12"/>
      <c r="J516" s="39"/>
      <c r="K516"/>
      <c r="L516" s="43"/>
      <c r="M516"/>
      <c r="N516"/>
      <c r="O516" s="43"/>
      <c r="P516"/>
      <c r="Q516"/>
      <c r="R516" s="43"/>
      <c r="S516"/>
      <c r="U516" s="38"/>
      <c r="V516" s="39"/>
      <c r="W516" s="38"/>
      <c r="X516" s="39"/>
      <c r="Y516" s="38"/>
      <c r="AA516" s="38"/>
      <c r="AB516" s="39"/>
      <c r="AC516" s="39"/>
      <c r="AD516" s="38"/>
      <c r="AF516" s="38"/>
      <c r="AG516" s="39"/>
      <c r="AH516" s="38"/>
    </row>
    <row r="517" spans="2:34" x14ac:dyDescent="0.3">
      <c r="B517" s="38"/>
      <c r="C517" s="40"/>
      <c r="D517" s="39"/>
      <c r="E517" s="12"/>
      <c r="G517" s="39"/>
      <c r="H517" s="12"/>
      <c r="J517" s="39"/>
      <c r="K517"/>
      <c r="L517" s="43"/>
      <c r="M517"/>
      <c r="N517"/>
      <c r="O517" s="43"/>
      <c r="P517"/>
      <c r="Q517"/>
      <c r="R517" s="43"/>
      <c r="S517"/>
      <c r="U517" s="38"/>
      <c r="V517" s="39"/>
      <c r="W517" s="38"/>
      <c r="X517" s="39"/>
      <c r="Y517" s="38"/>
      <c r="AA517" s="38"/>
      <c r="AB517" s="39"/>
      <c r="AC517" s="39"/>
      <c r="AD517" s="38"/>
      <c r="AF517" s="38"/>
      <c r="AG517" s="39"/>
      <c r="AH517" s="38"/>
    </row>
    <row r="518" spans="2:34" x14ac:dyDescent="0.3">
      <c r="B518" s="38"/>
      <c r="C518" s="40"/>
      <c r="D518" s="39"/>
      <c r="E518" s="12"/>
      <c r="G518" s="39"/>
      <c r="H518" s="12"/>
      <c r="J518" s="39"/>
      <c r="K518"/>
      <c r="L518" s="43"/>
      <c r="M518"/>
      <c r="N518"/>
      <c r="O518" s="43"/>
      <c r="P518"/>
      <c r="Q518"/>
      <c r="R518" s="43"/>
      <c r="S518"/>
      <c r="U518" s="38"/>
      <c r="V518" s="39"/>
      <c r="W518" s="38"/>
      <c r="X518" s="39"/>
      <c r="Y518" s="38"/>
      <c r="AA518" s="38"/>
      <c r="AB518" s="39"/>
      <c r="AC518" s="39"/>
      <c r="AD518" s="38"/>
      <c r="AF518" s="38"/>
      <c r="AG518" s="39"/>
      <c r="AH518" s="38"/>
    </row>
    <row r="519" spans="2:34" x14ac:dyDescent="0.3">
      <c r="B519" s="38"/>
      <c r="C519" s="40"/>
      <c r="D519" s="39"/>
      <c r="E519" s="12"/>
      <c r="G519" s="39"/>
      <c r="H519" s="12"/>
      <c r="J519" s="39"/>
      <c r="K519"/>
      <c r="L519" s="43"/>
      <c r="M519"/>
      <c r="N519"/>
      <c r="O519" s="43"/>
      <c r="P519"/>
      <c r="Q519"/>
      <c r="R519" s="43"/>
      <c r="S519"/>
      <c r="U519" s="38"/>
      <c r="V519" s="39"/>
      <c r="W519" s="38"/>
      <c r="X519" s="39"/>
      <c r="Y519" s="38"/>
      <c r="AA519" s="38"/>
      <c r="AB519" s="39"/>
      <c r="AC519" s="39"/>
      <c r="AD519" s="38"/>
      <c r="AF519" s="38"/>
      <c r="AG519" s="39"/>
      <c r="AH519" s="38"/>
    </row>
    <row r="520" spans="2:34" x14ac:dyDescent="0.3">
      <c r="B520" s="38"/>
      <c r="C520" s="40"/>
      <c r="D520" s="39"/>
      <c r="E520" s="12"/>
      <c r="G520" s="39"/>
      <c r="H520" s="12"/>
      <c r="J520" s="39"/>
      <c r="K520"/>
      <c r="L520" s="43"/>
      <c r="M520"/>
      <c r="N520"/>
      <c r="O520" s="43"/>
      <c r="P520"/>
      <c r="Q520"/>
      <c r="R520" s="43"/>
      <c r="S520"/>
      <c r="U520" s="38"/>
      <c r="V520" s="39"/>
      <c r="W520" s="38"/>
      <c r="X520" s="39"/>
      <c r="Y520" s="38"/>
      <c r="AA520" s="38"/>
      <c r="AB520" s="39"/>
      <c r="AC520" s="39"/>
      <c r="AD520" s="38"/>
      <c r="AF520" s="38"/>
      <c r="AG520" s="39"/>
      <c r="AH520" s="38"/>
    </row>
    <row r="521" spans="2:34" x14ac:dyDescent="0.3">
      <c r="B521" s="38"/>
      <c r="C521" s="40"/>
      <c r="D521" s="39"/>
      <c r="E521" s="12"/>
      <c r="G521" s="39"/>
      <c r="H521" s="12"/>
      <c r="J521" s="39"/>
      <c r="K521"/>
      <c r="L521" s="43"/>
      <c r="M521"/>
      <c r="N521"/>
      <c r="O521" s="43"/>
      <c r="P521"/>
      <c r="Q521"/>
      <c r="R521" s="43"/>
      <c r="S521"/>
      <c r="U521" s="38"/>
      <c r="V521" s="39"/>
      <c r="W521" s="38"/>
      <c r="X521" s="39"/>
      <c r="Y521" s="38"/>
      <c r="AA521" s="38"/>
      <c r="AB521" s="39"/>
      <c r="AC521" s="39"/>
      <c r="AD521" s="38"/>
      <c r="AF521" s="38"/>
      <c r="AG521" s="39"/>
      <c r="AH521" s="38"/>
    </row>
    <row r="522" spans="2:34" x14ac:dyDescent="0.3">
      <c r="B522" s="38"/>
      <c r="C522" s="40"/>
      <c r="D522" s="39"/>
      <c r="E522" s="12"/>
      <c r="G522" s="39"/>
      <c r="H522" s="12"/>
      <c r="J522" s="39"/>
      <c r="K522"/>
      <c r="L522" s="43"/>
      <c r="M522"/>
      <c r="N522"/>
      <c r="O522" s="43"/>
      <c r="P522"/>
      <c r="Q522"/>
      <c r="R522" s="43"/>
      <c r="S522"/>
      <c r="U522" s="38"/>
      <c r="V522" s="39"/>
      <c r="W522" s="38"/>
      <c r="X522" s="39"/>
      <c r="Y522" s="38"/>
      <c r="AA522" s="38"/>
      <c r="AB522" s="39"/>
      <c r="AC522" s="39"/>
      <c r="AD522" s="38"/>
      <c r="AF522" s="38"/>
      <c r="AG522" s="39"/>
      <c r="AH522" s="38"/>
    </row>
    <row r="523" spans="2:34" x14ac:dyDescent="0.3">
      <c r="B523" s="38"/>
      <c r="C523" s="40"/>
      <c r="D523" s="39"/>
      <c r="E523" s="12"/>
      <c r="G523" s="39"/>
      <c r="H523" s="12"/>
      <c r="J523" s="39"/>
      <c r="K523"/>
      <c r="L523" s="43"/>
      <c r="M523"/>
      <c r="N523"/>
      <c r="O523" s="43"/>
      <c r="P523"/>
      <c r="Q523"/>
      <c r="R523" s="43"/>
      <c r="S523"/>
      <c r="U523" s="38"/>
      <c r="V523" s="39"/>
      <c r="W523" s="38"/>
      <c r="X523" s="39"/>
      <c r="Y523" s="38"/>
      <c r="AA523" s="38"/>
      <c r="AB523" s="39"/>
      <c r="AC523" s="39"/>
      <c r="AD523" s="38"/>
      <c r="AF523" s="38"/>
      <c r="AG523" s="39"/>
      <c r="AH523" s="38"/>
    </row>
    <row r="524" spans="2:34" x14ac:dyDescent="0.3">
      <c r="B524" s="38"/>
      <c r="C524" s="40"/>
      <c r="D524" s="39"/>
      <c r="E524" s="12"/>
      <c r="G524" s="39"/>
      <c r="H524" s="12"/>
      <c r="J524" s="39"/>
      <c r="K524"/>
      <c r="L524" s="43"/>
      <c r="M524"/>
      <c r="N524"/>
      <c r="O524" s="43"/>
      <c r="P524"/>
      <c r="Q524"/>
      <c r="R524" s="43"/>
      <c r="S524"/>
      <c r="U524" s="38"/>
      <c r="V524" s="39"/>
      <c r="W524" s="38"/>
      <c r="X524" s="39"/>
      <c r="Y524" s="38"/>
      <c r="AA524" s="38"/>
      <c r="AB524" s="39"/>
      <c r="AC524" s="39"/>
      <c r="AD524" s="38"/>
      <c r="AF524" s="38"/>
      <c r="AG524" s="39"/>
      <c r="AH524" s="38"/>
    </row>
    <row r="525" spans="2:34" x14ac:dyDescent="0.3">
      <c r="B525" s="38"/>
      <c r="C525" s="40"/>
      <c r="D525" s="39"/>
      <c r="E525" s="12"/>
      <c r="G525" s="39"/>
      <c r="H525" s="12"/>
      <c r="J525" s="39"/>
      <c r="K525"/>
      <c r="L525" s="43"/>
      <c r="M525"/>
      <c r="N525"/>
      <c r="O525" s="43"/>
      <c r="P525"/>
      <c r="Q525"/>
      <c r="R525" s="43"/>
      <c r="S525"/>
      <c r="U525" s="38"/>
      <c r="V525" s="39"/>
      <c r="W525" s="38"/>
      <c r="X525" s="39"/>
      <c r="Y525" s="38"/>
      <c r="AA525" s="38"/>
      <c r="AB525" s="39"/>
      <c r="AC525" s="39"/>
      <c r="AD525" s="38"/>
      <c r="AF525" s="38"/>
      <c r="AG525" s="39"/>
      <c r="AH525" s="38"/>
    </row>
    <row r="526" spans="2:34" x14ac:dyDescent="0.3">
      <c r="B526" s="38"/>
      <c r="C526" s="40"/>
      <c r="D526" s="39"/>
      <c r="E526" s="12"/>
      <c r="G526" s="39"/>
      <c r="H526" s="12"/>
      <c r="J526" s="39"/>
      <c r="K526"/>
      <c r="L526" s="43"/>
      <c r="M526"/>
      <c r="N526"/>
      <c r="O526" s="43"/>
      <c r="P526"/>
      <c r="Q526"/>
      <c r="R526" s="43"/>
      <c r="S526"/>
      <c r="U526" s="38"/>
      <c r="V526" s="39"/>
      <c r="W526" s="38"/>
      <c r="X526" s="39"/>
      <c r="Y526" s="38"/>
      <c r="AA526" s="38"/>
      <c r="AB526" s="39"/>
      <c r="AC526" s="39"/>
      <c r="AD526" s="38"/>
      <c r="AF526" s="38"/>
      <c r="AG526" s="39"/>
      <c r="AH526" s="38"/>
    </row>
    <row r="527" spans="2:34" x14ac:dyDescent="0.3">
      <c r="B527" s="38"/>
      <c r="C527" s="40"/>
      <c r="D527" s="39"/>
      <c r="E527" s="12"/>
      <c r="G527" s="39"/>
      <c r="H527" s="12"/>
      <c r="J527" s="39"/>
      <c r="K527"/>
      <c r="L527" s="43"/>
      <c r="M527"/>
      <c r="N527"/>
      <c r="O527" s="43"/>
      <c r="P527"/>
      <c r="Q527"/>
      <c r="R527" s="43"/>
      <c r="S527"/>
      <c r="U527" s="38"/>
      <c r="V527" s="39"/>
      <c r="W527" s="38"/>
      <c r="X527" s="39"/>
      <c r="Y527" s="38"/>
      <c r="AA527" s="38"/>
      <c r="AB527" s="39"/>
      <c r="AC527" s="39"/>
      <c r="AD527" s="38"/>
      <c r="AF527" s="38"/>
      <c r="AG527" s="39"/>
      <c r="AH527" s="38"/>
    </row>
    <row r="528" spans="2:34" x14ac:dyDescent="0.3">
      <c r="B528" s="38"/>
      <c r="C528" s="40"/>
      <c r="D528" s="39"/>
      <c r="E528" s="12"/>
      <c r="G528" s="39"/>
      <c r="H528" s="12"/>
      <c r="J528" s="39"/>
      <c r="K528"/>
      <c r="L528" s="43"/>
      <c r="M528"/>
      <c r="N528"/>
      <c r="O528" s="43"/>
      <c r="P528"/>
      <c r="Q528"/>
      <c r="R528" s="43"/>
      <c r="S528"/>
      <c r="U528" s="38"/>
      <c r="V528" s="39"/>
      <c r="W528" s="38"/>
      <c r="X528" s="39"/>
      <c r="Y528" s="38"/>
      <c r="AA528" s="38"/>
      <c r="AB528" s="39"/>
      <c r="AC528" s="39"/>
      <c r="AD528" s="38"/>
      <c r="AF528" s="38"/>
      <c r="AG528" s="39"/>
      <c r="AH528" s="38"/>
    </row>
    <row r="529" spans="2:34" x14ac:dyDescent="0.3">
      <c r="B529" s="38"/>
      <c r="C529" s="40"/>
      <c r="D529" s="39"/>
      <c r="E529" s="12"/>
      <c r="G529" s="39"/>
      <c r="H529" s="12"/>
      <c r="J529" s="39"/>
      <c r="K529"/>
      <c r="L529" s="43"/>
      <c r="M529"/>
      <c r="N529"/>
      <c r="O529" s="43"/>
      <c r="P529"/>
      <c r="Q529"/>
      <c r="R529" s="43"/>
      <c r="S529"/>
      <c r="U529" s="38"/>
      <c r="V529" s="39"/>
      <c r="W529" s="38"/>
      <c r="X529" s="39"/>
      <c r="Y529" s="38"/>
      <c r="AA529" s="38"/>
      <c r="AB529" s="39"/>
      <c r="AC529" s="39"/>
      <c r="AD529" s="38"/>
      <c r="AF529" s="38"/>
      <c r="AG529" s="39"/>
      <c r="AH529" s="38"/>
    </row>
    <row r="530" spans="2:34" x14ac:dyDescent="0.3">
      <c r="B530" s="38"/>
      <c r="C530" s="40"/>
      <c r="D530" s="39"/>
      <c r="E530" s="12"/>
      <c r="G530" s="39"/>
      <c r="H530" s="12"/>
      <c r="J530" s="39"/>
      <c r="K530"/>
      <c r="L530" s="43"/>
      <c r="M530"/>
      <c r="N530"/>
      <c r="O530" s="43"/>
      <c r="P530"/>
      <c r="Q530"/>
      <c r="R530" s="43"/>
      <c r="S530"/>
      <c r="U530" s="38"/>
      <c r="V530" s="39"/>
      <c r="W530" s="38"/>
      <c r="X530" s="39"/>
      <c r="Y530" s="38"/>
      <c r="AA530" s="38"/>
      <c r="AB530" s="39"/>
      <c r="AC530" s="39"/>
      <c r="AD530" s="38"/>
      <c r="AF530" s="38"/>
      <c r="AG530" s="39"/>
      <c r="AH530" s="38"/>
    </row>
    <row r="531" spans="2:34" x14ac:dyDescent="0.3">
      <c r="B531" s="38"/>
      <c r="C531" s="40"/>
      <c r="D531" s="39"/>
      <c r="E531" s="12"/>
      <c r="G531" s="39"/>
      <c r="H531" s="12"/>
      <c r="J531" s="39"/>
      <c r="K531"/>
      <c r="L531" s="43"/>
      <c r="M531"/>
      <c r="N531"/>
      <c r="O531" s="43"/>
      <c r="P531"/>
      <c r="Q531"/>
      <c r="R531" s="43"/>
      <c r="S531"/>
      <c r="U531" s="38"/>
      <c r="V531" s="39"/>
      <c r="W531" s="38"/>
      <c r="X531" s="39"/>
      <c r="Y531" s="38"/>
      <c r="AA531" s="38"/>
      <c r="AB531" s="39"/>
      <c r="AC531" s="39"/>
      <c r="AD531" s="38"/>
      <c r="AF531" s="38"/>
      <c r="AG531" s="39"/>
      <c r="AH531" s="38"/>
    </row>
    <row r="532" spans="2:34" x14ac:dyDescent="0.3">
      <c r="B532" s="38"/>
      <c r="C532" s="40"/>
      <c r="D532" s="39"/>
      <c r="E532" s="12"/>
      <c r="G532" s="39"/>
      <c r="H532" s="12"/>
      <c r="J532" s="39"/>
      <c r="K532"/>
      <c r="L532" s="43"/>
      <c r="M532"/>
      <c r="N532"/>
      <c r="O532" s="43"/>
      <c r="P532"/>
      <c r="Q532"/>
      <c r="R532" s="43"/>
      <c r="S532"/>
      <c r="U532" s="38"/>
      <c r="V532" s="39"/>
      <c r="W532" s="38"/>
      <c r="X532" s="39"/>
      <c r="Y532" s="38"/>
      <c r="AA532" s="38"/>
      <c r="AB532" s="39"/>
      <c r="AC532" s="39"/>
      <c r="AD532" s="38"/>
      <c r="AF532" s="38"/>
      <c r="AG532" s="39"/>
      <c r="AH532" s="38"/>
    </row>
    <row r="533" spans="2:34" x14ac:dyDescent="0.3">
      <c r="B533" s="38"/>
      <c r="C533" s="40"/>
      <c r="D533" s="39"/>
      <c r="E533" s="12"/>
      <c r="G533" s="39"/>
      <c r="H533" s="12"/>
      <c r="J533" s="39"/>
      <c r="K533"/>
      <c r="L533" s="43"/>
      <c r="M533"/>
      <c r="N533"/>
      <c r="O533" s="43"/>
      <c r="P533"/>
      <c r="Q533"/>
      <c r="R533" s="43"/>
      <c r="S533"/>
      <c r="U533" s="38"/>
      <c r="V533" s="39"/>
      <c r="W533" s="38"/>
      <c r="X533" s="39"/>
      <c r="Y533" s="38"/>
      <c r="AA533" s="38"/>
      <c r="AB533" s="39"/>
      <c r="AC533" s="39"/>
      <c r="AD533" s="38"/>
      <c r="AF533" s="38"/>
      <c r="AG533" s="39"/>
      <c r="AH533" s="38"/>
    </row>
    <row r="534" spans="2:34" x14ac:dyDescent="0.3">
      <c r="B534" s="38"/>
      <c r="C534" s="40"/>
      <c r="D534" s="39"/>
      <c r="E534" s="12"/>
      <c r="G534" s="39"/>
      <c r="H534" s="12"/>
      <c r="J534" s="39"/>
      <c r="K534"/>
      <c r="L534" s="43"/>
      <c r="M534"/>
      <c r="N534"/>
      <c r="O534" s="43"/>
      <c r="P534"/>
      <c r="Q534"/>
      <c r="R534" s="43"/>
      <c r="S534"/>
      <c r="U534" s="38"/>
      <c r="V534" s="39"/>
      <c r="W534" s="38"/>
      <c r="X534" s="39"/>
      <c r="Y534" s="38"/>
      <c r="AA534" s="38"/>
      <c r="AB534" s="39"/>
      <c r="AC534" s="39"/>
      <c r="AD534" s="38"/>
      <c r="AF534" s="38"/>
      <c r="AG534" s="39"/>
      <c r="AH534" s="38"/>
    </row>
    <row r="535" spans="2:34" x14ac:dyDescent="0.3">
      <c r="B535" s="38"/>
      <c r="C535" s="40"/>
      <c r="D535" s="39"/>
      <c r="E535" s="12"/>
      <c r="G535" s="39"/>
      <c r="H535" s="12"/>
      <c r="J535" s="39"/>
      <c r="K535"/>
      <c r="L535" s="43"/>
      <c r="M535"/>
      <c r="N535"/>
      <c r="O535" s="43"/>
      <c r="P535"/>
      <c r="Q535"/>
      <c r="R535" s="43"/>
      <c r="S535"/>
      <c r="U535" s="38"/>
      <c r="V535" s="39"/>
      <c r="W535" s="38"/>
      <c r="X535" s="39"/>
      <c r="Y535" s="38"/>
      <c r="AA535" s="38"/>
      <c r="AB535" s="39"/>
      <c r="AC535" s="39"/>
      <c r="AD535" s="38"/>
      <c r="AF535" s="38"/>
      <c r="AG535" s="39"/>
      <c r="AH535" s="38"/>
    </row>
    <row r="536" spans="2:34" x14ac:dyDescent="0.3">
      <c r="B536" s="38"/>
      <c r="C536" s="40"/>
      <c r="D536" s="39"/>
      <c r="E536" s="12"/>
      <c r="G536" s="39"/>
      <c r="H536" s="12"/>
      <c r="J536" s="39"/>
      <c r="K536"/>
      <c r="L536" s="43"/>
      <c r="M536"/>
      <c r="N536"/>
      <c r="O536" s="43"/>
      <c r="P536"/>
      <c r="Q536"/>
      <c r="R536" s="43"/>
      <c r="S536"/>
      <c r="U536" s="38"/>
      <c r="V536" s="39"/>
      <c r="W536" s="38"/>
      <c r="X536" s="39"/>
      <c r="Y536" s="38"/>
      <c r="AA536" s="38"/>
      <c r="AB536" s="39"/>
      <c r="AC536" s="39"/>
      <c r="AD536" s="38"/>
      <c r="AF536" s="38"/>
      <c r="AG536" s="39"/>
      <c r="AH536" s="38"/>
    </row>
    <row r="537" spans="2:34" x14ac:dyDescent="0.3">
      <c r="B537" s="38"/>
      <c r="C537" s="40"/>
      <c r="D537" s="39"/>
      <c r="E537" s="12"/>
      <c r="G537" s="39"/>
      <c r="H537" s="12"/>
      <c r="J537" s="39"/>
      <c r="K537"/>
      <c r="L537" s="43"/>
      <c r="M537"/>
      <c r="N537"/>
      <c r="O537" s="43"/>
      <c r="P537"/>
      <c r="Q537"/>
      <c r="R537" s="43"/>
      <c r="S537"/>
      <c r="U537" s="38"/>
      <c r="V537" s="39"/>
      <c r="W537" s="38"/>
      <c r="X537" s="39"/>
      <c r="Y537" s="38"/>
      <c r="AA537" s="38"/>
      <c r="AB537" s="39"/>
      <c r="AC537" s="39"/>
      <c r="AD537" s="38"/>
      <c r="AF537" s="38"/>
      <c r="AG537" s="39"/>
      <c r="AH537" s="38"/>
    </row>
    <row r="538" spans="2:34" x14ac:dyDescent="0.3">
      <c r="B538" s="38"/>
      <c r="C538" s="40"/>
      <c r="D538" s="39"/>
      <c r="E538" s="12"/>
      <c r="G538" s="39"/>
      <c r="H538" s="12"/>
      <c r="J538" s="39"/>
      <c r="K538"/>
      <c r="L538" s="43"/>
      <c r="M538"/>
      <c r="N538"/>
      <c r="O538" s="43"/>
      <c r="P538"/>
      <c r="Q538"/>
      <c r="R538" s="43"/>
      <c r="S538"/>
      <c r="U538" s="38"/>
      <c r="V538" s="39"/>
      <c r="W538" s="38"/>
      <c r="X538" s="39"/>
      <c r="Y538" s="38"/>
      <c r="AA538" s="38"/>
      <c r="AB538" s="39"/>
      <c r="AC538" s="39"/>
      <c r="AD538" s="38"/>
      <c r="AF538" s="38"/>
      <c r="AG538" s="39"/>
      <c r="AH538" s="38"/>
    </row>
    <row r="539" spans="2:34" x14ac:dyDescent="0.3">
      <c r="B539" s="38"/>
      <c r="C539" s="40"/>
      <c r="D539" s="39"/>
      <c r="E539" s="12"/>
      <c r="G539" s="39"/>
      <c r="H539" s="12"/>
      <c r="J539" s="39"/>
      <c r="K539"/>
      <c r="L539" s="43"/>
      <c r="M539"/>
      <c r="N539"/>
      <c r="O539" s="43"/>
      <c r="P539"/>
      <c r="Q539"/>
      <c r="R539" s="43"/>
      <c r="S539"/>
      <c r="U539" s="38"/>
      <c r="V539" s="39"/>
      <c r="W539" s="38"/>
      <c r="X539" s="39"/>
      <c r="Y539" s="38"/>
      <c r="AA539" s="38"/>
      <c r="AB539" s="39"/>
      <c r="AC539" s="39"/>
      <c r="AD539" s="38"/>
      <c r="AF539" s="38"/>
      <c r="AG539" s="39"/>
      <c r="AH539" s="38"/>
    </row>
    <row r="540" spans="2:34" x14ac:dyDescent="0.3">
      <c r="B540" s="38"/>
      <c r="C540" s="40"/>
      <c r="D540" s="39"/>
      <c r="E540" s="12"/>
      <c r="G540" s="39"/>
      <c r="H540" s="12"/>
      <c r="J540" s="39"/>
      <c r="K540"/>
      <c r="L540" s="43"/>
      <c r="M540"/>
      <c r="N540"/>
      <c r="O540" s="43"/>
      <c r="P540"/>
      <c r="Q540"/>
      <c r="R540" s="43"/>
      <c r="S540"/>
      <c r="U540" s="38"/>
      <c r="V540" s="39"/>
      <c r="W540" s="38"/>
      <c r="X540" s="39"/>
      <c r="Y540" s="38"/>
      <c r="AA540" s="38"/>
      <c r="AB540" s="39"/>
      <c r="AC540" s="39"/>
      <c r="AD540" s="38"/>
      <c r="AF540" s="38"/>
      <c r="AG540" s="39"/>
      <c r="AH540" s="38"/>
    </row>
    <row r="541" spans="2:34" x14ac:dyDescent="0.3">
      <c r="B541" s="38"/>
      <c r="C541" s="40"/>
      <c r="D541" s="39"/>
      <c r="E541" s="12"/>
      <c r="G541" s="39"/>
      <c r="H541" s="12"/>
      <c r="J541" s="39"/>
      <c r="K541"/>
      <c r="L541" s="43"/>
      <c r="M541"/>
      <c r="N541"/>
      <c r="O541" s="43"/>
      <c r="P541"/>
      <c r="Q541"/>
      <c r="R541" s="43"/>
      <c r="S541"/>
      <c r="U541" s="38"/>
      <c r="V541" s="39"/>
      <c r="W541" s="38"/>
      <c r="X541" s="39"/>
      <c r="Y541" s="38"/>
      <c r="AA541" s="38"/>
      <c r="AB541" s="39"/>
      <c r="AC541" s="39"/>
      <c r="AD541" s="38"/>
      <c r="AF541" s="38"/>
      <c r="AG541" s="39"/>
      <c r="AH541" s="38"/>
    </row>
    <row r="542" spans="2:34" x14ac:dyDescent="0.3">
      <c r="B542" s="38"/>
      <c r="C542" s="40"/>
      <c r="D542" s="39"/>
      <c r="E542" s="12"/>
      <c r="G542" s="39"/>
      <c r="H542" s="12"/>
      <c r="J542" s="39"/>
      <c r="K542"/>
      <c r="L542" s="43"/>
      <c r="M542"/>
      <c r="N542"/>
      <c r="O542" s="43"/>
      <c r="P542"/>
      <c r="Q542"/>
      <c r="R542" s="43"/>
      <c r="S542"/>
      <c r="U542" s="38"/>
      <c r="V542" s="39"/>
      <c r="W542" s="38"/>
      <c r="X542" s="39"/>
      <c r="Y542" s="38"/>
      <c r="AA542" s="38"/>
      <c r="AB542" s="39"/>
      <c r="AC542" s="39"/>
      <c r="AD542" s="38"/>
      <c r="AF542" s="38"/>
      <c r="AG542" s="39"/>
      <c r="AH542" s="38"/>
    </row>
    <row r="543" spans="2:34" x14ac:dyDescent="0.3">
      <c r="B543" s="38"/>
      <c r="C543" s="40"/>
      <c r="D543" s="39"/>
      <c r="E543" s="12"/>
      <c r="G543" s="39"/>
      <c r="H543" s="12"/>
      <c r="J543" s="39"/>
      <c r="K543"/>
      <c r="L543" s="43"/>
      <c r="M543"/>
      <c r="N543"/>
      <c r="O543" s="43"/>
      <c r="P543"/>
      <c r="Q543"/>
      <c r="R543" s="43"/>
      <c r="S543"/>
      <c r="U543" s="38"/>
      <c r="V543" s="39"/>
      <c r="W543" s="38"/>
      <c r="X543" s="39"/>
      <c r="Y543" s="38"/>
      <c r="AA543" s="38"/>
      <c r="AB543" s="39"/>
      <c r="AC543" s="39"/>
      <c r="AD543" s="38"/>
      <c r="AF543" s="38"/>
      <c r="AG543" s="39"/>
      <c r="AH543" s="38"/>
    </row>
    <row r="544" spans="2:34" x14ac:dyDescent="0.3">
      <c r="B544" s="38"/>
      <c r="C544" s="40"/>
      <c r="D544" s="39"/>
      <c r="E544" s="12"/>
      <c r="G544" s="39"/>
      <c r="H544" s="12"/>
      <c r="J544" s="39"/>
      <c r="K544"/>
      <c r="L544" s="43"/>
      <c r="M544"/>
      <c r="N544"/>
      <c r="O544" s="43"/>
      <c r="P544"/>
      <c r="Q544"/>
      <c r="R544" s="43"/>
      <c r="S544"/>
      <c r="U544" s="38"/>
      <c r="V544" s="39"/>
      <c r="W544" s="38"/>
      <c r="X544" s="39"/>
      <c r="Y544" s="38"/>
      <c r="AA544" s="38"/>
      <c r="AB544" s="39"/>
      <c r="AC544" s="39"/>
      <c r="AD544" s="38"/>
      <c r="AF544" s="38"/>
      <c r="AG544" s="39"/>
      <c r="AH544" s="38"/>
    </row>
    <row r="545" spans="2:34" x14ac:dyDescent="0.3">
      <c r="B545" s="38"/>
      <c r="C545" s="40"/>
      <c r="D545" s="39"/>
      <c r="E545" s="12"/>
      <c r="G545" s="39"/>
      <c r="H545" s="12"/>
      <c r="J545" s="39"/>
      <c r="K545"/>
      <c r="L545" s="43"/>
      <c r="M545"/>
      <c r="N545"/>
      <c r="O545" s="43"/>
      <c r="P545"/>
      <c r="Q545"/>
      <c r="R545" s="43"/>
      <c r="S545"/>
      <c r="U545" s="38"/>
      <c r="V545" s="39"/>
      <c r="W545" s="38"/>
      <c r="X545" s="39"/>
      <c r="Y545" s="38"/>
      <c r="AA545" s="38"/>
      <c r="AB545" s="39"/>
      <c r="AC545" s="39"/>
      <c r="AD545" s="38"/>
      <c r="AF545" s="38"/>
      <c r="AG545" s="39"/>
      <c r="AH545" s="38"/>
    </row>
    <row r="546" spans="2:34" x14ac:dyDescent="0.3">
      <c r="B546" s="38"/>
      <c r="C546" s="40"/>
      <c r="D546" s="39"/>
      <c r="E546" s="12"/>
      <c r="G546" s="39"/>
      <c r="H546" s="12"/>
      <c r="J546" s="39"/>
      <c r="K546"/>
      <c r="L546" s="43"/>
      <c r="M546"/>
      <c r="N546"/>
      <c r="O546" s="43"/>
      <c r="P546"/>
      <c r="Q546"/>
      <c r="R546" s="43"/>
      <c r="S546"/>
      <c r="U546" s="38"/>
      <c r="V546" s="39"/>
      <c r="W546" s="38"/>
      <c r="X546" s="39"/>
      <c r="Y546" s="38"/>
      <c r="AA546" s="38"/>
      <c r="AB546" s="39"/>
      <c r="AC546" s="39"/>
      <c r="AD546" s="38"/>
      <c r="AF546" s="38"/>
      <c r="AG546" s="39"/>
      <c r="AH546" s="38"/>
    </row>
    <row r="547" spans="2:34" x14ac:dyDescent="0.3">
      <c r="B547" s="38"/>
      <c r="C547" s="40"/>
      <c r="D547" s="39"/>
      <c r="E547" s="12"/>
      <c r="G547" s="39"/>
      <c r="H547" s="12"/>
      <c r="J547" s="39"/>
      <c r="K547"/>
      <c r="L547" s="43"/>
      <c r="M547"/>
      <c r="N547"/>
      <c r="O547" s="43"/>
      <c r="P547"/>
      <c r="Q547"/>
      <c r="R547" s="43"/>
      <c r="S547"/>
      <c r="U547" s="38"/>
      <c r="V547" s="39"/>
      <c r="W547" s="38"/>
      <c r="X547" s="39"/>
      <c r="Y547" s="38"/>
      <c r="AA547" s="38"/>
      <c r="AB547" s="39"/>
      <c r="AC547" s="39"/>
      <c r="AD547" s="38"/>
      <c r="AF547" s="38"/>
      <c r="AG547" s="39"/>
      <c r="AH547" s="38"/>
    </row>
    <row r="548" spans="2:34" x14ac:dyDescent="0.3">
      <c r="B548" s="38"/>
      <c r="C548" s="40"/>
      <c r="D548" s="39"/>
      <c r="E548" s="12"/>
      <c r="G548" s="39"/>
      <c r="H548" s="12"/>
      <c r="J548" s="39"/>
      <c r="K548"/>
      <c r="L548" s="43"/>
      <c r="M548"/>
      <c r="N548"/>
      <c r="O548" s="43"/>
      <c r="P548"/>
      <c r="Q548"/>
      <c r="R548" s="43"/>
      <c r="S548"/>
      <c r="U548" s="38"/>
      <c r="V548" s="39"/>
      <c r="W548" s="38"/>
      <c r="X548" s="39"/>
      <c r="Y548" s="38"/>
      <c r="AA548" s="38"/>
      <c r="AB548" s="39"/>
      <c r="AC548" s="39"/>
      <c r="AD548" s="38"/>
      <c r="AF548" s="38"/>
      <c r="AG548" s="39"/>
      <c r="AH548" s="38"/>
    </row>
    <row r="549" spans="2:34" x14ac:dyDescent="0.3">
      <c r="B549" s="38"/>
      <c r="C549" s="40"/>
      <c r="D549" s="39"/>
      <c r="E549" s="12"/>
      <c r="G549" s="39"/>
      <c r="H549" s="12"/>
      <c r="J549" s="39"/>
      <c r="K549"/>
      <c r="L549" s="43"/>
      <c r="M549"/>
      <c r="N549"/>
      <c r="O549" s="43"/>
      <c r="P549"/>
      <c r="Q549"/>
      <c r="R549" s="43"/>
      <c r="S549"/>
      <c r="U549" s="38"/>
      <c r="V549" s="39"/>
      <c r="W549" s="38"/>
      <c r="X549" s="39"/>
      <c r="Y549" s="38"/>
      <c r="AA549" s="38"/>
      <c r="AB549" s="39"/>
      <c r="AC549" s="39"/>
      <c r="AD549" s="38"/>
      <c r="AF549" s="38"/>
      <c r="AG549" s="39"/>
      <c r="AH549" s="38"/>
    </row>
    <row r="550" spans="2:34" x14ac:dyDescent="0.3">
      <c r="B550" s="38"/>
      <c r="C550" s="40"/>
      <c r="D550" s="39"/>
      <c r="E550" s="12"/>
      <c r="G550" s="39"/>
      <c r="H550" s="12"/>
      <c r="J550" s="39"/>
      <c r="K550"/>
      <c r="L550" s="43"/>
      <c r="M550"/>
      <c r="N550"/>
      <c r="O550" s="43"/>
      <c r="P550"/>
      <c r="Q550"/>
      <c r="R550" s="43"/>
      <c r="S550"/>
      <c r="U550" s="38"/>
      <c r="V550" s="39"/>
      <c r="W550" s="38"/>
      <c r="X550" s="39"/>
      <c r="Y550" s="38"/>
      <c r="AA550" s="38"/>
      <c r="AB550" s="39"/>
      <c r="AC550" s="39"/>
      <c r="AD550" s="38"/>
      <c r="AF550" s="38"/>
      <c r="AG550" s="39"/>
      <c r="AH550" s="38"/>
    </row>
    <row r="551" spans="2:34" x14ac:dyDescent="0.3">
      <c r="B551" s="38"/>
      <c r="C551" s="40"/>
      <c r="D551" s="39"/>
      <c r="E551" s="12"/>
      <c r="G551" s="39"/>
      <c r="H551" s="12"/>
      <c r="J551" s="39"/>
      <c r="K551"/>
      <c r="L551" s="43"/>
      <c r="M551"/>
      <c r="N551"/>
      <c r="O551" s="43"/>
      <c r="P551"/>
      <c r="Q551"/>
      <c r="R551" s="43"/>
      <c r="S551"/>
      <c r="U551" s="38"/>
      <c r="V551" s="39"/>
      <c r="W551" s="38"/>
      <c r="X551" s="39"/>
      <c r="Y551" s="38"/>
      <c r="AA551" s="38"/>
      <c r="AB551" s="39"/>
      <c r="AC551" s="39"/>
      <c r="AD551" s="38"/>
      <c r="AF551" s="38"/>
      <c r="AG551" s="39"/>
      <c r="AH551" s="38"/>
    </row>
    <row r="552" spans="2:34" x14ac:dyDescent="0.3">
      <c r="B552" s="38"/>
      <c r="C552" s="40"/>
      <c r="D552" s="39"/>
      <c r="E552" s="12"/>
      <c r="G552" s="39"/>
      <c r="H552" s="12"/>
      <c r="J552" s="39"/>
      <c r="K552"/>
      <c r="L552" s="43"/>
      <c r="M552"/>
      <c r="N552"/>
      <c r="O552" s="43"/>
      <c r="P552"/>
      <c r="Q552"/>
      <c r="R552" s="43"/>
      <c r="S552"/>
      <c r="U552" s="38"/>
      <c r="V552" s="39"/>
      <c r="W552" s="38"/>
      <c r="X552" s="39"/>
      <c r="Y552" s="38"/>
      <c r="AA552" s="38"/>
      <c r="AB552" s="39"/>
      <c r="AC552" s="39"/>
      <c r="AD552" s="38"/>
      <c r="AF552" s="38"/>
      <c r="AG552" s="39"/>
      <c r="AH552" s="38"/>
    </row>
    <row r="553" spans="2:34" x14ac:dyDescent="0.3">
      <c r="B553" s="38"/>
      <c r="C553" s="40"/>
      <c r="D553" s="39"/>
      <c r="E553" s="12"/>
      <c r="G553" s="39"/>
      <c r="H553" s="12"/>
      <c r="J553" s="39"/>
      <c r="K553"/>
      <c r="L553" s="43"/>
      <c r="M553"/>
      <c r="N553"/>
      <c r="O553" s="43"/>
      <c r="P553"/>
      <c r="Q553"/>
      <c r="R553" s="43"/>
      <c r="S553"/>
      <c r="U553" s="38"/>
      <c r="V553" s="39"/>
      <c r="W553" s="38"/>
      <c r="X553" s="39"/>
      <c r="Y553" s="38"/>
      <c r="AA553" s="38"/>
      <c r="AB553" s="39"/>
      <c r="AC553" s="39"/>
      <c r="AD553" s="38"/>
      <c r="AF553" s="38"/>
      <c r="AG553" s="39"/>
      <c r="AH553" s="38"/>
    </row>
    <row r="554" spans="2:34" x14ac:dyDescent="0.3">
      <c r="B554" s="38"/>
      <c r="C554" s="40"/>
      <c r="D554" s="39"/>
      <c r="E554" s="12"/>
      <c r="G554" s="39"/>
      <c r="H554" s="12"/>
      <c r="J554" s="39"/>
      <c r="K554"/>
      <c r="L554" s="43"/>
      <c r="M554"/>
      <c r="N554"/>
      <c r="O554" s="43"/>
      <c r="P554"/>
      <c r="Q554"/>
      <c r="R554" s="43"/>
      <c r="S554"/>
      <c r="U554" s="38"/>
      <c r="V554" s="39"/>
      <c r="W554" s="38"/>
      <c r="X554" s="39"/>
      <c r="Y554" s="38"/>
      <c r="AA554" s="38"/>
      <c r="AB554" s="39"/>
      <c r="AC554" s="39"/>
      <c r="AD554" s="38"/>
      <c r="AF554" s="38"/>
      <c r="AG554" s="39"/>
      <c r="AH554" s="38"/>
    </row>
    <row r="555" spans="2:34" x14ac:dyDescent="0.3">
      <c r="B555" s="38"/>
      <c r="C555" s="40"/>
      <c r="D555" s="39"/>
      <c r="E555" s="12"/>
      <c r="G555" s="39"/>
      <c r="H555" s="12"/>
      <c r="J555" s="39"/>
      <c r="K555"/>
      <c r="L555" s="43"/>
      <c r="M555"/>
      <c r="N555"/>
      <c r="O555" s="43"/>
      <c r="P555"/>
      <c r="Q555"/>
      <c r="R555" s="43"/>
      <c r="S555"/>
      <c r="U555" s="38"/>
      <c r="V555" s="39"/>
      <c r="W555" s="38"/>
      <c r="X555" s="39"/>
      <c r="Y555" s="38"/>
      <c r="AA555" s="38"/>
      <c r="AB555" s="39"/>
      <c r="AC555" s="39"/>
      <c r="AD555" s="38"/>
      <c r="AF555" s="38"/>
      <c r="AG555" s="39"/>
      <c r="AH555" s="38"/>
    </row>
    <row r="556" spans="2:34" x14ac:dyDescent="0.3">
      <c r="B556" s="38"/>
      <c r="C556" s="40"/>
      <c r="D556" s="39"/>
      <c r="E556" s="12"/>
      <c r="G556" s="39"/>
      <c r="H556" s="12"/>
      <c r="J556" s="39"/>
      <c r="K556"/>
      <c r="L556" s="43"/>
      <c r="M556"/>
      <c r="N556"/>
      <c r="O556" s="43"/>
      <c r="P556"/>
      <c r="Q556"/>
      <c r="R556" s="43"/>
      <c r="S556"/>
      <c r="U556" s="38"/>
      <c r="V556" s="39"/>
      <c r="W556" s="38"/>
      <c r="X556" s="39"/>
      <c r="Y556" s="38"/>
      <c r="AA556" s="38"/>
      <c r="AB556" s="39"/>
      <c r="AC556" s="39"/>
      <c r="AD556" s="38"/>
      <c r="AF556" s="38"/>
      <c r="AG556" s="39"/>
      <c r="AH556" s="38"/>
    </row>
    <row r="557" spans="2:34" x14ac:dyDescent="0.3">
      <c r="B557" s="38"/>
      <c r="C557" s="40"/>
      <c r="D557" s="39"/>
      <c r="E557" s="12"/>
      <c r="G557" s="39"/>
      <c r="H557" s="12"/>
      <c r="J557" s="39"/>
      <c r="K557"/>
      <c r="L557" s="43"/>
      <c r="M557"/>
      <c r="N557"/>
      <c r="O557" s="43"/>
      <c r="P557"/>
      <c r="Q557"/>
      <c r="R557" s="43"/>
      <c r="S557"/>
      <c r="U557" s="38"/>
      <c r="V557" s="39"/>
      <c r="W557" s="38"/>
      <c r="X557" s="39"/>
      <c r="Y557" s="38"/>
      <c r="AA557" s="38"/>
      <c r="AB557" s="39"/>
      <c r="AC557" s="39"/>
      <c r="AD557" s="38"/>
      <c r="AF557" s="38"/>
      <c r="AG557" s="39"/>
      <c r="AH557" s="38"/>
    </row>
    <row r="558" spans="2:34" x14ac:dyDescent="0.3">
      <c r="B558" s="38"/>
      <c r="C558" s="40"/>
      <c r="D558" s="39"/>
      <c r="E558" s="12"/>
      <c r="G558" s="39"/>
      <c r="H558" s="12"/>
      <c r="J558" s="39"/>
      <c r="K558"/>
      <c r="L558" s="43"/>
      <c r="M558"/>
      <c r="N558"/>
      <c r="O558" s="43"/>
      <c r="P558"/>
      <c r="Q558"/>
      <c r="R558" s="43"/>
      <c r="S558"/>
      <c r="U558" s="38"/>
      <c r="V558" s="39"/>
      <c r="W558" s="38"/>
      <c r="X558" s="39"/>
      <c r="Y558" s="38"/>
      <c r="AA558" s="38"/>
      <c r="AB558" s="39"/>
      <c r="AC558" s="39"/>
      <c r="AD558" s="38"/>
      <c r="AF558" s="38"/>
      <c r="AG558" s="39"/>
      <c r="AH558" s="38"/>
    </row>
    <row r="559" spans="2:34" x14ac:dyDescent="0.3">
      <c r="B559" s="38"/>
      <c r="C559" s="40"/>
      <c r="D559" s="39"/>
      <c r="E559" s="12"/>
      <c r="G559" s="39"/>
      <c r="H559" s="12"/>
      <c r="J559" s="39"/>
      <c r="K559"/>
      <c r="L559" s="43"/>
      <c r="M559"/>
      <c r="N559"/>
      <c r="O559" s="43"/>
      <c r="P559"/>
      <c r="Q559"/>
      <c r="R559" s="43"/>
      <c r="S559"/>
      <c r="U559" s="38"/>
      <c r="V559" s="39"/>
      <c r="W559" s="38"/>
      <c r="X559" s="39"/>
      <c r="Y559" s="38"/>
      <c r="AA559" s="38"/>
      <c r="AB559" s="39"/>
      <c r="AC559" s="39"/>
      <c r="AD559" s="38"/>
      <c r="AF559" s="38"/>
      <c r="AG559" s="39"/>
      <c r="AH559" s="38"/>
    </row>
    <row r="560" spans="2:34" x14ac:dyDescent="0.3">
      <c r="B560" s="38"/>
      <c r="C560" s="40"/>
      <c r="D560" s="39"/>
      <c r="E560" s="12"/>
      <c r="G560" s="39"/>
      <c r="H560" s="12"/>
      <c r="J560" s="39"/>
      <c r="K560"/>
      <c r="L560" s="43"/>
      <c r="M560"/>
      <c r="N560"/>
      <c r="O560" s="43"/>
      <c r="P560"/>
      <c r="Q560"/>
      <c r="R560" s="43"/>
      <c r="S560"/>
      <c r="U560" s="38"/>
      <c r="V560" s="39"/>
      <c r="W560" s="38"/>
      <c r="X560" s="39"/>
      <c r="Y560" s="38"/>
      <c r="AA560" s="38"/>
      <c r="AB560" s="39"/>
      <c r="AC560" s="39"/>
      <c r="AD560" s="38"/>
      <c r="AF560" s="38"/>
      <c r="AG560" s="39"/>
      <c r="AH560" s="38"/>
    </row>
    <row r="561" spans="2:34" x14ac:dyDescent="0.3">
      <c r="B561" s="38"/>
      <c r="C561" s="40"/>
      <c r="D561" s="39"/>
      <c r="E561" s="12"/>
      <c r="G561" s="39"/>
      <c r="H561" s="12"/>
      <c r="J561" s="39"/>
      <c r="K561"/>
      <c r="L561" s="43"/>
      <c r="M561"/>
      <c r="N561"/>
      <c r="O561" s="43"/>
      <c r="P561"/>
      <c r="Q561"/>
      <c r="R561" s="43"/>
      <c r="S561"/>
      <c r="U561" s="38"/>
      <c r="V561" s="39"/>
      <c r="X561" s="39"/>
      <c r="Y561" s="38"/>
      <c r="AA561" s="38"/>
      <c r="AB561" s="39"/>
      <c r="AC561" s="39"/>
      <c r="AD561" s="38"/>
      <c r="AF561" s="38"/>
      <c r="AG561" s="39"/>
      <c r="AH561" s="38"/>
    </row>
    <row r="562" spans="2:34" x14ac:dyDescent="0.3">
      <c r="B562" s="38"/>
      <c r="C562" s="40"/>
      <c r="D562" s="39"/>
      <c r="E562" s="12"/>
      <c r="G562" s="39"/>
      <c r="H562" s="12"/>
      <c r="J562" s="39"/>
      <c r="K562"/>
      <c r="L562" s="43"/>
      <c r="M562"/>
      <c r="N562"/>
      <c r="O562" s="43"/>
      <c r="P562"/>
      <c r="Q562"/>
      <c r="R562" s="43"/>
      <c r="S562"/>
      <c r="U562" s="38"/>
      <c r="V562" s="39"/>
      <c r="X562" s="39"/>
      <c r="Y562" s="38"/>
      <c r="AA562" s="38"/>
      <c r="AB562" s="39"/>
      <c r="AC562" s="39"/>
      <c r="AD562" s="38"/>
      <c r="AF562" s="38"/>
      <c r="AG562" s="39"/>
      <c r="AH562" s="38"/>
    </row>
    <row r="563" spans="2:34" x14ac:dyDescent="0.3">
      <c r="B563" s="38"/>
      <c r="C563" s="40"/>
      <c r="D563" s="39"/>
      <c r="E563" s="12"/>
      <c r="G563" s="39"/>
      <c r="H563" s="12"/>
      <c r="J563" s="39"/>
      <c r="K563"/>
      <c r="L563" s="43"/>
      <c r="M563"/>
      <c r="N563"/>
      <c r="O563" s="43"/>
      <c r="P563"/>
      <c r="Q563"/>
      <c r="R563" s="43"/>
      <c r="S563"/>
      <c r="U563" s="38"/>
      <c r="V563" s="39"/>
      <c r="X563" s="39"/>
      <c r="Y563" s="38"/>
      <c r="AA563" s="38"/>
      <c r="AB563" s="39"/>
      <c r="AC563" s="39"/>
      <c r="AD563" s="38"/>
      <c r="AF563" s="38"/>
      <c r="AG563" s="39"/>
      <c r="AH563" s="38"/>
    </row>
    <row r="564" spans="2:34" x14ac:dyDescent="0.3">
      <c r="B564" s="38"/>
      <c r="C564" s="40"/>
      <c r="D564" s="39"/>
      <c r="E564" s="12"/>
      <c r="G564" s="39"/>
      <c r="H564" s="12"/>
      <c r="J564" s="39"/>
      <c r="K564"/>
      <c r="L564" s="43"/>
      <c r="M564"/>
      <c r="N564"/>
      <c r="O564" s="43"/>
      <c r="P564"/>
      <c r="Q564"/>
      <c r="R564" s="43"/>
      <c r="S564"/>
      <c r="U564" s="38"/>
      <c r="V564" s="39"/>
      <c r="W564" s="38"/>
      <c r="X564" s="39"/>
      <c r="Y564" s="38"/>
      <c r="AA564" s="38"/>
      <c r="AB564" s="39"/>
      <c r="AC564" s="39"/>
      <c r="AD564" s="38"/>
      <c r="AF564" s="38"/>
      <c r="AG564" s="39"/>
      <c r="AH564" s="38"/>
    </row>
    <row r="565" spans="2:34" x14ac:dyDescent="0.3">
      <c r="B565" s="38"/>
      <c r="C565" s="40"/>
      <c r="D565" s="39"/>
      <c r="E565" s="12"/>
      <c r="G565" s="39"/>
      <c r="H565" s="12"/>
      <c r="J565" s="39"/>
      <c r="K565"/>
      <c r="L565" s="43"/>
      <c r="M565"/>
      <c r="N565"/>
      <c r="O565" s="43"/>
      <c r="P565"/>
      <c r="Q565"/>
      <c r="R565" s="43"/>
      <c r="S565"/>
      <c r="U565" s="38"/>
      <c r="V565" s="39"/>
      <c r="W565" s="38"/>
      <c r="X565" s="39"/>
      <c r="Y565" s="38"/>
      <c r="AA565" s="38"/>
      <c r="AB565" s="39"/>
      <c r="AC565" s="39"/>
      <c r="AD565" s="38"/>
      <c r="AF565" s="38"/>
      <c r="AG565" s="39"/>
      <c r="AH565" s="38"/>
    </row>
    <row r="566" spans="2:34" x14ac:dyDescent="0.3">
      <c r="B566" s="38"/>
      <c r="C566" s="40"/>
      <c r="D566" s="39"/>
      <c r="E566" s="12"/>
      <c r="G566" s="39"/>
      <c r="H566" s="12"/>
      <c r="J566" s="39"/>
      <c r="K566"/>
      <c r="L566" s="43"/>
      <c r="M566"/>
      <c r="N566"/>
      <c r="O566" s="43"/>
      <c r="P566"/>
      <c r="Q566"/>
      <c r="R566" s="43"/>
      <c r="S566"/>
      <c r="U566" s="38"/>
      <c r="V566" s="39"/>
      <c r="W566" s="38"/>
      <c r="X566" s="39"/>
      <c r="Y566" s="38"/>
      <c r="AA566" s="38"/>
      <c r="AB566" s="39"/>
      <c r="AC566" s="39"/>
      <c r="AD566" s="38"/>
      <c r="AF566" s="38"/>
      <c r="AG566" s="39"/>
      <c r="AH566" s="38"/>
    </row>
    <row r="567" spans="2:34" x14ac:dyDescent="0.3">
      <c r="B567" s="38"/>
      <c r="C567" s="40"/>
      <c r="D567" s="39"/>
      <c r="E567" s="12"/>
      <c r="G567" s="39"/>
      <c r="H567" s="12"/>
      <c r="J567" s="39"/>
      <c r="K567"/>
      <c r="L567" s="43"/>
      <c r="M567"/>
      <c r="N567"/>
      <c r="O567" s="43"/>
      <c r="P567"/>
      <c r="Q567"/>
      <c r="R567" s="43"/>
      <c r="S567"/>
      <c r="U567" s="38"/>
      <c r="V567" s="39"/>
      <c r="W567" s="38"/>
      <c r="X567" s="39"/>
      <c r="Y567" s="38"/>
      <c r="AA567" s="38"/>
      <c r="AB567" s="39"/>
      <c r="AC567" s="39"/>
      <c r="AD567" s="38"/>
      <c r="AF567" s="38"/>
      <c r="AG567" s="39"/>
      <c r="AH567" s="38"/>
    </row>
    <row r="568" spans="2:34" x14ac:dyDescent="0.3">
      <c r="B568" s="38"/>
      <c r="C568" s="40"/>
      <c r="D568" s="39"/>
      <c r="E568" s="12"/>
      <c r="G568" s="39"/>
      <c r="H568" s="12"/>
      <c r="J568" s="39"/>
      <c r="K568"/>
      <c r="L568" s="43"/>
      <c r="M568"/>
      <c r="N568"/>
      <c r="O568" s="43"/>
      <c r="P568"/>
      <c r="Q568"/>
      <c r="R568" s="43"/>
      <c r="S568"/>
      <c r="U568" s="38"/>
      <c r="V568" s="39"/>
      <c r="W568" s="38"/>
      <c r="X568" s="39"/>
      <c r="Y568" s="38"/>
      <c r="AA568" s="38"/>
      <c r="AB568" s="39"/>
      <c r="AC568" s="39"/>
      <c r="AD568" s="38"/>
      <c r="AF568" s="38"/>
      <c r="AG568" s="39"/>
      <c r="AH568" s="38"/>
    </row>
    <row r="569" spans="2:34" x14ac:dyDescent="0.3">
      <c r="B569" s="38"/>
      <c r="C569" s="40"/>
      <c r="D569" s="39"/>
      <c r="E569" s="12"/>
      <c r="G569" s="39"/>
      <c r="H569" s="12"/>
      <c r="J569" s="39"/>
      <c r="K569"/>
      <c r="L569" s="43"/>
      <c r="M569"/>
      <c r="N569"/>
      <c r="O569" s="43"/>
      <c r="P569"/>
      <c r="Q569"/>
      <c r="R569" s="43"/>
      <c r="S569"/>
      <c r="U569" s="38"/>
      <c r="V569" s="39"/>
      <c r="W569" s="38"/>
      <c r="X569" s="39"/>
      <c r="Y569" s="38"/>
      <c r="AA569" s="38"/>
      <c r="AB569" s="39"/>
      <c r="AC569" s="39"/>
      <c r="AD569" s="38"/>
      <c r="AF569" s="38"/>
      <c r="AG569" s="39"/>
      <c r="AH569" s="38"/>
    </row>
    <row r="570" spans="2:34" x14ac:dyDescent="0.3">
      <c r="B570" s="38"/>
      <c r="C570" s="40"/>
      <c r="D570" s="39"/>
      <c r="E570" s="12"/>
      <c r="G570" s="39"/>
      <c r="H570" s="12"/>
      <c r="J570" s="39"/>
      <c r="K570"/>
      <c r="L570" s="43"/>
      <c r="M570"/>
      <c r="N570"/>
      <c r="O570" s="43"/>
      <c r="P570"/>
      <c r="Q570"/>
      <c r="R570" s="43"/>
      <c r="S570"/>
      <c r="U570" s="38"/>
      <c r="V570" s="39"/>
      <c r="W570" s="38"/>
      <c r="X570" s="39"/>
      <c r="Y570" s="38"/>
      <c r="AA570" s="38"/>
      <c r="AB570" s="39"/>
      <c r="AC570" s="39"/>
      <c r="AD570" s="38"/>
      <c r="AF570" s="38"/>
      <c r="AG570" s="39"/>
      <c r="AH570" s="38"/>
    </row>
    <row r="571" spans="2:34" x14ac:dyDescent="0.3">
      <c r="B571" s="38"/>
      <c r="C571" s="40"/>
      <c r="D571" s="39"/>
      <c r="E571" s="12"/>
      <c r="G571" s="39"/>
      <c r="H571" s="12"/>
      <c r="J571" s="39"/>
      <c r="K571"/>
      <c r="L571" s="43"/>
      <c r="M571"/>
      <c r="N571"/>
      <c r="O571" s="43"/>
      <c r="P571"/>
      <c r="Q571"/>
      <c r="R571" s="43"/>
      <c r="S571"/>
      <c r="U571" s="38"/>
      <c r="V571" s="39"/>
      <c r="W571" s="38"/>
      <c r="X571" s="39"/>
      <c r="Y571" s="38"/>
      <c r="AA571" s="38"/>
      <c r="AB571" s="39"/>
      <c r="AC571" s="39"/>
      <c r="AD571" s="38"/>
      <c r="AF571" s="38"/>
      <c r="AG571" s="39"/>
      <c r="AH571" s="38"/>
    </row>
    <row r="572" spans="2:34" x14ac:dyDescent="0.3">
      <c r="B572" s="38"/>
      <c r="C572" s="40"/>
      <c r="D572" s="39"/>
      <c r="E572" s="12"/>
      <c r="G572" s="39"/>
      <c r="H572" s="12"/>
      <c r="J572" s="39"/>
      <c r="K572"/>
      <c r="L572" s="43"/>
      <c r="M572"/>
      <c r="N572"/>
      <c r="O572" s="43"/>
      <c r="P572"/>
      <c r="Q572"/>
      <c r="R572" s="43"/>
      <c r="S572"/>
      <c r="U572" s="38"/>
      <c r="V572" s="39"/>
      <c r="W572" s="38"/>
      <c r="X572" s="39"/>
      <c r="Y572" s="38"/>
      <c r="AA572" s="38"/>
      <c r="AB572" s="39"/>
      <c r="AC572" s="39"/>
      <c r="AD572" s="38"/>
      <c r="AF572" s="38"/>
      <c r="AG572" s="39"/>
      <c r="AH572" s="38"/>
    </row>
    <row r="573" spans="2:34" x14ac:dyDescent="0.3">
      <c r="B573" s="38"/>
      <c r="C573" s="40"/>
      <c r="D573" s="39"/>
      <c r="E573" s="12"/>
      <c r="G573" s="39"/>
      <c r="H573" s="12"/>
      <c r="J573" s="39"/>
      <c r="K573"/>
      <c r="L573" s="43"/>
      <c r="M573"/>
      <c r="N573"/>
      <c r="O573" s="43"/>
      <c r="P573"/>
      <c r="Q573"/>
      <c r="R573" s="43"/>
      <c r="S573"/>
      <c r="U573" s="38"/>
      <c r="V573" s="39"/>
      <c r="W573" s="38"/>
      <c r="X573" s="39"/>
      <c r="Y573" s="38"/>
      <c r="AA573" s="38"/>
      <c r="AB573" s="39"/>
      <c r="AC573" s="39"/>
      <c r="AD573" s="38"/>
      <c r="AF573" s="38"/>
      <c r="AG573" s="39"/>
      <c r="AH573" s="38"/>
    </row>
    <row r="574" spans="2:34" x14ac:dyDescent="0.3">
      <c r="B574" s="38"/>
      <c r="C574" s="40"/>
      <c r="D574" s="39"/>
      <c r="E574" s="12"/>
      <c r="G574" s="39"/>
      <c r="H574" s="12"/>
      <c r="J574" s="39"/>
      <c r="K574"/>
      <c r="L574" s="43"/>
      <c r="M574"/>
      <c r="N574"/>
      <c r="O574" s="43"/>
      <c r="P574"/>
      <c r="Q574"/>
      <c r="R574" s="43"/>
      <c r="S574"/>
      <c r="U574" s="38"/>
      <c r="V574" s="39"/>
      <c r="W574" s="38"/>
      <c r="X574" s="39"/>
      <c r="Y574" s="38"/>
      <c r="AA574" s="38"/>
      <c r="AB574" s="39"/>
      <c r="AC574" s="39"/>
      <c r="AD574" s="38"/>
      <c r="AF574" s="38"/>
      <c r="AG574" s="39"/>
      <c r="AH574" s="38"/>
    </row>
    <row r="575" spans="2:34" x14ac:dyDescent="0.3">
      <c r="B575" s="38"/>
      <c r="C575" s="40"/>
      <c r="D575" s="39"/>
      <c r="E575" s="12"/>
      <c r="G575" s="39"/>
      <c r="H575" s="12"/>
      <c r="J575" s="39"/>
      <c r="K575"/>
      <c r="L575" s="43"/>
      <c r="M575"/>
      <c r="N575"/>
      <c r="O575" s="43"/>
      <c r="P575"/>
      <c r="Q575"/>
      <c r="R575" s="43"/>
      <c r="S575"/>
      <c r="U575" s="38"/>
      <c r="V575" s="39"/>
      <c r="W575" s="38"/>
      <c r="X575" s="39"/>
      <c r="Y575" s="38"/>
      <c r="AA575" s="38"/>
      <c r="AB575" s="39"/>
      <c r="AC575" s="39"/>
      <c r="AD575" s="38"/>
      <c r="AF575" s="38"/>
      <c r="AG575" s="39"/>
      <c r="AH575" s="38"/>
    </row>
    <row r="576" spans="2:34" x14ac:dyDescent="0.3">
      <c r="B576" s="38"/>
      <c r="C576" s="40"/>
      <c r="D576" s="39"/>
      <c r="E576" s="12"/>
      <c r="G576" s="39"/>
      <c r="H576" s="12"/>
      <c r="J576" s="39"/>
      <c r="K576"/>
      <c r="L576" s="43"/>
      <c r="M576"/>
      <c r="N576"/>
      <c r="O576" s="43"/>
      <c r="P576"/>
      <c r="Q576"/>
      <c r="R576" s="43"/>
      <c r="S576"/>
      <c r="U576" s="38"/>
      <c r="V576" s="39"/>
      <c r="W576" s="38"/>
      <c r="X576" s="39"/>
      <c r="Y576" s="38"/>
      <c r="AA576" s="38"/>
      <c r="AB576" s="39"/>
      <c r="AC576" s="39"/>
      <c r="AD576" s="38"/>
      <c r="AF576" s="38"/>
      <c r="AG576" s="39"/>
      <c r="AH576" s="38"/>
    </row>
    <row r="577" spans="2:34" x14ac:dyDescent="0.3">
      <c r="B577" s="38"/>
      <c r="C577" s="40"/>
      <c r="D577" s="39"/>
      <c r="E577" s="12"/>
      <c r="G577" s="39"/>
      <c r="H577" s="12"/>
      <c r="J577" s="39"/>
      <c r="K577"/>
      <c r="L577" s="43"/>
      <c r="M577"/>
      <c r="N577"/>
      <c r="O577" s="43"/>
      <c r="P577"/>
      <c r="Q577"/>
      <c r="R577" s="43"/>
      <c r="S577"/>
      <c r="U577" s="38"/>
      <c r="V577" s="39"/>
      <c r="W577" s="38"/>
      <c r="X577" s="39"/>
      <c r="Y577" s="38"/>
      <c r="AA577" s="38"/>
      <c r="AB577" s="39"/>
      <c r="AC577" s="39"/>
      <c r="AD577" s="38"/>
      <c r="AF577" s="38"/>
      <c r="AG577" s="39"/>
      <c r="AH577" s="38"/>
    </row>
    <row r="578" spans="2:34" x14ac:dyDescent="0.3">
      <c r="B578" s="38"/>
      <c r="C578" s="40"/>
      <c r="D578" s="39"/>
      <c r="E578" s="12"/>
      <c r="G578" s="39"/>
      <c r="H578" s="12"/>
      <c r="J578" s="39"/>
      <c r="K578"/>
      <c r="L578" s="43"/>
      <c r="M578"/>
      <c r="N578"/>
      <c r="O578" s="43"/>
      <c r="P578"/>
      <c r="Q578"/>
      <c r="R578" s="43"/>
      <c r="S578"/>
      <c r="U578" s="38"/>
      <c r="V578" s="39"/>
      <c r="W578" s="38"/>
      <c r="X578" s="39"/>
      <c r="Y578" s="38"/>
      <c r="AA578" s="38"/>
      <c r="AB578" s="39"/>
      <c r="AC578" s="39"/>
      <c r="AD578" s="38"/>
      <c r="AF578" s="38"/>
      <c r="AG578" s="39"/>
      <c r="AH578" s="38"/>
    </row>
    <row r="579" spans="2:34" x14ac:dyDescent="0.3">
      <c r="B579" s="38"/>
      <c r="C579" s="40"/>
      <c r="D579" s="39"/>
      <c r="E579" s="12"/>
      <c r="G579" s="39"/>
      <c r="H579" s="12"/>
      <c r="J579" s="39"/>
      <c r="K579"/>
      <c r="L579" s="43"/>
      <c r="M579"/>
      <c r="N579"/>
      <c r="O579" s="43"/>
      <c r="P579"/>
      <c r="Q579"/>
      <c r="R579" s="43"/>
      <c r="S579"/>
      <c r="U579" s="38"/>
      <c r="V579" s="39"/>
      <c r="W579" s="38"/>
      <c r="X579" s="39"/>
      <c r="Y579" s="38"/>
      <c r="AA579" s="38"/>
      <c r="AB579" s="39"/>
      <c r="AC579" s="39"/>
      <c r="AD579" s="38"/>
      <c r="AF579" s="38"/>
      <c r="AG579" s="39"/>
      <c r="AH579" s="38"/>
    </row>
    <row r="580" spans="2:34" x14ac:dyDescent="0.3">
      <c r="B580" s="38"/>
      <c r="C580" s="40"/>
      <c r="D580" s="39"/>
      <c r="E580" s="12"/>
      <c r="G580" s="39"/>
      <c r="H580" s="12"/>
      <c r="J580" s="39"/>
      <c r="K580"/>
      <c r="L580" s="43"/>
      <c r="M580"/>
      <c r="N580"/>
      <c r="O580" s="43"/>
      <c r="P580"/>
      <c r="Q580"/>
      <c r="R580" s="43"/>
      <c r="S580"/>
      <c r="U580" s="38"/>
      <c r="V580" s="39"/>
      <c r="W580" s="38"/>
      <c r="X580" s="39"/>
      <c r="Y580" s="38"/>
      <c r="AA580" s="38"/>
      <c r="AB580" s="39"/>
      <c r="AC580" s="39"/>
      <c r="AD580" s="38"/>
      <c r="AF580" s="38"/>
      <c r="AG580" s="39"/>
      <c r="AH580" s="38"/>
    </row>
    <row r="581" spans="2:34" x14ac:dyDescent="0.3">
      <c r="B581" s="38"/>
      <c r="C581" s="40"/>
      <c r="D581" s="39"/>
      <c r="E581" s="12"/>
      <c r="G581" s="39"/>
      <c r="H581" s="12"/>
      <c r="J581" s="39"/>
      <c r="K581"/>
      <c r="L581" s="43"/>
      <c r="M581"/>
      <c r="N581"/>
      <c r="O581" s="43"/>
      <c r="P581"/>
      <c r="Q581"/>
      <c r="R581" s="43"/>
      <c r="S581"/>
      <c r="U581" s="38"/>
      <c r="V581" s="39"/>
      <c r="W581" s="38"/>
      <c r="X581" s="39"/>
      <c r="Y581" s="38"/>
      <c r="AA581" s="38"/>
      <c r="AB581" s="39"/>
      <c r="AC581" s="39"/>
      <c r="AD581" s="38"/>
      <c r="AF581" s="38"/>
      <c r="AG581" s="39"/>
      <c r="AH581" s="38"/>
    </row>
    <row r="582" spans="2:34" x14ac:dyDescent="0.3">
      <c r="B582" s="38"/>
      <c r="C582" s="40"/>
      <c r="D582" s="39"/>
      <c r="E582" s="12"/>
      <c r="G582" s="39"/>
      <c r="H582" s="12"/>
      <c r="J582" s="39"/>
      <c r="K582"/>
      <c r="L582" s="43"/>
      <c r="M582"/>
      <c r="N582"/>
      <c r="O582" s="43"/>
      <c r="P582"/>
      <c r="Q582"/>
      <c r="R582" s="43"/>
      <c r="S582"/>
      <c r="U582" s="38"/>
      <c r="V582" s="39"/>
      <c r="W582" s="38"/>
      <c r="X582" s="39"/>
      <c r="Y582" s="38"/>
      <c r="AC582" s="39"/>
      <c r="AD582" s="38"/>
      <c r="AF582" s="38"/>
      <c r="AG582" s="39"/>
      <c r="AH582" s="38"/>
    </row>
    <row r="583" spans="2:34" x14ac:dyDescent="0.3">
      <c r="B583" s="38"/>
      <c r="C583" s="40"/>
      <c r="D583" s="39"/>
      <c r="E583" s="12"/>
      <c r="G583" s="39"/>
      <c r="H583" s="12"/>
      <c r="J583" s="39"/>
      <c r="K583"/>
      <c r="L583" s="43"/>
      <c r="M583"/>
      <c r="N583"/>
      <c r="O583" s="43"/>
      <c r="P583"/>
      <c r="Q583"/>
      <c r="R583" s="43"/>
      <c r="S583"/>
      <c r="U583" s="38"/>
      <c r="V583" s="39"/>
      <c r="W583" s="38"/>
      <c r="X583" s="39"/>
      <c r="Y583" s="38"/>
      <c r="AC583" s="39"/>
      <c r="AD583" s="38"/>
      <c r="AF583" s="38"/>
      <c r="AG583" s="39"/>
      <c r="AH583" s="38"/>
    </row>
    <row r="584" spans="2:34" x14ac:dyDescent="0.3">
      <c r="B584" s="38"/>
      <c r="C584" s="40"/>
      <c r="D584" s="39"/>
      <c r="E584" s="12"/>
      <c r="G584" s="39"/>
      <c r="H584" s="12"/>
      <c r="J584" s="39"/>
      <c r="K584"/>
      <c r="L584" s="43"/>
      <c r="M584"/>
      <c r="N584"/>
      <c r="O584" s="43"/>
      <c r="P584"/>
      <c r="Q584"/>
      <c r="R584" s="43"/>
      <c r="S584"/>
      <c r="U584" s="38"/>
      <c r="V584" s="39"/>
      <c r="W584" s="38"/>
      <c r="X584" s="39"/>
      <c r="Y584" s="38"/>
      <c r="AA584" s="38"/>
      <c r="AB584" s="39"/>
      <c r="AC584" s="39"/>
      <c r="AD584" s="38"/>
      <c r="AF584" s="38"/>
      <c r="AG584" s="39"/>
      <c r="AH584" s="38"/>
    </row>
    <row r="585" spans="2:34" x14ac:dyDescent="0.3">
      <c r="B585" s="38"/>
      <c r="C585" s="40"/>
      <c r="D585" s="39"/>
      <c r="E585" s="12"/>
      <c r="G585" s="39"/>
      <c r="H585" s="12"/>
      <c r="J585" s="39"/>
      <c r="K585"/>
      <c r="L585" s="43"/>
      <c r="M585"/>
      <c r="N585"/>
      <c r="O585" s="43"/>
      <c r="P585"/>
      <c r="Q585"/>
      <c r="R585" s="43"/>
      <c r="S585"/>
      <c r="U585" s="38"/>
      <c r="V585" s="39"/>
      <c r="W585" s="38"/>
      <c r="X585" s="39"/>
      <c r="Y585" s="38"/>
      <c r="AA585" s="38"/>
      <c r="AB585" s="39"/>
      <c r="AC585" s="39"/>
      <c r="AD585" s="38"/>
      <c r="AF585" s="38"/>
      <c r="AG585" s="39"/>
      <c r="AH585" s="38"/>
    </row>
    <row r="586" spans="2:34" x14ac:dyDescent="0.3">
      <c r="B586" s="38"/>
      <c r="C586" s="40"/>
      <c r="D586" s="39"/>
      <c r="E586" s="12"/>
      <c r="G586" s="39"/>
      <c r="H586" s="12"/>
      <c r="J586" s="39"/>
      <c r="K586"/>
      <c r="L586" s="43"/>
      <c r="M586"/>
      <c r="N586"/>
      <c r="O586" s="43"/>
      <c r="P586"/>
      <c r="Q586"/>
      <c r="R586" s="43"/>
      <c r="S586"/>
      <c r="U586" s="38"/>
      <c r="V586" s="39"/>
      <c r="W586" s="38"/>
      <c r="X586" s="39"/>
      <c r="Y586" s="38"/>
      <c r="AA586" s="38"/>
      <c r="AB586" s="39"/>
      <c r="AC586" s="39"/>
      <c r="AD586" s="38"/>
      <c r="AF586" s="38"/>
      <c r="AG586" s="39"/>
      <c r="AH586" s="38"/>
    </row>
    <row r="587" spans="2:34" x14ac:dyDescent="0.3">
      <c r="B587" s="38"/>
      <c r="C587" s="40"/>
      <c r="D587" s="39"/>
      <c r="E587" s="12"/>
      <c r="G587" s="39"/>
      <c r="H587" s="12"/>
      <c r="J587" s="39"/>
      <c r="K587"/>
      <c r="L587" s="43"/>
      <c r="M587"/>
      <c r="N587"/>
      <c r="O587" s="43"/>
      <c r="P587"/>
      <c r="Q587"/>
      <c r="R587" s="43"/>
      <c r="S587"/>
      <c r="U587" s="38"/>
      <c r="V587" s="39"/>
      <c r="W587" s="38"/>
      <c r="X587" s="39"/>
      <c r="Y587" s="38"/>
      <c r="AA587" s="38"/>
      <c r="AB587" s="39"/>
      <c r="AC587" s="39"/>
      <c r="AD587" s="38"/>
      <c r="AF587" s="38"/>
      <c r="AG587" s="39"/>
      <c r="AH587" s="38"/>
    </row>
    <row r="588" spans="2:34" x14ac:dyDescent="0.3">
      <c r="B588" s="38"/>
      <c r="C588" s="40"/>
      <c r="D588" s="39"/>
      <c r="E588" s="12"/>
      <c r="G588" s="39"/>
      <c r="H588" s="12"/>
      <c r="J588" s="39"/>
      <c r="K588"/>
      <c r="L588" s="43"/>
      <c r="M588"/>
      <c r="N588"/>
      <c r="O588" s="43"/>
      <c r="P588"/>
      <c r="Q588"/>
      <c r="R588" s="43"/>
      <c r="S588"/>
      <c r="U588" s="38"/>
      <c r="V588" s="39"/>
      <c r="W588" s="38"/>
      <c r="X588" s="39"/>
      <c r="Y588" s="38"/>
      <c r="AA588" s="38"/>
      <c r="AB588" s="39"/>
      <c r="AC588" s="39"/>
      <c r="AD588" s="38"/>
      <c r="AF588" s="38"/>
      <c r="AG588" s="39"/>
      <c r="AH588" s="38"/>
    </row>
    <row r="589" spans="2:34" x14ac:dyDescent="0.3">
      <c r="B589" s="38"/>
      <c r="C589" s="40"/>
      <c r="D589" s="39"/>
      <c r="E589" s="12"/>
      <c r="G589" s="39"/>
      <c r="H589" s="12"/>
      <c r="J589" s="39"/>
      <c r="K589"/>
      <c r="L589" s="43"/>
      <c r="M589"/>
      <c r="N589"/>
      <c r="O589" s="43"/>
      <c r="P589"/>
      <c r="Q589"/>
      <c r="R589" s="43"/>
      <c r="S589"/>
      <c r="U589" s="38"/>
      <c r="V589" s="39"/>
      <c r="W589" s="38"/>
      <c r="X589" s="39"/>
      <c r="Y589" s="38"/>
      <c r="AA589" s="38"/>
      <c r="AB589" s="39"/>
      <c r="AC589" s="39"/>
      <c r="AD589" s="38"/>
      <c r="AF589" s="38"/>
      <c r="AG589" s="39"/>
      <c r="AH589" s="38"/>
    </row>
    <row r="590" spans="2:34" x14ac:dyDescent="0.3">
      <c r="B590" s="38"/>
      <c r="C590" s="40"/>
      <c r="D590" s="39"/>
      <c r="E590" s="12"/>
      <c r="G590" s="39"/>
      <c r="H590" s="12"/>
      <c r="J590" s="39"/>
      <c r="K590"/>
      <c r="L590" s="43"/>
      <c r="M590"/>
      <c r="N590"/>
      <c r="O590" s="43"/>
      <c r="P590"/>
      <c r="Q590"/>
      <c r="R590" s="43"/>
      <c r="S590"/>
      <c r="U590" s="38"/>
      <c r="V590" s="39"/>
      <c r="W590" s="38"/>
      <c r="X590" s="39"/>
      <c r="Y590" s="38"/>
      <c r="AA590" s="38"/>
      <c r="AB590" s="39"/>
      <c r="AC590" s="39"/>
      <c r="AD590" s="38"/>
      <c r="AF590" s="38"/>
      <c r="AG590" s="39"/>
      <c r="AH590" s="38"/>
    </row>
    <row r="591" spans="2:34" x14ac:dyDescent="0.3">
      <c r="B591" s="38"/>
      <c r="C591" s="40"/>
      <c r="D591" s="39"/>
      <c r="E591" s="12"/>
      <c r="G591" s="39"/>
      <c r="H591" s="12"/>
      <c r="J591" s="39"/>
      <c r="K591"/>
      <c r="L591" s="43"/>
      <c r="M591"/>
      <c r="N591"/>
      <c r="O591" s="43"/>
      <c r="P591"/>
      <c r="Q591"/>
      <c r="R591" s="43"/>
      <c r="S591"/>
      <c r="U591" s="38"/>
      <c r="V591" s="39"/>
      <c r="W591" s="38"/>
      <c r="X591" s="39"/>
      <c r="Y591" s="38"/>
      <c r="AA591" s="38"/>
      <c r="AB591" s="39"/>
      <c r="AC591" s="39"/>
      <c r="AD591" s="38"/>
      <c r="AF591" s="38"/>
      <c r="AG591" s="39"/>
      <c r="AH591" s="38"/>
    </row>
    <row r="592" spans="2:34" x14ac:dyDescent="0.3">
      <c r="B592" s="38"/>
      <c r="C592" s="40"/>
      <c r="D592" s="39"/>
      <c r="E592" s="12"/>
      <c r="G592" s="39"/>
      <c r="H592" s="12"/>
      <c r="J592" s="39"/>
      <c r="K592"/>
      <c r="L592" s="43"/>
      <c r="M592"/>
      <c r="N592"/>
      <c r="O592" s="43"/>
      <c r="P592"/>
      <c r="Q592"/>
      <c r="R592" s="43"/>
      <c r="S592"/>
      <c r="U592" s="38"/>
      <c r="V592" s="39"/>
      <c r="W592" s="38"/>
      <c r="X592" s="39"/>
      <c r="Y592" s="38"/>
      <c r="AA592" s="38"/>
      <c r="AB592" s="39"/>
      <c r="AC592" s="39"/>
      <c r="AD592" s="38"/>
      <c r="AF592" s="38"/>
      <c r="AG592" s="39"/>
      <c r="AH592" s="38"/>
    </row>
    <row r="593" spans="2:34" x14ac:dyDescent="0.3">
      <c r="B593" s="38"/>
      <c r="C593" s="40"/>
      <c r="D593" s="39"/>
      <c r="E593" s="12"/>
      <c r="G593" s="39"/>
      <c r="H593" s="12"/>
      <c r="J593" s="39"/>
      <c r="K593"/>
      <c r="L593" s="43"/>
      <c r="M593"/>
      <c r="N593"/>
      <c r="O593" s="43"/>
      <c r="P593"/>
      <c r="Q593"/>
      <c r="R593" s="43"/>
      <c r="S593"/>
      <c r="U593" s="38"/>
      <c r="V593" s="39"/>
      <c r="W593" s="38"/>
      <c r="X593" s="39"/>
      <c r="Y593" s="38"/>
      <c r="AA593" s="38"/>
      <c r="AB593" s="39"/>
      <c r="AC593" s="39"/>
      <c r="AD593" s="38"/>
      <c r="AF593" s="38"/>
      <c r="AG593" s="39"/>
      <c r="AH593" s="38"/>
    </row>
    <row r="594" spans="2:34" x14ac:dyDescent="0.3">
      <c r="B594" s="38"/>
      <c r="C594" s="40"/>
      <c r="D594" s="39"/>
      <c r="E594" s="12"/>
      <c r="G594" s="39"/>
      <c r="H594" s="12"/>
      <c r="J594" s="39"/>
      <c r="K594"/>
      <c r="L594" s="43"/>
      <c r="M594"/>
      <c r="N594"/>
      <c r="O594" s="43"/>
      <c r="P594"/>
      <c r="Q594"/>
      <c r="R594" s="43"/>
      <c r="S594"/>
      <c r="U594" s="38"/>
      <c r="V594" s="39"/>
      <c r="W594" s="38"/>
      <c r="X594" s="39"/>
      <c r="Y594" s="38"/>
      <c r="AA594" s="38"/>
      <c r="AB594" s="39"/>
      <c r="AC594" s="39"/>
      <c r="AD594" s="38"/>
      <c r="AF594" s="38"/>
      <c r="AG594" s="39"/>
      <c r="AH594" s="38"/>
    </row>
    <row r="595" spans="2:34" x14ac:dyDescent="0.3">
      <c r="B595" s="38"/>
      <c r="C595" s="40"/>
      <c r="D595" s="39"/>
      <c r="E595" s="12"/>
      <c r="G595" s="39"/>
      <c r="H595" s="12"/>
      <c r="J595" s="39"/>
      <c r="K595"/>
      <c r="L595" s="43"/>
      <c r="M595"/>
      <c r="N595"/>
      <c r="O595" s="43"/>
      <c r="P595"/>
      <c r="Q595"/>
      <c r="R595" s="43"/>
      <c r="S595"/>
      <c r="U595" s="38"/>
      <c r="V595" s="39"/>
      <c r="W595" s="38"/>
      <c r="X595" s="39"/>
      <c r="Y595" s="38"/>
      <c r="AA595" s="38"/>
      <c r="AB595" s="39"/>
      <c r="AC595" s="39"/>
      <c r="AD595" s="38"/>
      <c r="AF595" s="38"/>
      <c r="AG595" s="39"/>
      <c r="AH595" s="38"/>
    </row>
    <row r="596" spans="2:34" x14ac:dyDescent="0.3">
      <c r="B596" s="38"/>
      <c r="C596" s="40"/>
      <c r="D596" s="39"/>
      <c r="E596" s="12"/>
      <c r="G596" s="39"/>
      <c r="H596" s="12"/>
      <c r="J596" s="39"/>
      <c r="K596"/>
      <c r="L596" s="43"/>
      <c r="M596"/>
      <c r="N596"/>
      <c r="O596" s="43"/>
      <c r="P596"/>
      <c r="Q596"/>
      <c r="R596" s="43"/>
      <c r="S596"/>
      <c r="U596" s="38"/>
      <c r="V596" s="39"/>
      <c r="W596" s="38"/>
      <c r="X596" s="39"/>
      <c r="Y596" s="38"/>
      <c r="AA596" s="38"/>
      <c r="AB596" s="39"/>
      <c r="AC596" s="39"/>
      <c r="AD596" s="38"/>
      <c r="AF596" s="38"/>
      <c r="AG596" s="39"/>
      <c r="AH596" s="38"/>
    </row>
    <row r="597" spans="2:34" x14ac:dyDescent="0.3">
      <c r="B597" s="38"/>
      <c r="C597" s="40"/>
      <c r="D597" s="39"/>
      <c r="E597" s="12"/>
      <c r="G597" s="39"/>
      <c r="H597" s="12"/>
      <c r="J597" s="39"/>
      <c r="K597"/>
      <c r="L597" s="43"/>
      <c r="M597"/>
      <c r="N597"/>
      <c r="O597" s="43"/>
      <c r="P597"/>
      <c r="Q597"/>
      <c r="R597" s="43"/>
      <c r="S597"/>
      <c r="U597" s="38"/>
      <c r="V597" s="39"/>
      <c r="W597" s="38"/>
      <c r="X597" s="39"/>
      <c r="Y597" s="38"/>
      <c r="AA597" s="38"/>
      <c r="AB597" s="39"/>
      <c r="AC597" s="39"/>
      <c r="AD597" s="38"/>
      <c r="AF597" s="38"/>
      <c r="AG597" s="39"/>
      <c r="AH597" s="38"/>
    </row>
    <row r="598" spans="2:34" x14ac:dyDescent="0.3">
      <c r="B598" s="38"/>
      <c r="C598" s="40"/>
      <c r="D598" s="39"/>
      <c r="E598" s="12"/>
      <c r="G598" s="39"/>
      <c r="H598" s="12"/>
      <c r="J598" s="39"/>
      <c r="K598"/>
      <c r="L598" s="43"/>
      <c r="M598"/>
      <c r="N598"/>
      <c r="O598" s="43"/>
      <c r="P598"/>
      <c r="Q598"/>
      <c r="R598" s="43"/>
      <c r="S598"/>
      <c r="U598" s="38"/>
      <c r="V598" s="39"/>
      <c r="W598" s="38"/>
      <c r="X598" s="39"/>
      <c r="Y598" s="38"/>
      <c r="AA598" s="38"/>
      <c r="AB598" s="39"/>
      <c r="AC598" s="39"/>
      <c r="AD598" s="38"/>
      <c r="AF598" s="38"/>
      <c r="AG598" s="39"/>
      <c r="AH598" s="38"/>
    </row>
    <row r="599" spans="2:34" x14ac:dyDescent="0.3">
      <c r="B599" s="38"/>
      <c r="C599" s="40"/>
      <c r="D599" s="39"/>
      <c r="E599" s="12"/>
      <c r="G599" s="39"/>
      <c r="H599" s="12"/>
      <c r="J599" s="39"/>
      <c r="K599"/>
      <c r="L599" s="43"/>
      <c r="M599"/>
      <c r="N599"/>
      <c r="O599" s="43"/>
      <c r="P599"/>
      <c r="Q599"/>
      <c r="R599" s="43"/>
      <c r="S599"/>
      <c r="U599" s="38"/>
      <c r="V599" s="39"/>
      <c r="W599" s="38"/>
      <c r="X599" s="39"/>
      <c r="Y599" s="38"/>
      <c r="AA599" s="38"/>
      <c r="AB599" s="39"/>
      <c r="AC599" s="39"/>
      <c r="AD599" s="38"/>
      <c r="AF599" s="38"/>
      <c r="AG599" s="39"/>
      <c r="AH599" s="38"/>
    </row>
    <row r="600" spans="2:34" x14ac:dyDescent="0.3">
      <c r="B600" s="38"/>
      <c r="C600" s="40"/>
      <c r="D600" s="39"/>
      <c r="E600" s="12"/>
      <c r="G600" s="39"/>
      <c r="H600" s="12"/>
      <c r="J600" s="39"/>
      <c r="K600"/>
      <c r="L600" s="43"/>
      <c r="M600"/>
      <c r="N600"/>
      <c r="O600" s="43"/>
      <c r="P600"/>
      <c r="Q600"/>
      <c r="R600" s="43"/>
      <c r="S600"/>
      <c r="U600" s="38"/>
      <c r="V600" s="39"/>
      <c r="W600" s="38"/>
      <c r="X600" s="39"/>
      <c r="Y600" s="38"/>
      <c r="AA600" s="38"/>
      <c r="AB600" s="39"/>
      <c r="AC600" s="39"/>
      <c r="AD600" s="38"/>
      <c r="AF600" s="38"/>
      <c r="AG600" s="39"/>
      <c r="AH600" s="38"/>
    </row>
    <row r="601" spans="2:34" x14ac:dyDescent="0.3">
      <c r="B601" s="38"/>
      <c r="C601" s="40"/>
      <c r="D601" s="39"/>
      <c r="E601" s="12"/>
      <c r="G601" s="39"/>
      <c r="H601" s="12"/>
      <c r="J601" s="39"/>
      <c r="K601"/>
      <c r="L601" s="43"/>
      <c r="M601"/>
      <c r="N601"/>
      <c r="O601" s="43"/>
      <c r="P601"/>
      <c r="Q601"/>
      <c r="R601" s="43"/>
      <c r="S601"/>
      <c r="U601" s="38"/>
      <c r="V601" s="39"/>
      <c r="W601" s="38"/>
      <c r="X601" s="39"/>
      <c r="Y601" s="38"/>
      <c r="AA601" s="38"/>
      <c r="AB601" s="39"/>
      <c r="AC601" s="39"/>
      <c r="AD601" s="38"/>
      <c r="AF601" s="38"/>
      <c r="AG601" s="39"/>
      <c r="AH601" s="38"/>
    </row>
    <row r="602" spans="2:34" x14ac:dyDescent="0.3">
      <c r="B602" s="38"/>
      <c r="C602" s="40"/>
      <c r="D602" s="39"/>
      <c r="E602" s="12"/>
      <c r="G602" s="39"/>
      <c r="H602" s="12"/>
      <c r="J602" s="39"/>
      <c r="K602"/>
      <c r="L602" s="43"/>
      <c r="M602"/>
      <c r="N602"/>
      <c r="O602" s="43"/>
      <c r="P602"/>
      <c r="Q602"/>
      <c r="R602" s="43"/>
      <c r="S602"/>
      <c r="U602" s="38"/>
      <c r="V602" s="39"/>
      <c r="W602" s="38"/>
      <c r="X602" s="39"/>
      <c r="Y602" s="38"/>
      <c r="AA602" s="38"/>
      <c r="AB602" s="39"/>
      <c r="AC602" s="39"/>
      <c r="AD602" s="38"/>
      <c r="AF602" s="38"/>
      <c r="AG602" s="39"/>
      <c r="AH602" s="38"/>
    </row>
    <row r="603" spans="2:34" x14ac:dyDescent="0.3">
      <c r="B603" s="38"/>
      <c r="C603" s="40"/>
      <c r="D603" s="39"/>
      <c r="E603" s="12"/>
      <c r="G603" s="39"/>
      <c r="H603" s="12"/>
      <c r="J603" s="39"/>
      <c r="K603"/>
      <c r="L603" s="43"/>
      <c r="M603"/>
      <c r="N603"/>
      <c r="O603" s="43"/>
      <c r="P603"/>
      <c r="Q603"/>
      <c r="R603" s="43"/>
      <c r="S603"/>
      <c r="U603" s="38"/>
      <c r="V603" s="39"/>
      <c r="W603" s="38"/>
      <c r="X603" s="39"/>
      <c r="Y603" s="38"/>
      <c r="AA603" s="38"/>
      <c r="AB603" s="39"/>
      <c r="AC603" s="39"/>
      <c r="AD603" s="38"/>
      <c r="AF603" s="38"/>
      <c r="AG603" s="39"/>
      <c r="AH603" s="38"/>
    </row>
    <row r="604" spans="2:34" x14ac:dyDescent="0.3">
      <c r="B604" s="38"/>
      <c r="C604" s="40"/>
      <c r="D604" s="39"/>
      <c r="E604" s="12"/>
      <c r="G604" s="39"/>
      <c r="H604" s="12"/>
      <c r="J604" s="39"/>
      <c r="K604"/>
      <c r="L604" s="43"/>
      <c r="M604"/>
      <c r="N604"/>
      <c r="O604" s="43"/>
      <c r="P604"/>
      <c r="Q604"/>
      <c r="R604" s="43"/>
      <c r="S604"/>
      <c r="U604" s="38"/>
      <c r="V604" s="39"/>
      <c r="W604" s="38"/>
      <c r="X604" s="39"/>
      <c r="Y604" s="38"/>
      <c r="AA604" s="38"/>
      <c r="AB604" s="39"/>
      <c r="AC604" s="39"/>
      <c r="AD604" s="38"/>
      <c r="AF604" s="38"/>
      <c r="AG604" s="39"/>
      <c r="AH604" s="38"/>
    </row>
    <row r="605" spans="2:34" x14ac:dyDescent="0.3">
      <c r="B605" s="38"/>
      <c r="C605" s="40"/>
      <c r="D605" s="39"/>
      <c r="E605" s="12"/>
      <c r="G605" s="39"/>
      <c r="H605" s="12"/>
      <c r="J605" s="39"/>
      <c r="K605"/>
      <c r="L605" s="43"/>
      <c r="M605"/>
      <c r="N605"/>
      <c r="O605" s="43"/>
      <c r="P605"/>
      <c r="Q605"/>
      <c r="R605" s="43"/>
      <c r="S605"/>
      <c r="U605" s="38"/>
      <c r="V605" s="39"/>
      <c r="W605" s="38"/>
      <c r="X605" s="39"/>
      <c r="Y605" s="38"/>
      <c r="AA605" s="38"/>
      <c r="AB605" s="39"/>
      <c r="AC605" s="39"/>
      <c r="AD605" s="38"/>
      <c r="AF605" s="38"/>
      <c r="AG605" s="39"/>
      <c r="AH605" s="38"/>
    </row>
    <row r="606" spans="2:34" x14ac:dyDescent="0.3">
      <c r="B606" s="38"/>
      <c r="C606" s="40"/>
      <c r="D606" s="39"/>
      <c r="E606" s="12"/>
      <c r="G606" s="39"/>
      <c r="H606" s="12"/>
      <c r="J606" s="39"/>
      <c r="K606"/>
      <c r="L606" s="43"/>
      <c r="M606"/>
      <c r="N606"/>
      <c r="O606" s="43"/>
      <c r="P606"/>
      <c r="Q606"/>
      <c r="R606" s="43"/>
      <c r="S606"/>
      <c r="U606" s="38"/>
      <c r="V606" s="39"/>
      <c r="W606" s="38"/>
      <c r="X606" s="39"/>
      <c r="Y606" s="38"/>
      <c r="AA606" s="38"/>
      <c r="AB606" s="39"/>
      <c r="AC606" s="39"/>
      <c r="AD606" s="38"/>
      <c r="AF606" s="38"/>
      <c r="AG606" s="39"/>
      <c r="AH606" s="38"/>
    </row>
    <row r="607" spans="2:34" x14ac:dyDescent="0.3">
      <c r="B607" s="38"/>
      <c r="C607" s="40"/>
      <c r="D607" s="39"/>
      <c r="E607" s="12"/>
      <c r="G607" s="39"/>
      <c r="H607" s="12"/>
      <c r="J607" s="39"/>
      <c r="K607"/>
      <c r="L607" s="43"/>
      <c r="M607"/>
      <c r="N607"/>
      <c r="O607" s="43"/>
      <c r="P607"/>
      <c r="Q607"/>
      <c r="R607" s="43"/>
      <c r="S607"/>
      <c r="U607" s="38"/>
      <c r="V607" s="39"/>
      <c r="W607" s="38"/>
      <c r="X607" s="39"/>
      <c r="Y607" s="38"/>
      <c r="AA607" s="38"/>
      <c r="AB607" s="39"/>
      <c r="AC607" s="39"/>
      <c r="AD607" s="38"/>
      <c r="AF607" s="38"/>
      <c r="AG607" s="39"/>
      <c r="AH607" s="38"/>
    </row>
    <row r="608" spans="2:34" x14ac:dyDescent="0.3">
      <c r="B608" s="38"/>
      <c r="C608" s="40"/>
      <c r="D608" s="39"/>
      <c r="E608" s="12"/>
      <c r="G608" s="39"/>
      <c r="H608" s="12"/>
      <c r="J608" s="39"/>
      <c r="K608"/>
      <c r="L608" s="43"/>
      <c r="M608"/>
      <c r="N608"/>
      <c r="O608" s="43"/>
      <c r="P608"/>
      <c r="Q608"/>
      <c r="R608" s="43"/>
      <c r="S608"/>
      <c r="U608" s="38"/>
      <c r="V608" s="39"/>
      <c r="W608" s="38"/>
      <c r="X608" s="39"/>
      <c r="Y608" s="38"/>
      <c r="AA608" s="38"/>
      <c r="AB608" s="39"/>
      <c r="AC608" s="39"/>
      <c r="AD608" s="38"/>
      <c r="AF608" s="38"/>
      <c r="AG608" s="39"/>
      <c r="AH608" s="38"/>
    </row>
    <row r="609" spans="2:34" x14ac:dyDescent="0.3">
      <c r="B609" s="38"/>
      <c r="C609" s="40"/>
      <c r="D609" s="39"/>
      <c r="E609" s="12"/>
      <c r="G609" s="39"/>
      <c r="H609" s="12"/>
      <c r="J609" s="39"/>
      <c r="K609"/>
      <c r="L609" s="43"/>
      <c r="M609"/>
      <c r="N609"/>
      <c r="O609" s="43"/>
      <c r="P609"/>
      <c r="Q609"/>
      <c r="R609" s="43"/>
      <c r="S609"/>
      <c r="U609" s="38"/>
      <c r="V609" s="39"/>
      <c r="W609" s="38"/>
      <c r="X609" s="39"/>
      <c r="Y609" s="38"/>
      <c r="AA609" s="38"/>
      <c r="AB609" s="39"/>
      <c r="AC609" s="39"/>
      <c r="AD609" s="38"/>
      <c r="AF609" s="38"/>
      <c r="AG609" s="39"/>
      <c r="AH609" s="38"/>
    </row>
    <row r="610" spans="2:34" x14ac:dyDescent="0.3">
      <c r="B610" s="38"/>
      <c r="C610" s="40"/>
      <c r="D610" s="39"/>
      <c r="E610" s="12"/>
      <c r="G610" s="39"/>
      <c r="H610" s="12"/>
      <c r="J610" s="39"/>
      <c r="K610"/>
      <c r="L610" s="43"/>
      <c r="M610"/>
      <c r="N610"/>
      <c r="O610" s="43"/>
      <c r="P610"/>
      <c r="Q610"/>
      <c r="R610" s="43"/>
      <c r="S610"/>
      <c r="U610" s="38"/>
      <c r="V610" s="39"/>
      <c r="W610" s="38"/>
      <c r="X610" s="39"/>
      <c r="Y610" s="38"/>
      <c r="AA610" s="38"/>
      <c r="AB610" s="39"/>
      <c r="AC610" s="39"/>
      <c r="AD610" s="38"/>
      <c r="AF610" s="38"/>
      <c r="AG610" s="39"/>
      <c r="AH610" s="38"/>
    </row>
    <row r="611" spans="2:34" x14ac:dyDescent="0.3">
      <c r="B611" s="38"/>
      <c r="C611" s="40"/>
      <c r="D611" s="39"/>
      <c r="E611" s="12"/>
      <c r="G611" s="39"/>
      <c r="H611" s="12"/>
      <c r="J611" s="39"/>
      <c r="K611"/>
      <c r="L611" s="43"/>
      <c r="M611"/>
      <c r="N611"/>
      <c r="O611" s="43"/>
      <c r="P611"/>
      <c r="Q611"/>
      <c r="R611" s="43"/>
      <c r="S611"/>
      <c r="U611" s="38"/>
      <c r="V611" s="39"/>
      <c r="W611" s="38"/>
      <c r="X611" s="39"/>
      <c r="Y611" s="38"/>
      <c r="AA611" s="38"/>
      <c r="AB611" s="39"/>
      <c r="AC611" s="39"/>
      <c r="AD611" s="38"/>
      <c r="AF611" s="38"/>
      <c r="AG611" s="39"/>
      <c r="AH611" s="38"/>
    </row>
    <row r="612" spans="2:34" x14ac:dyDescent="0.3">
      <c r="B612" s="38"/>
      <c r="C612" s="40"/>
      <c r="D612" s="39"/>
      <c r="E612" s="12"/>
      <c r="G612" s="39"/>
      <c r="H612" s="12"/>
      <c r="J612" s="39"/>
      <c r="K612"/>
      <c r="L612" s="43"/>
      <c r="M612"/>
      <c r="N612"/>
      <c r="O612" s="43"/>
      <c r="P612"/>
      <c r="Q612"/>
      <c r="R612" s="43"/>
      <c r="S612"/>
      <c r="U612" s="38"/>
      <c r="V612" s="39"/>
      <c r="W612" s="38"/>
      <c r="X612" s="39"/>
      <c r="Y612" s="38"/>
      <c r="AA612" s="38"/>
      <c r="AB612" s="39"/>
      <c r="AC612" s="39"/>
      <c r="AD612" s="38"/>
      <c r="AF612" s="38"/>
      <c r="AG612" s="39"/>
      <c r="AH612" s="38"/>
    </row>
    <row r="613" spans="2:34" x14ac:dyDescent="0.3">
      <c r="B613" s="38"/>
      <c r="C613" s="40"/>
      <c r="D613" s="39"/>
      <c r="E613" s="12"/>
      <c r="G613" s="39"/>
      <c r="H613" s="12"/>
      <c r="J613" s="39"/>
      <c r="K613"/>
      <c r="L613" s="43"/>
      <c r="M613"/>
      <c r="N613"/>
      <c r="O613" s="43"/>
      <c r="P613"/>
      <c r="Q613"/>
      <c r="R613" s="43"/>
      <c r="S613"/>
      <c r="U613" s="38"/>
      <c r="V613" s="39"/>
      <c r="W613" s="38"/>
      <c r="X613" s="39"/>
      <c r="Y613" s="38"/>
      <c r="AA613" s="38"/>
      <c r="AB613" s="39"/>
      <c r="AC613" s="39"/>
      <c r="AD613" s="38"/>
      <c r="AF613" s="38"/>
      <c r="AG613" s="39"/>
      <c r="AH613" s="38"/>
    </row>
    <row r="614" spans="2:34" x14ac:dyDescent="0.3">
      <c r="B614" s="38"/>
      <c r="C614" s="40"/>
      <c r="D614" s="39"/>
      <c r="E614" s="12"/>
      <c r="G614" s="39"/>
      <c r="H614" s="12"/>
      <c r="J614" s="39"/>
      <c r="K614"/>
      <c r="L614" s="43"/>
      <c r="M614"/>
      <c r="N614"/>
      <c r="O614" s="43"/>
      <c r="P614"/>
      <c r="Q614"/>
      <c r="R614" s="43"/>
      <c r="S614"/>
      <c r="U614" s="38"/>
      <c r="V614" s="39"/>
      <c r="W614" s="38"/>
      <c r="X614" s="39"/>
      <c r="Y614" s="38"/>
      <c r="AA614" s="38"/>
      <c r="AB614" s="39"/>
      <c r="AC614" s="39"/>
      <c r="AD614" s="38"/>
      <c r="AF614" s="38"/>
      <c r="AG614" s="39"/>
      <c r="AH614" s="38"/>
    </row>
    <row r="615" spans="2:34" x14ac:dyDescent="0.3">
      <c r="B615" s="38"/>
      <c r="C615" s="40"/>
      <c r="D615" s="39"/>
      <c r="E615" s="12"/>
      <c r="G615" s="39"/>
      <c r="H615" s="12"/>
      <c r="J615" s="39"/>
      <c r="K615"/>
      <c r="L615" s="43"/>
      <c r="M615"/>
      <c r="N615"/>
      <c r="O615" s="43"/>
      <c r="P615"/>
      <c r="Q615"/>
      <c r="R615" s="43"/>
      <c r="S615"/>
      <c r="U615" s="38"/>
      <c r="V615" s="39"/>
      <c r="W615" s="38"/>
      <c r="X615" s="39"/>
      <c r="Y615" s="38"/>
      <c r="AA615" s="38"/>
      <c r="AB615" s="39"/>
      <c r="AC615" s="39"/>
      <c r="AD615" s="38"/>
      <c r="AF615" s="38"/>
      <c r="AG615" s="39"/>
      <c r="AH615" s="38"/>
    </row>
    <row r="616" spans="2:34" x14ac:dyDescent="0.3">
      <c r="B616" s="38"/>
      <c r="C616" s="40"/>
      <c r="D616" s="39"/>
      <c r="E616" s="12"/>
      <c r="G616" s="39"/>
      <c r="H616" s="12"/>
      <c r="J616" s="39"/>
      <c r="K616"/>
      <c r="L616" s="43"/>
      <c r="M616"/>
      <c r="N616"/>
      <c r="O616" s="43"/>
      <c r="P616"/>
      <c r="Q616"/>
      <c r="R616" s="43"/>
      <c r="S616"/>
      <c r="U616" s="38"/>
      <c r="V616" s="39"/>
      <c r="W616" s="38"/>
      <c r="X616" s="39"/>
      <c r="Y616" s="38"/>
      <c r="AA616" s="38"/>
      <c r="AB616" s="39"/>
      <c r="AC616" s="39"/>
      <c r="AD616" s="38"/>
      <c r="AF616" s="38"/>
      <c r="AG616" s="39"/>
      <c r="AH616" s="38"/>
    </row>
    <row r="617" spans="2:34" x14ac:dyDescent="0.3">
      <c r="B617" s="38"/>
      <c r="C617" s="40"/>
      <c r="D617" s="39"/>
      <c r="E617" s="12"/>
      <c r="G617" s="39"/>
      <c r="H617" s="12"/>
      <c r="J617" s="39"/>
      <c r="K617"/>
      <c r="L617" s="43"/>
      <c r="M617"/>
      <c r="N617"/>
      <c r="O617" s="43"/>
      <c r="P617"/>
      <c r="Q617"/>
      <c r="R617" s="43"/>
      <c r="S617"/>
      <c r="U617" s="38"/>
      <c r="V617" s="39"/>
      <c r="W617" s="38"/>
      <c r="X617" s="39"/>
      <c r="Y617" s="38"/>
      <c r="AA617" s="38"/>
      <c r="AB617" s="39"/>
      <c r="AC617" s="39"/>
      <c r="AD617" s="38"/>
      <c r="AF617" s="38"/>
      <c r="AG617" s="39"/>
      <c r="AH617" s="38"/>
    </row>
    <row r="618" spans="2:34" x14ac:dyDescent="0.3">
      <c r="B618" s="38"/>
      <c r="C618" s="40"/>
      <c r="D618" s="39"/>
      <c r="E618" s="12"/>
      <c r="G618" s="39"/>
      <c r="H618" s="12"/>
      <c r="J618" s="39"/>
      <c r="K618"/>
      <c r="L618" s="43"/>
      <c r="M618"/>
      <c r="N618"/>
      <c r="O618" s="43"/>
      <c r="P618"/>
      <c r="Q618"/>
      <c r="R618" s="43"/>
      <c r="S618"/>
      <c r="U618" s="38"/>
      <c r="V618" s="39"/>
      <c r="W618" s="38"/>
      <c r="X618" s="39"/>
      <c r="Y618" s="38"/>
      <c r="AA618" s="38"/>
      <c r="AB618" s="39"/>
      <c r="AC618" s="39"/>
      <c r="AD618" s="38"/>
      <c r="AF618" s="38"/>
      <c r="AG618" s="39"/>
      <c r="AH618" s="38"/>
    </row>
    <row r="619" spans="2:34" x14ac:dyDescent="0.3">
      <c r="B619" s="38"/>
      <c r="C619" s="40"/>
      <c r="D619" s="39"/>
      <c r="E619" s="12"/>
      <c r="G619" s="39"/>
      <c r="H619" s="12"/>
      <c r="J619" s="39"/>
      <c r="K619"/>
      <c r="L619" s="43"/>
      <c r="M619"/>
      <c r="N619"/>
      <c r="O619" s="43"/>
      <c r="P619"/>
      <c r="Q619"/>
      <c r="R619" s="43"/>
      <c r="S619"/>
      <c r="U619" s="38"/>
      <c r="V619" s="39"/>
      <c r="W619" s="38"/>
      <c r="X619" s="39"/>
      <c r="Y619" s="38"/>
      <c r="AA619" s="38"/>
      <c r="AB619" s="39"/>
      <c r="AC619" s="39"/>
      <c r="AD619" s="38"/>
      <c r="AF619" s="38"/>
      <c r="AG619" s="39"/>
      <c r="AH619" s="38"/>
    </row>
    <row r="620" spans="2:34" x14ac:dyDescent="0.3">
      <c r="B620" s="38"/>
      <c r="C620" s="40"/>
      <c r="D620" s="39"/>
      <c r="E620" s="12"/>
      <c r="G620" s="39"/>
      <c r="H620" s="12"/>
      <c r="J620" s="39"/>
      <c r="K620"/>
      <c r="L620" s="43"/>
      <c r="M620"/>
      <c r="N620"/>
      <c r="O620" s="43"/>
      <c r="P620"/>
      <c r="Q620"/>
      <c r="R620" s="43"/>
      <c r="S620"/>
      <c r="U620" s="38"/>
      <c r="V620" s="39"/>
      <c r="W620" s="38"/>
      <c r="X620" s="39"/>
      <c r="Y620" s="38"/>
      <c r="AA620" s="38"/>
      <c r="AB620" s="39"/>
      <c r="AC620" s="39"/>
      <c r="AD620" s="38"/>
      <c r="AF620" s="38"/>
      <c r="AG620" s="39"/>
      <c r="AH620" s="38"/>
    </row>
    <row r="621" spans="2:34" x14ac:dyDescent="0.3">
      <c r="B621" s="38"/>
      <c r="C621" s="40"/>
      <c r="D621" s="39"/>
      <c r="E621" s="12"/>
      <c r="G621" s="39"/>
      <c r="H621" s="12"/>
      <c r="J621" s="39"/>
      <c r="K621"/>
      <c r="L621" s="43"/>
      <c r="M621"/>
      <c r="N621"/>
      <c r="O621" s="43"/>
      <c r="P621"/>
      <c r="Q621"/>
      <c r="R621" s="43"/>
      <c r="S621"/>
      <c r="U621" s="38"/>
      <c r="V621" s="39"/>
      <c r="W621" s="38"/>
      <c r="X621" s="39"/>
      <c r="Y621" s="38"/>
      <c r="AA621" s="38"/>
      <c r="AB621" s="39"/>
      <c r="AC621" s="39"/>
      <c r="AD621" s="38"/>
      <c r="AF621" s="38"/>
      <c r="AG621" s="39"/>
      <c r="AH621" s="38"/>
    </row>
    <row r="622" spans="2:34" x14ac:dyDescent="0.3">
      <c r="B622" s="38"/>
      <c r="C622" s="40"/>
      <c r="D622" s="39"/>
      <c r="E622" s="12"/>
      <c r="G622" s="39"/>
      <c r="H622" s="12"/>
      <c r="J622" s="39"/>
      <c r="K622"/>
      <c r="L622" s="43"/>
      <c r="M622"/>
      <c r="N622"/>
      <c r="O622" s="43"/>
      <c r="P622"/>
      <c r="Q622"/>
      <c r="R622" s="43"/>
      <c r="S622"/>
      <c r="U622" s="38"/>
      <c r="V622" s="39"/>
      <c r="W622" s="38"/>
      <c r="X622" s="39"/>
      <c r="Y622" s="38"/>
      <c r="AA622" s="38"/>
      <c r="AB622" s="39"/>
      <c r="AC622" s="39"/>
      <c r="AD622" s="38"/>
      <c r="AF622" s="38"/>
      <c r="AG622" s="39"/>
      <c r="AH622" s="38"/>
    </row>
    <row r="623" spans="2:34" x14ac:dyDescent="0.3">
      <c r="B623" s="38"/>
      <c r="C623" s="40"/>
      <c r="D623" s="39"/>
      <c r="E623" s="12"/>
      <c r="G623" s="39"/>
      <c r="H623" s="12"/>
      <c r="J623" s="39"/>
      <c r="K623"/>
      <c r="L623" s="43"/>
      <c r="M623"/>
      <c r="N623"/>
      <c r="O623" s="43"/>
      <c r="P623"/>
      <c r="Q623"/>
      <c r="R623" s="43"/>
      <c r="S623"/>
      <c r="U623" s="38"/>
      <c r="V623" s="39"/>
      <c r="W623" s="38"/>
      <c r="X623" s="39"/>
      <c r="Y623" s="38"/>
      <c r="AA623" s="38"/>
      <c r="AB623" s="39"/>
      <c r="AC623" s="39"/>
      <c r="AD623" s="38"/>
      <c r="AF623" s="38"/>
      <c r="AG623" s="39"/>
      <c r="AH623" s="38"/>
    </row>
    <row r="624" spans="2:34" x14ac:dyDescent="0.3">
      <c r="B624" s="38"/>
      <c r="C624" s="40"/>
      <c r="D624" s="39"/>
      <c r="E624" s="12"/>
      <c r="G624" s="39"/>
      <c r="H624" s="12"/>
      <c r="J624" s="39"/>
      <c r="K624"/>
      <c r="L624" s="43"/>
      <c r="M624"/>
      <c r="N624"/>
      <c r="O624" s="43"/>
      <c r="P624"/>
      <c r="Q624"/>
      <c r="R624" s="43"/>
      <c r="S624"/>
      <c r="U624" s="38"/>
      <c r="V624" s="39"/>
      <c r="W624" s="38"/>
      <c r="X624" s="39"/>
      <c r="Y624" s="38"/>
      <c r="AA624" s="38"/>
      <c r="AB624" s="39"/>
      <c r="AC624" s="39"/>
      <c r="AD624" s="38"/>
      <c r="AF624" s="38"/>
      <c r="AG624" s="39"/>
      <c r="AH624" s="38"/>
    </row>
    <row r="625" spans="2:34" x14ac:dyDescent="0.3">
      <c r="B625" s="38"/>
      <c r="C625" s="40"/>
      <c r="D625" s="39"/>
      <c r="E625" s="12"/>
      <c r="G625" s="39"/>
      <c r="H625" s="12"/>
      <c r="J625" s="39"/>
      <c r="K625"/>
      <c r="L625" s="43"/>
      <c r="M625"/>
      <c r="N625"/>
      <c r="O625" s="43"/>
      <c r="P625"/>
      <c r="Q625"/>
      <c r="R625" s="43"/>
      <c r="S625"/>
      <c r="U625" s="38"/>
      <c r="V625" s="39"/>
      <c r="W625" s="38"/>
      <c r="X625" s="39"/>
      <c r="Y625" s="38"/>
      <c r="AA625" s="38"/>
      <c r="AB625" s="39"/>
      <c r="AC625" s="39"/>
      <c r="AD625" s="38"/>
      <c r="AF625" s="38"/>
      <c r="AG625" s="39"/>
      <c r="AH625" s="38"/>
    </row>
    <row r="626" spans="2:34" x14ac:dyDescent="0.3">
      <c r="B626" s="38"/>
      <c r="C626" s="40"/>
      <c r="D626" s="39"/>
      <c r="E626" s="12"/>
      <c r="G626" s="39"/>
      <c r="H626" s="12"/>
      <c r="J626" s="39"/>
      <c r="K626"/>
      <c r="L626" s="43"/>
      <c r="M626"/>
      <c r="N626"/>
      <c r="O626" s="43"/>
      <c r="P626"/>
      <c r="Q626"/>
      <c r="R626" s="43"/>
      <c r="S626"/>
      <c r="U626" s="38"/>
      <c r="V626" s="39"/>
      <c r="W626" s="38"/>
      <c r="X626" s="39"/>
      <c r="Y626" s="38"/>
      <c r="AA626" s="38"/>
      <c r="AB626" s="39"/>
      <c r="AC626" s="39"/>
      <c r="AD626" s="38"/>
      <c r="AF626" s="38"/>
      <c r="AG626" s="39"/>
      <c r="AH626" s="38"/>
    </row>
    <row r="627" spans="2:34" x14ac:dyDescent="0.3">
      <c r="B627" s="38"/>
      <c r="C627" s="40"/>
      <c r="D627" s="39"/>
      <c r="E627" s="12"/>
      <c r="G627" s="39"/>
      <c r="H627" s="12"/>
      <c r="J627" s="39"/>
      <c r="K627"/>
      <c r="L627" s="43"/>
      <c r="M627"/>
      <c r="N627"/>
      <c r="O627" s="43"/>
      <c r="P627"/>
      <c r="Q627"/>
      <c r="R627" s="43"/>
      <c r="S627"/>
      <c r="U627" s="38"/>
      <c r="V627" s="39"/>
      <c r="W627" s="38"/>
      <c r="X627" s="39"/>
      <c r="Y627" s="38"/>
      <c r="AA627" s="38"/>
      <c r="AB627" s="39"/>
      <c r="AC627" s="39"/>
      <c r="AD627" s="38"/>
      <c r="AF627" s="38"/>
      <c r="AG627" s="39"/>
      <c r="AH627" s="38"/>
    </row>
    <row r="628" spans="2:34" x14ac:dyDescent="0.3">
      <c r="B628" s="38"/>
      <c r="C628" s="40"/>
      <c r="D628" s="39"/>
      <c r="E628" s="12"/>
      <c r="G628" s="39"/>
      <c r="H628" s="12"/>
      <c r="J628" s="39"/>
      <c r="K628"/>
      <c r="L628" s="43"/>
      <c r="M628"/>
      <c r="N628"/>
      <c r="O628" s="43"/>
      <c r="P628"/>
      <c r="Q628"/>
      <c r="R628" s="43"/>
      <c r="S628"/>
      <c r="U628" s="38"/>
      <c r="V628" s="39"/>
      <c r="W628" s="38"/>
      <c r="X628" s="39"/>
      <c r="Y628" s="38"/>
      <c r="AA628" s="38"/>
      <c r="AB628" s="39"/>
      <c r="AC628" s="39"/>
      <c r="AD628" s="38"/>
      <c r="AF628" s="38"/>
      <c r="AG628" s="39"/>
      <c r="AH628" s="38"/>
    </row>
    <row r="629" spans="2:34" x14ac:dyDescent="0.3">
      <c r="B629" s="38"/>
      <c r="C629" s="40"/>
      <c r="D629" s="39"/>
      <c r="E629" s="12"/>
      <c r="G629" s="39"/>
      <c r="H629" s="12"/>
      <c r="J629" s="39"/>
      <c r="K629"/>
      <c r="L629" s="43"/>
      <c r="M629"/>
      <c r="N629"/>
      <c r="O629" s="43"/>
      <c r="P629"/>
      <c r="Q629"/>
      <c r="R629" s="43"/>
      <c r="S629"/>
      <c r="U629" s="38"/>
      <c r="V629" s="39"/>
      <c r="W629" s="38"/>
      <c r="X629" s="39"/>
      <c r="Y629" s="38"/>
      <c r="AA629" s="38"/>
      <c r="AB629" s="39"/>
      <c r="AC629" s="39"/>
      <c r="AD629" s="38"/>
      <c r="AF629" s="38"/>
      <c r="AG629" s="39"/>
      <c r="AH629" s="38"/>
    </row>
    <row r="630" spans="2:34" x14ac:dyDescent="0.3">
      <c r="B630" s="38"/>
      <c r="C630" s="40"/>
      <c r="D630" s="39"/>
      <c r="E630" s="12"/>
      <c r="G630" s="39"/>
      <c r="H630" s="12"/>
      <c r="J630" s="39"/>
      <c r="K630"/>
      <c r="L630" s="43"/>
      <c r="M630"/>
      <c r="N630"/>
      <c r="O630" s="43"/>
      <c r="P630"/>
      <c r="Q630"/>
      <c r="R630" s="43"/>
      <c r="S630"/>
      <c r="U630" s="38"/>
      <c r="V630" s="39"/>
      <c r="W630" s="38"/>
      <c r="X630" s="39"/>
      <c r="Y630" s="38"/>
      <c r="AA630" s="38"/>
      <c r="AB630" s="39"/>
      <c r="AC630" s="39"/>
      <c r="AD630" s="38"/>
      <c r="AF630" s="38"/>
      <c r="AG630" s="39"/>
      <c r="AH630" s="38"/>
    </row>
    <row r="631" spans="2:34" x14ac:dyDescent="0.3">
      <c r="B631" s="38"/>
      <c r="C631" s="40"/>
      <c r="D631" s="39"/>
      <c r="E631" s="12"/>
      <c r="G631" s="39"/>
      <c r="H631" s="12"/>
      <c r="J631" s="39"/>
      <c r="K631"/>
      <c r="L631" s="43"/>
      <c r="M631"/>
      <c r="N631"/>
      <c r="O631" s="43"/>
      <c r="P631"/>
      <c r="Q631"/>
      <c r="R631" s="43"/>
      <c r="S631"/>
      <c r="U631" s="38"/>
      <c r="V631" s="39"/>
      <c r="W631" s="38"/>
      <c r="X631" s="39"/>
      <c r="Y631" s="38"/>
      <c r="AA631" s="38"/>
      <c r="AB631" s="39"/>
      <c r="AC631" s="39"/>
      <c r="AD631" s="38"/>
      <c r="AF631" s="38"/>
      <c r="AG631" s="39"/>
      <c r="AH631" s="38"/>
    </row>
    <row r="632" spans="2:34" x14ac:dyDescent="0.3">
      <c r="B632" s="38"/>
      <c r="C632" s="40"/>
      <c r="D632" s="39"/>
      <c r="E632" s="12"/>
      <c r="G632" s="39"/>
      <c r="H632" s="12"/>
      <c r="J632" s="39"/>
      <c r="K632"/>
      <c r="L632" s="43"/>
      <c r="M632"/>
      <c r="N632"/>
      <c r="O632" s="43"/>
      <c r="P632"/>
      <c r="Q632"/>
      <c r="R632" s="43"/>
      <c r="S632"/>
      <c r="U632" s="38"/>
      <c r="V632" s="39"/>
      <c r="W632" s="38"/>
      <c r="X632" s="39"/>
      <c r="Y632" s="38"/>
      <c r="AA632" s="38"/>
      <c r="AB632" s="39"/>
      <c r="AC632" s="39"/>
      <c r="AD632" s="38"/>
      <c r="AF632" s="38"/>
      <c r="AG632" s="39"/>
      <c r="AH632" s="38"/>
    </row>
    <row r="633" spans="2:34" x14ac:dyDescent="0.3">
      <c r="B633" s="38"/>
      <c r="C633" s="40"/>
      <c r="D633" s="39"/>
      <c r="E633" s="12"/>
      <c r="G633" s="39"/>
      <c r="H633" s="12"/>
      <c r="J633" s="39"/>
      <c r="K633"/>
      <c r="L633" s="43"/>
      <c r="M633"/>
      <c r="N633"/>
      <c r="O633" s="43"/>
      <c r="P633"/>
      <c r="Q633"/>
      <c r="R633" s="43"/>
      <c r="S633"/>
      <c r="U633" s="38"/>
      <c r="V633" s="39"/>
      <c r="W633" s="38"/>
      <c r="X633" s="39"/>
      <c r="Y633" s="38"/>
      <c r="AA633" s="38"/>
      <c r="AB633" s="39"/>
      <c r="AC633" s="39"/>
      <c r="AD633" s="38"/>
      <c r="AF633" s="38"/>
      <c r="AG633" s="39"/>
      <c r="AH633" s="38"/>
    </row>
    <row r="634" spans="2:34" x14ac:dyDescent="0.3">
      <c r="B634" s="38"/>
      <c r="C634" s="40"/>
      <c r="D634" s="39"/>
      <c r="E634" s="12"/>
      <c r="G634" s="39"/>
      <c r="H634" s="12"/>
      <c r="J634" s="39"/>
      <c r="K634"/>
      <c r="L634" s="43"/>
      <c r="M634"/>
      <c r="N634"/>
      <c r="O634" s="43"/>
      <c r="P634"/>
      <c r="Q634"/>
      <c r="R634" s="43"/>
      <c r="S634"/>
      <c r="U634" s="38"/>
      <c r="V634" s="39"/>
      <c r="W634" s="38"/>
      <c r="X634" s="39"/>
      <c r="Y634" s="38"/>
      <c r="AA634" s="38"/>
      <c r="AB634" s="39"/>
      <c r="AC634" s="39"/>
      <c r="AD634" s="38"/>
      <c r="AF634" s="38"/>
      <c r="AG634" s="39"/>
      <c r="AH634" s="38"/>
    </row>
    <row r="635" spans="2:34" x14ac:dyDescent="0.3">
      <c r="B635" s="38"/>
      <c r="C635" s="40"/>
      <c r="D635" s="39"/>
      <c r="E635" s="12"/>
      <c r="G635" s="39"/>
      <c r="H635" s="12"/>
      <c r="J635" s="39"/>
      <c r="K635"/>
      <c r="L635" s="43"/>
      <c r="M635"/>
      <c r="N635"/>
      <c r="O635" s="43"/>
      <c r="P635"/>
      <c r="Q635"/>
      <c r="R635" s="43"/>
      <c r="S635"/>
      <c r="U635" s="38"/>
      <c r="V635" s="39"/>
      <c r="W635" s="38"/>
      <c r="X635" s="39"/>
      <c r="Y635" s="38"/>
      <c r="AA635" s="38"/>
      <c r="AB635" s="39"/>
      <c r="AC635" s="39"/>
      <c r="AD635" s="38"/>
      <c r="AF635" s="38"/>
      <c r="AG635" s="39"/>
      <c r="AH635" s="38"/>
    </row>
    <row r="636" spans="2:34" x14ac:dyDescent="0.3">
      <c r="B636" s="38"/>
      <c r="C636" s="40"/>
      <c r="D636" s="39"/>
      <c r="E636" s="12"/>
      <c r="G636" s="39"/>
      <c r="H636" s="12"/>
      <c r="J636" s="39"/>
      <c r="K636"/>
      <c r="L636" s="43"/>
      <c r="M636"/>
      <c r="N636"/>
      <c r="O636" s="43"/>
      <c r="P636"/>
      <c r="Q636"/>
      <c r="R636" s="43"/>
      <c r="S636"/>
      <c r="U636" s="38"/>
      <c r="V636" s="39"/>
      <c r="W636" s="38"/>
      <c r="X636" s="39"/>
      <c r="Y636" s="38"/>
      <c r="AA636" s="38"/>
      <c r="AB636" s="39"/>
      <c r="AC636" s="39"/>
      <c r="AD636" s="38"/>
      <c r="AF636" s="38"/>
      <c r="AG636" s="39"/>
      <c r="AH636" s="38"/>
    </row>
    <row r="637" spans="2:34" x14ac:dyDescent="0.3">
      <c r="B637" s="38"/>
      <c r="C637" s="40"/>
      <c r="D637" s="39"/>
      <c r="E637" s="12"/>
      <c r="G637" s="39"/>
      <c r="H637" s="12"/>
      <c r="J637" s="39"/>
      <c r="K637"/>
      <c r="L637" s="43"/>
      <c r="M637"/>
      <c r="N637"/>
      <c r="O637" s="43"/>
      <c r="P637"/>
      <c r="Q637"/>
      <c r="R637" s="43"/>
      <c r="S637"/>
      <c r="U637" s="38"/>
      <c r="V637" s="39"/>
      <c r="W637" s="38"/>
      <c r="X637" s="39"/>
      <c r="Y637" s="38"/>
      <c r="AA637" s="38"/>
      <c r="AB637" s="39"/>
      <c r="AC637" s="39"/>
      <c r="AD637" s="38"/>
      <c r="AF637" s="38"/>
      <c r="AG637" s="39"/>
      <c r="AH637" s="38"/>
    </row>
    <row r="638" spans="2:34" x14ac:dyDescent="0.3">
      <c r="B638" s="38"/>
      <c r="C638" s="40"/>
      <c r="D638" s="39"/>
      <c r="E638" s="12"/>
      <c r="G638" s="39"/>
      <c r="H638" s="12"/>
      <c r="J638" s="39"/>
      <c r="K638"/>
      <c r="L638" s="43"/>
      <c r="M638"/>
      <c r="N638"/>
      <c r="O638" s="43"/>
      <c r="P638"/>
      <c r="Q638"/>
      <c r="R638" s="43"/>
      <c r="S638"/>
      <c r="U638" s="38"/>
      <c r="V638" s="39"/>
      <c r="W638" s="38"/>
      <c r="X638" s="39"/>
      <c r="Y638" s="38"/>
      <c r="AA638" s="38"/>
      <c r="AB638" s="39"/>
      <c r="AC638" s="39"/>
      <c r="AD638" s="38"/>
      <c r="AF638" s="38"/>
      <c r="AG638" s="39"/>
      <c r="AH638" s="38"/>
    </row>
    <row r="639" spans="2:34" x14ac:dyDescent="0.3">
      <c r="B639" s="38"/>
      <c r="C639" s="40"/>
      <c r="D639" s="39"/>
      <c r="E639" s="12"/>
      <c r="G639" s="39"/>
      <c r="H639" s="12"/>
      <c r="J639" s="39"/>
      <c r="K639"/>
      <c r="L639" s="43"/>
      <c r="M639"/>
      <c r="N639"/>
      <c r="O639" s="43"/>
      <c r="P639"/>
      <c r="Q639"/>
      <c r="R639" s="43"/>
      <c r="S639"/>
      <c r="U639" s="38"/>
      <c r="V639" s="39"/>
      <c r="W639" s="38"/>
      <c r="X639" s="39"/>
      <c r="Y639" s="38"/>
      <c r="AA639" s="38"/>
      <c r="AB639" s="39"/>
      <c r="AC639" s="39"/>
      <c r="AD639" s="38"/>
      <c r="AF639" s="38"/>
      <c r="AG639" s="39"/>
      <c r="AH639" s="38"/>
    </row>
    <row r="640" spans="2:34" x14ac:dyDescent="0.3">
      <c r="B640" s="38"/>
      <c r="C640" s="40"/>
      <c r="D640" s="39"/>
      <c r="E640" s="12"/>
      <c r="G640" s="39"/>
      <c r="H640" s="12"/>
      <c r="J640" s="39"/>
      <c r="K640"/>
      <c r="L640" s="43"/>
      <c r="M640"/>
      <c r="N640"/>
      <c r="O640" s="43"/>
      <c r="P640"/>
      <c r="Q640"/>
      <c r="R640" s="43"/>
      <c r="S640"/>
      <c r="U640" s="38"/>
      <c r="V640" s="39"/>
      <c r="W640" s="38"/>
      <c r="X640" s="39"/>
      <c r="Y640" s="38"/>
      <c r="AA640" s="38"/>
      <c r="AB640" s="39"/>
      <c r="AC640" s="39"/>
      <c r="AD640" s="38"/>
      <c r="AF640" s="38"/>
      <c r="AG640" s="39"/>
      <c r="AH640" s="38"/>
    </row>
    <row r="641" spans="2:36" x14ac:dyDescent="0.3">
      <c r="B641" s="38"/>
      <c r="C641" s="40"/>
      <c r="D641" s="39"/>
      <c r="E641" s="12"/>
      <c r="G641" s="39"/>
      <c r="H641" s="12"/>
      <c r="J641" s="39"/>
      <c r="K641"/>
      <c r="L641" s="43"/>
      <c r="M641"/>
      <c r="N641"/>
      <c r="O641" s="43"/>
      <c r="P641"/>
      <c r="Q641"/>
      <c r="R641" s="43"/>
      <c r="S641"/>
      <c r="U641" s="38"/>
      <c r="V641" s="39"/>
      <c r="W641" s="38"/>
      <c r="X641" s="39"/>
      <c r="Y641" s="38"/>
      <c r="AA641" s="38"/>
      <c r="AB641" s="39"/>
      <c r="AC641" s="39"/>
      <c r="AD641" s="38"/>
      <c r="AF641" s="38"/>
      <c r="AG641" s="39"/>
      <c r="AH641" s="38"/>
    </row>
    <row r="642" spans="2:36" x14ac:dyDescent="0.3">
      <c r="B642" s="38"/>
      <c r="C642" s="40"/>
      <c r="D642" s="39"/>
      <c r="E642" s="12"/>
      <c r="G642" s="39"/>
      <c r="H642" s="12"/>
      <c r="J642" s="39"/>
      <c r="K642"/>
      <c r="L642" s="43"/>
      <c r="M642"/>
      <c r="N642"/>
      <c r="O642" s="43"/>
      <c r="P642"/>
      <c r="Q642"/>
      <c r="R642" s="43"/>
      <c r="S642"/>
      <c r="U642" s="38"/>
      <c r="V642" s="39"/>
      <c r="W642" s="38"/>
      <c r="X642" s="39"/>
      <c r="Y642" s="38"/>
      <c r="AA642" s="38"/>
      <c r="AB642" s="39"/>
      <c r="AC642" s="39"/>
      <c r="AD642" s="38"/>
      <c r="AF642" s="38"/>
      <c r="AG642" s="39"/>
      <c r="AH642" s="38"/>
    </row>
    <row r="643" spans="2:36" x14ac:dyDescent="0.3">
      <c r="B643" s="38"/>
      <c r="C643" s="40"/>
      <c r="D643" s="39"/>
      <c r="E643" s="12"/>
      <c r="G643" s="39"/>
      <c r="H643" s="12"/>
      <c r="J643" s="39"/>
      <c r="K643"/>
      <c r="L643" s="43"/>
      <c r="M643"/>
      <c r="N643"/>
      <c r="O643" s="43"/>
      <c r="P643"/>
      <c r="Q643"/>
      <c r="R643" s="43"/>
      <c r="S643"/>
      <c r="U643" s="38"/>
      <c r="V643" s="39"/>
      <c r="W643" s="38"/>
      <c r="X643" s="39"/>
      <c r="Y643" s="38"/>
      <c r="AA643" s="38"/>
      <c r="AB643" s="39"/>
      <c r="AC643" s="39"/>
      <c r="AD643" s="38"/>
      <c r="AF643" s="38"/>
      <c r="AG643" s="39"/>
      <c r="AH643" s="38"/>
    </row>
    <row r="644" spans="2:36" x14ac:dyDescent="0.3">
      <c r="B644" s="38"/>
      <c r="C644" s="40"/>
      <c r="D644" s="39"/>
      <c r="E644" s="12"/>
      <c r="G644" s="39"/>
      <c r="H644" s="12"/>
      <c r="J644" s="39"/>
      <c r="K644"/>
      <c r="L644" s="43"/>
      <c r="M644"/>
      <c r="N644"/>
      <c r="O644" s="43"/>
      <c r="P644"/>
      <c r="Q644"/>
      <c r="R644" s="43"/>
      <c r="S644"/>
      <c r="U644" s="38"/>
      <c r="V644" s="39"/>
      <c r="W644" s="38"/>
      <c r="X644" s="39"/>
      <c r="Y644" s="38"/>
      <c r="AA644" s="38"/>
      <c r="AB644" s="39"/>
      <c r="AC644" s="39"/>
      <c r="AD644" s="38"/>
      <c r="AF644" s="38"/>
      <c r="AG644" s="39"/>
      <c r="AH644" s="38"/>
    </row>
    <row r="645" spans="2:36" x14ac:dyDescent="0.3">
      <c r="B645" s="38"/>
      <c r="C645" s="40"/>
      <c r="D645" s="39"/>
      <c r="E645" s="12"/>
      <c r="G645" s="39"/>
      <c r="H645" s="12"/>
      <c r="J645" s="39"/>
      <c r="K645"/>
      <c r="L645" s="43"/>
      <c r="M645"/>
      <c r="N645"/>
      <c r="O645" s="43"/>
      <c r="P645"/>
      <c r="Q645"/>
      <c r="R645" s="43"/>
      <c r="S645"/>
      <c r="U645" s="38"/>
      <c r="V645" s="39"/>
      <c r="W645" s="38"/>
      <c r="X645" s="39"/>
      <c r="Y645" s="38"/>
      <c r="AA645" s="38"/>
      <c r="AB645" s="39"/>
      <c r="AC645" s="39"/>
      <c r="AD645" s="38"/>
      <c r="AF645" s="38"/>
      <c r="AG645" s="39"/>
      <c r="AH645" s="38"/>
    </row>
    <row r="646" spans="2:36" x14ac:dyDescent="0.3">
      <c r="K646"/>
      <c r="Y646" s="38"/>
      <c r="AD646" s="38"/>
      <c r="AF646" s="38"/>
      <c r="AG646" s="39"/>
      <c r="AH646" s="38"/>
    </row>
    <row r="647" spans="2:36" x14ac:dyDescent="0.3">
      <c r="AH647" s="38"/>
    </row>
    <row r="648" spans="2:36" x14ac:dyDescent="0.3">
      <c r="AA648" s="12" t="s">
        <v>31</v>
      </c>
      <c r="AJ648" s="12" t="s">
        <v>31</v>
      </c>
    </row>
    <row r="649" spans="2:36" x14ac:dyDescent="0.3">
      <c r="AA649" s="12" t="s">
        <v>31</v>
      </c>
      <c r="AJ649" s="12" t="s">
        <v>31</v>
      </c>
    </row>
  </sheetData>
  <sortState xmlns:xlrd2="http://schemas.microsoft.com/office/spreadsheetml/2017/richdata2" ref="AF515:AG640">
    <sortCondition ref="AF515:AF640"/>
  </sortState>
  <pageMargins left="0.7" right="0.7" top="0.75" bottom="0.75" header="0.3" footer="0.3"/>
  <pageSetup orientation="portrait" horizontalDpi="1200" verticalDpi="1200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2DE7D-D591-4492-91F7-A57364728CF2}">
  <dimension ref="A1:C33"/>
  <sheetViews>
    <sheetView workbookViewId="0">
      <selection activeCell="E10" sqref="E10"/>
    </sheetView>
  </sheetViews>
  <sheetFormatPr defaultRowHeight="14.4" x14ac:dyDescent="0.3"/>
  <cols>
    <col min="1" max="1" width="10.5546875" bestFit="1" customWidth="1"/>
    <col min="2" max="2" width="50.77734375" bestFit="1" customWidth="1"/>
    <col min="3" max="3" width="7.6640625" bestFit="1" customWidth="1"/>
  </cols>
  <sheetData>
    <row r="1" spans="1:3" x14ac:dyDescent="0.3">
      <c r="A1" s="3" t="s">
        <v>5</v>
      </c>
      <c r="B1" t="s">
        <v>85</v>
      </c>
      <c r="C1" t="s">
        <v>86</v>
      </c>
    </row>
    <row r="2" spans="1:3" x14ac:dyDescent="0.3">
      <c r="A2" s="3">
        <v>45292</v>
      </c>
      <c r="B2" t="s">
        <v>87</v>
      </c>
      <c r="C2" t="s">
        <v>88</v>
      </c>
    </row>
    <row r="3" spans="1:3" x14ac:dyDescent="0.3">
      <c r="A3" s="3">
        <v>45306</v>
      </c>
      <c r="B3" t="s">
        <v>89</v>
      </c>
      <c r="C3" t="s">
        <v>90</v>
      </c>
    </row>
    <row r="4" spans="1:3" x14ac:dyDescent="0.3">
      <c r="A4" s="3">
        <v>45334</v>
      </c>
      <c r="B4" t="s">
        <v>91</v>
      </c>
      <c r="C4" t="s">
        <v>92</v>
      </c>
    </row>
    <row r="5" spans="1:3" x14ac:dyDescent="0.3">
      <c r="A5" s="3">
        <v>45335</v>
      </c>
      <c r="B5" t="s">
        <v>93</v>
      </c>
      <c r="C5" t="s">
        <v>92</v>
      </c>
    </row>
    <row r="6" spans="1:3" x14ac:dyDescent="0.3">
      <c r="A6" s="3">
        <v>45341</v>
      </c>
      <c r="B6" t="s">
        <v>94</v>
      </c>
      <c r="C6" t="s">
        <v>90</v>
      </c>
    </row>
    <row r="7" spans="1:3" x14ac:dyDescent="0.3">
      <c r="A7" s="3">
        <v>45380</v>
      </c>
      <c r="B7" t="s">
        <v>95</v>
      </c>
      <c r="C7" t="s">
        <v>88</v>
      </c>
    </row>
    <row r="8" spans="1:3" x14ac:dyDescent="0.3">
      <c r="A8" s="3">
        <v>45383</v>
      </c>
      <c r="B8" t="s">
        <v>96</v>
      </c>
      <c r="C8" t="s">
        <v>92</v>
      </c>
    </row>
    <row r="9" spans="1:3" x14ac:dyDescent="0.3">
      <c r="A9" s="3">
        <v>45751</v>
      </c>
      <c r="B9" t="s">
        <v>97</v>
      </c>
      <c r="C9" t="s">
        <v>92</v>
      </c>
    </row>
    <row r="10" spans="1:3" x14ac:dyDescent="0.3">
      <c r="A10" s="3">
        <v>45413</v>
      </c>
      <c r="B10" t="s">
        <v>98</v>
      </c>
      <c r="C10" t="s">
        <v>92</v>
      </c>
    </row>
    <row r="11" spans="1:3" x14ac:dyDescent="0.3">
      <c r="A11" s="3">
        <v>45427</v>
      </c>
      <c r="B11" t="s">
        <v>99</v>
      </c>
      <c r="C11" t="s">
        <v>92</v>
      </c>
    </row>
    <row r="12" spans="1:3" x14ac:dyDescent="0.3">
      <c r="A12" s="3">
        <v>45439</v>
      </c>
      <c r="B12" t="s">
        <v>100</v>
      </c>
      <c r="C12" t="s">
        <v>90</v>
      </c>
    </row>
    <row r="13" spans="1:3" x14ac:dyDescent="0.3">
      <c r="A13" s="3">
        <v>45453</v>
      </c>
      <c r="B13" t="s">
        <v>101</v>
      </c>
      <c r="C13" t="s">
        <v>92</v>
      </c>
    </row>
    <row r="14" spans="1:3" x14ac:dyDescent="0.3">
      <c r="A14" s="3">
        <v>45462</v>
      </c>
      <c r="B14" t="s">
        <v>102</v>
      </c>
      <c r="C14" t="s">
        <v>90</v>
      </c>
    </row>
    <row r="15" spans="1:3" x14ac:dyDescent="0.3">
      <c r="A15" s="3">
        <v>45474</v>
      </c>
      <c r="B15" t="s">
        <v>103</v>
      </c>
      <c r="C15" t="s">
        <v>92</v>
      </c>
    </row>
    <row r="16" spans="1:3" x14ac:dyDescent="0.3">
      <c r="A16" s="3">
        <v>45477</v>
      </c>
      <c r="B16" t="s">
        <v>104</v>
      </c>
      <c r="C16" t="s">
        <v>90</v>
      </c>
    </row>
    <row r="17" spans="1:3" x14ac:dyDescent="0.3">
      <c r="A17" s="3">
        <v>45537</v>
      </c>
      <c r="B17" t="s">
        <v>105</v>
      </c>
      <c r="C17" t="s">
        <v>90</v>
      </c>
    </row>
    <row r="18" spans="1:3" x14ac:dyDescent="0.3">
      <c r="A18" s="3">
        <v>45553</v>
      </c>
      <c r="B18" t="s">
        <v>106</v>
      </c>
      <c r="C18" t="s">
        <v>92</v>
      </c>
    </row>
    <row r="19" spans="1:3" x14ac:dyDescent="0.3">
      <c r="A19" s="3">
        <v>45566</v>
      </c>
      <c r="B19" t="s">
        <v>107</v>
      </c>
      <c r="C19" t="s">
        <v>92</v>
      </c>
    </row>
    <row r="20" spans="1:3" x14ac:dyDescent="0.3">
      <c r="A20" s="3">
        <v>45576</v>
      </c>
      <c r="B20" t="s">
        <v>108</v>
      </c>
      <c r="C20" t="s">
        <v>92</v>
      </c>
    </row>
    <row r="21" spans="1:3" x14ac:dyDescent="0.3">
      <c r="A21" s="3">
        <v>45624</v>
      </c>
      <c r="B21" t="s">
        <v>109</v>
      </c>
      <c r="C21" t="s">
        <v>90</v>
      </c>
    </row>
    <row r="22" spans="1:3" x14ac:dyDescent="0.3">
      <c r="A22" s="3">
        <v>45651</v>
      </c>
      <c r="B22" t="s">
        <v>110</v>
      </c>
      <c r="C22" t="s">
        <v>88</v>
      </c>
    </row>
    <row r="23" spans="1:3" x14ac:dyDescent="0.3">
      <c r="A23" s="3">
        <v>45652</v>
      </c>
      <c r="B23" t="s">
        <v>111</v>
      </c>
      <c r="C23" t="s">
        <v>88</v>
      </c>
    </row>
    <row r="24" spans="1:3" x14ac:dyDescent="0.3">
      <c r="A24" s="3">
        <v>45658</v>
      </c>
      <c r="B24" t="s">
        <v>87</v>
      </c>
      <c r="C24" t="s">
        <v>88</v>
      </c>
    </row>
    <row r="25" spans="1:3" x14ac:dyDescent="0.3">
      <c r="A25" s="3">
        <v>45677</v>
      </c>
      <c r="B25" t="s">
        <v>89</v>
      </c>
      <c r="C25" t="s">
        <v>90</v>
      </c>
    </row>
    <row r="26" spans="1:3" x14ac:dyDescent="0.3">
      <c r="A26" s="3">
        <v>45685</v>
      </c>
      <c r="B26" t="s">
        <v>112</v>
      </c>
      <c r="C26" t="s">
        <v>92</v>
      </c>
    </row>
    <row r="27" spans="1:3" x14ac:dyDescent="0.3">
      <c r="A27" s="3">
        <v>45686</v>
      </c>
      <c r="B27" t="s">
        <v>113</v>
      </c>
      <c r="C27" t="s">
        <v>92</v>
      </c>
    </row>
    <row r="28" spans="1:3" x14ac:dyDescent="0.3">
      <c r="A28" s="3">
        <v>45687</v>
      </c>
      <c r="B28" t="s">
        <v>114</v>
      </c>
      <c r="C28" t="s">
        <v>92</v>
      </c>
    </row>
    <row r="29" spans="1:3" x14ac:dyDescent="0.3">
      <c r="A29" s="3">
        <v>45688</v>
      </c>
      <c r="B29" t="s">
        <v>91</v>
      </c>
      <c r="C29" t="s">
        <v>92</v>
      </c>
    </row>
    <row r="30" spans="1:3" x14ac:dyDescent="0.3">
      <c r="A30" s="3">
        <v>45705</v>
      </c>
      <c r="B30" t="s">
        <v>94</v>
      </c>
      <c r="C30" t="s">
        <v>90</v>
      </c>
    </row>
    <row r="31" spans="1:3" x14ac:dyDescent="0.3">
      <c r="A31" s="3">
        <v>45751</v>
      </c>
      <c r="B31" t="s">
        <v>97</v>
      </c>
      <c r="C31" t="s">
        <v>92</v>
      </c>
    </row>
    <row r="32" spans="1:3" x14ac:dyDescent="0.3">
      <c r="A32" s="3">
        <v>45765</v>
      </c>
      <c r="B32" t="s">
        <v>95</v>
      </c>
      <c r="C32" t="s">
        <v>88</v>
      </c>
    </row>
    <row r="33" spans="1:3" x14ac:dyDescent="0.3">
      <c r="A33" s="3">
        <v>45768</v>
      </c>
      <c r="B33" t="s">
        <v>96</v>
      </c>
      <c r="C3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99527-A505-4E7C-86B1-DF3E1D9BA1F3}">
  <dimension ref="A1:Z649"/>
  <sheetViews>
    <sheetView zoomScale="85" zoomScaleNormal="85" zoomScalePageLayoutView="90" workbookViewId="0">
      <pane ySplit="1" topLeftCell="A2" activePane="bottomLeft" state="frozen"/>
      <selection pane="bottomLeft" activeCell="H14" sqref="H14"/>
    </sheetView>
  </sheetViews>
  <sheetFormatPr defaultColWidth="8.88671875" defaultRowHeight="14.4" x14ac:dyDescent="0.3"/>
  <cols>
    <col min="1" max="1" width="8.88671875" style="16"/>
    <col min="2" max="2" width="13.33203125" style="18" customWidth="1"/>
    <col min="3" max="3" width="13" style="6" customWidth="1"/>
    <col min="4" max="4" width="12.5546875" style="42" bestFit="1" customWidth="1"/>
    <col min="5" max="5" width="15.21875" style="10" bestFit="1" customWidth="1"/>
    <col min="6" max="6" width="8.88671875" style="10"/>
    <col min="7" max="7" width="14.6640625" style="14" bestFit="1" customWidth="1"/>
    <col min="8" max="8" width="27" style="14" bestFit="1" customWidth="1"/>
    <col min="9" max="9" width="9.6640625" style="14" customWidth="1"/>
    <col min="10" max="10" width="4.44140625" style="28" customWidth="1"/>
    <col min="11" max="11" width="17.77734375" style="12" customWidth="1"/>
    <col min="12" max="12" width="14.109375" style="12" bestFit="1" customWidth="1"/>
    <col min="13" max="13" width="13.6640625" style="12" bestFit="1" customWidth="1"/>
    <col min="14" max="15" width="12.44140625" style="12" bestFit="1" customWidth="1"/>
    <col min="16" max="16" width="13.33203125" style="12" bestFit="1" customWidth="1"/>
    <col min="17" max="17" width="11.33203125" style="12" bestFit="1" customWidth="1"/>
    <col min="18" max="18" width="13" style="12" bestFit="1" customWidth="1"/>
    <col min="19" max="19" width="12.44140625" style="12" bestFit="1" customWidth="1"/>
    <col min="20" max="20" width="12.44140625" style="12" customWidth="1"/>
    <col min="21" max="21" width="8.88671875" style="12"/>
    <col min="22" max="22" width="10.44140625" style="12" bestFit="1" customWidth="1"/>
    <col min="23" max="23" width="9.44140625" style="12" bestFit="1" customWidth="1"/>
    <col min="24" max="24" width="11.88671875" style="12" customWidth="1"/>
    <col min="25" max="16384" width="8.88671875" style="12"/>
  </cols>
  <sheetData>
    <row r="1" spans="1:12" s="9" customFormat="1" x14ac:dyDescent="0.3">
      <c r="A1" s="15" t="s">
        <v>0</v>
      </c>
      <c r="B1" s="17" t="s">
        <v>5</v>
      </c>
      <c r="C1" s="5" t="s">
        <v>36</v>
      </c>
      <c r="D1" s="45" t="s">
        <v>51</v>
      </c>
      <c r="E1" s="8" t="s">
        <v>35</v>
      </c>
      <c r="F1" s="8" t="s">
        <v>45</v>
      </c>
      <c r="G1" s="13" t="s">
        <v>29</v>
      </c>
      <c r="H1" s="41" t="s">
        <v>50</v>
      </c>
      <c r="I1" s="41"/>
      <c r="J1" s="27"/>
    </row>
    <row r="2" spans="1:12" x14ac:dyDescent="0.3">
      <c r="A2" s="16">
        <v>0</v>
      </c>
      <c r="B2" s="3">
        <v>45293</v>
      </c>
      <c r="C2" s="40">
        <v>4742.83</v>
      </c>
      <c r="D2" s="19"/>
      <c r="E2">
        <v>16788.55</v>
      </c>
      <c r="F2">
        <v>7.8155000000000001</v>
      </c>
      <c r="G2" s="14">
        <f>E2/F2</f>
        <v>2148.1095259420381</v>
      </c>
      <c r="H2"/>
      <c r="I2"/>
      <c r="K2" s="50">
        <f>MIN($B$2:$B$317)</f>
        <v>45293</v>
      </c>
    </row>
    <row r="3" spans="1:12" x14ac:dyDescent="0.3">
      <c r="A3" s="16">
        <v>1</v>
      </c>
      <c r="B3" s="3">
        <v>45294</v>
      </c>
      <c r="C3" s="40">
        <v>4704.8100000000004</v>
      </c>
      <c r="D3" s="46">
        <f>$C3/$C2-1</f>
        <v>-8.0163109367190621E-3</v>
      </c>
      <c r="E3">
        <v>16646.41</v>
      </c>
      <c r="F3">
        <v>7.8068999999999997</v>
      </c>
      <c r="G3" s="14">
        <f>E3/F3</f>
        <v>2132.268890340596</v>
      </c>
      <c r="H3">
        <f>$G3/$G2-1</f>
        <v>-7.3742215702410352E-3</v>
      </c>
      <c r="I3"/>
      <c r="K3" s="50">
        <f>MAX($B$2:$B$317)</f>
        <v>45777</v>
      </c>
    </row>
    <row r="4" spans="1:12" x14ac:dyDescent="0.3">
      <c r="A4" s="16">
        <v>2</v>
      </c>
      <c r="B4" s="3">
        <v>45295</v>
      </c>
      <c r="C4" s="40">
        <v>4688.68</v>
      </c>
      <c r="D4" s="46">
        <f t="shared" ref="D4:D67" si="0">$C4/$C3-1</f>
        <v>-3.4284062480738342E-3</v>
      </c>
      <c r="E4">
        <v>16645.98</v>
      </c>
      <c r="F4">
        <v>7.8080999999999996</v>
      </c>
      <c r="G4" s="14">
        <f t="shared" ref="G4:G67" si="1">E4/F4</f>
        <v>2131.8861182618052</v>
      </c>
      <c r="H4">
        <f t="shared" ref="H4:H67" si="2">$G4/$G3-1</f>
        <v>-1.7951398180826583E-4</v>
      </c>
      <c r="I4"/>
    </row>
    <row r="5" spans="1:12" x14ac:dyDescent="0.3">
      <c r="A5" s="16">
        <v>3</v>
      </c>
      <c r="B5" s="3">
        <v>45296</v>
      </c>
      <c r="C5" s="40">
        <v>4697.24</v>
      </c>
      <c r="D5" s="46">
        <f t="shared" si="0"/>
        <v>1.8256737503945519E-3</v>
      </c>
      <c r="E5">
        <v>16535.330000000002</v>
      </c>
      <c r="F5">
        <v>7.8112000000000004</v>
      </c>
      <c r="G5" s="14">
        <f t="shared" si="1"/>
        <v>2116.8744879147894</v>
      </c>
      <c r="H5">
        <f t="shared" si="2"/>
        <v>-7.0414785379133704E-3</v>
      </c>
      <c r="I5"/>
      <c r="K5" s="12" t="str">
        <f>"Y"&amp;" = "&amp; $H$1</f>
        <v>Y = USD Hang Seng Index HPR</v>
      </c>
    </row>
    <row r="6" spans="1:12" x14ac:dyDescent="0.3">
      <c r="A6" s="16">
        <v>4</v>
      </c>
      <c r="B6" s="3">
        <v>45299</v>
      </c>
      <c r="C6" s="40">
        <v>4763.54</v>
      </c>
      <c r="D6" s="46">
        <f t="shared" si="0"/>
        <v>1.4114671594383177E-2</v>
      </c>
      <c r="E6">
        <v>16224.45</v>
      </c>
      <c r="F6">
        <v>7.8064999999999998</v>
      </c>
      <c r="G6" s="14">
        <f t="shared" si="1"/>
        <v>2078.32575417921</v>
      </c>
      <c r="H6">
        <f t="shared" si="2"/>
        <v>-1.8210212251908997E-2</v>
      </c>
      <c r="I6"/>
      <c r="K6" s="12" t="str">
        <f>"X"&amp;" = "&amp; $D$1</f>
        <v>X = S&amp;P500 HPR</v>
      </c>
    </row>
    <row r="7" spans="1:12" x14ac:dyDescent="0.3">
      <c r="A7" s="16">
        <v>5</v>
      </c>
      <c r="B7" s="3">
        <v>45300</v>
      </c>
      <c r="C7" s="40">
        <v>4756.5</v>
      </c>
      <c r="D7" s="46">
        <f t="shared" si="0"/>
        <v>-1.4778924917183689E-3</v>
      </c>
      <c r="E7">
        <v>16190.02</v>
      </c>
      <c r="F7">
        <v>7.8156999999999996</v>
      </c>
      <c r="G7" s="14">
        <f t="shared" si="1"/>
        <v>2071.4740842151054</v>
      </c>
      <c r="H7">
        <f t="shared" si="2"/>
        <v>-3.2967257179615794E-3</v>
      </c>
      <c r="I7"/>
    </row>
    <row r="8" spans="1:12" x14ac:dyDescent="0.3">
      <c r="A8" s="16">
        <v>6</v>
      </c>
      <c r="B8" s="3">
        <v>45301</v>
      </c>
      <c r="C8" s="40">
        <v>4783.45</v>
      </c>
      <c r="D8" s="46">
        <f t="shared" si="0"/>
        <v>5.6659308314936929E-3</v>
      </c>
      <c r="E8">
        <v>16097.28</v>
      </c>
      <c r="F8">
        <v>7.8190999999999997</v>
      </c>
      <c r="G8" s="14">
        <f t="shared" si="1"/>
        <v>2058.712639562098</v>
      </c>
      <c r="H8">
        <f t="shared" si="2"/>
        <v>-6.1605620607331213E-3</v>
      </c>
      <c r="I8"/>
      <c r="K8" s="12" t="s">
        <v>52</v>
      </c>
    </row>
    <row r="9" spans="1:12" ht="15" thickBot="1" x14ac:dyDescent="0.35">
      <c r="A9" s="16">
        <v>7</v>
      </c>
      <c r="B9" s="3">
        <v>45302</v>
      </c>
      <c r="C9" s="40">
        <v>4780.24</v>
      </c>
      <c r="D9" s="46">
        <f t="shared" si="0"/>
        <v>-6.7106377196379796E-4</v>
      </c>
      <c r="E9">
        <v>16302.04</v>
      </c>
      <c r="F9">
        <v>7.8174999999999999</v>
      </c>
      <c r="G9" s="14">
        <f t="shared" si="1"/>
        <v>2085.3265110329389</v>
      </c>
      <c r="H9">
        <f t="shared" si="2"/>
        <v>1.2927433853275438E-2</v>
      </c>
      <c r="I9"/>
    </row>
    <row r="10" spans="1:12" x14ac:dyDescent="0.3">
      <c r="A10" s="16">
        <v>8</v>
      </c>
      <c r="B10" s="3">
        <v>45303</v>
      </c>
      <c r="C10" s="40">
        <v>4783.83</v>
      </c>
      <c r="D10" s="46">
        <f t="shared" si="0"/>
        <v>7.5100831757413111E-4</v>
      </c>
      <c r="E10">
        <v>16244.58</v>
      </c>
      <c r="F10">
        <v>7.8211000000000004</v>
      </c>
      <c r="G10" s="14">
        <f t="shared" si="1"/>
        <v>2077.0198565419187</v>
      </c>
      <c r="H10">
        <f t="shared" si="2"/>
        <v>-3.9833831522650964E-3</v>
      </c>
      <c r="I10"/>
      <c r="K10" s="47" t="s">
        <v>53</v>
      </c>
      <c r="L10" s="47"/>
    </row>
    <row r="11" spans="1:12" x14ac:dyDescent="0.3">
      <c r="A11" s="16">
        <v>9</v>
      </c>
      <c r="B11" s="3">
        <v>45307</v>
      </c>
      <c r="C11" s="40">
        <v>4765.9799999999996</v>
      </c>
      <c r="D11" s="46">
        <f t="shared" si="0"/>
        <v>-3.7313198838587747E-3</v>
      </c>
      <c r="E11">
        <v>15865.92</v>
      </c>
      <c r="F11">
        <v>7.8259999999999996</v>
      </c>
      <c r="G11" s="14">
        <f t="shared" si="1"/>
        <v>2027.3345259391772</v>
      </c>
      <c r="H11">
        <f t="shared" si="2"/>
        <v>-2.3921451904395319E-2</v>
      </c>
      <c r="I11"/>
      <c r="K11" s="12" t="s">
        <v>54</v>
      </c>
      <c r="L11" s="12">
        <v>0.27019737081423412</v>
      </c>
    </row>
    <row r="12" spans="1:12" x14ac:dyDescent="0.3">
      <c r="A12" s="16">
        <v>10</v>
      </c>
      <c r="B12" s="3">
        <v>45308</v>
      </c>
      <c r="C12" s="40">
        <v>4739.21</v>
      </c>
      <c r="D12" s="46">
        <f t="shared" si="0"/>
        <v>-5.6168930629166836E-3</v>
      </c>
      <c r="E12">
        <v>15276.9</v>
      </c>
      <c r="F12">
        <v>7.8209999999999997</v>
      </c>
      <c r="G12" s="14">
        <f t="shared" si="1"/>
        <v>1953.3179900268508</v>
      </c>
      <c r="H12">
        <f t="shared" si="2"/>
        <v>-3.6509285944330117E-2</v>
      </c>
      <c r="I12"/>
      <c r="K12" s="12" t="s">
        <v>55</v>
      </c>
      <c r="L12" s="12">
        <v>7.3006619194924738E-2</v>
      </c>
    </row>
    <row r="13" spans="1:12" x14ac:dyDescent="0.3">
      <c r="A13" s="16">
        <v>11</v>
      </c>
      <c r="B13" s="3">
        <v>45309</v>
      </c>
      <c r="C13" s="40">
        <v>4780.9399999999996</v>
      </c>
      <c r="D13" s="46">
        <f t="shared" si="0"/>
        <v>8.8052650125229892E-3</v>
      </c>
      <c r="E13">
        <v>15391.79</v>
      </c>
      <c r="F13">
        <v>7.8208000000000002</v>
      </c>
      <c r="G13" s="14">
        <f t="shared" si="1"/>
        <v>1968.0582549099836</v>
      </c>
      <c r="H13">
        <f t="shared" si="2"/>
        <v>7.5462699664841093E-3</v>
      </c>
      <c r="I13"/>
      <c r="K13" s="12" t="s">
        <v>56</v>
      </c>
      <c r="L13" s="12">
        <v>7.0044979000659327E-2</v>
      </c>
    </row>
    <row r="14" spans="1:12" x14ac:dyDescent="0.3">
      <c r="A14" s="16">
        <v>12</v>
      </c>
      <c r="B14" s="3">
        <v>45310</v>
      </c>
      <c r="C14" s="40">
        <v>4839.8100000000004</v>
      </c>
      <c r="D14" s="46">
        <f t="shared" si="0"/>
        <v>1.2313478102632613E-2</v>
      </c>
      <c r="E14">
        <v>15308.69</v>
      </c>
      <c r="F14">
        <v>7.8174999999999999</v>
      </c>
      <c r="G14" s="14">
        <f t="shared" si="1"/>
        <v>1958.2590342181004</v>
      </c>
      <c r="H14">
        <f t="shared" si="2"/>
        <v>-4.9791314192229041E-3</v>
      </c>
      <c r="I14"/>
      <c r="K14" s="12" t="s">
        <v>57</v>
      </c>
      <c r="L14" s="12">
        <v>1.7075299269733217E-2</v>
      </c>
    </row>
    <row r="15" spans="1:12" ht="15" thickBot="1" x14ac:dyDescent="0.35">
      <c r="A15" s="16">
        <v>13</v>
      </c>
      <c r="B15" s="3">
        <v>45313</v>
      </c>
      <c r="C15" s="40">
        <v>4850.43</v>
      </c>
      <c r="D15" s="46">
        <f t="shared" si="0"/>
        <v>2.194301015948863E-3</v>
      </c>
      <c r="E15">
        <v>14961.18</v>
      </c>
      <c r="F15">
        <v>7.8175999999999997</v>
      </c>
      <c r="G15" s="14">
        <f t="shared" si="1"/>
        <v>1913.7817232910356</v>
      </c>
      <c r="H15">
        <f t="shared" si="2"/>
        <v>-2.2712680064220336E-2</v>
      </c>
      <c r="I15"/>
      <c r="K15" s="48" t="s">
        <v>58</v>
      </c>
      <c r="L15" s="48">
        <v>315</v>
      </c>
    </row>
    <row r="16" spans="1:12" x14ac:dyDescent="0.3">
      <c r="A16" s="16">
        <v>14</v>
      </c>
      <c r="B16" s="3">
        <v>45314</v>
      </c>
      <c r="C16" s="40">
        <v>4864.6000000000004</v>
      </c>
      <c r="D16" s="46">
        <f t="shared" si="0"/>
        <v>2.9213904746590025E-3</v>
      </c>
      <c r="E16">
        <v>15353.98</v>
      </c>
      <c r="F16">
        <v>7.8219000000000003</v>
      </c>
      <c r="G16" s="14">
        <f t="shared" si="1"/>
        <v>1962.9476214219051</v>
      </c>
      <c r="H16">
        <f t="shared" si="2"/>
        <v>2.5690441878774672E-2</v>
      </c>
      <c r="I16"/>
    </row>
    <row r="17" spans="1:19" ht="15" thickBot="1" x14ac:dyDescent="0.35">
      <c r="A17" s="16">
        <v>15</v>
      </c>
      <c r="B17" s="3">
        <v>45315</v>
      </c>
      <c r="C17" s="40">
        <v>4868.55</v>
      </c>
      <c r="D17" s="46">
        <f t="shared" si="0"/>
        <v>8.1198865271558951E-4</v>
      </c>
      <c r="E17">
        <v>15899.87</v>
      </c>
      <c r="F17">
        <v>7.8177000000000003</v>
      </c>
      <c r="G17" s="14">
        <f t="shared" si="1"/>
        <v>2033.8296429896261</v>
      </c>
      <c r="H17">
        <f t="shared" si="2"/>
        <v>3.6109991318248325E-2</v>
      </c>
      <c r="I17"/>
      <c r="K17" s="12" t="s">
        <v>59</v>
      </c>
    </row>
    <row r="18" spans="1:19" x14ac:dyDescent="0.3">
      <c r="A18" s="16">
        <v>16</v>
      </c>
      <c r="B18" s="3">
        <v>45316</v>
      </c>
      <c r="C18" s="40">
        <v>4894.16</v>
      </c>
      <c r="D18" s="46">
        <f t="shared" si="0"/>
        <v>5.2602931057501578E-3</v>
      </c>
      <c r="E18">
        <v>16211.96</v>
      </c>
      <c r="F18">
        <v>7.8175999999999997</v>
      </c>
      <c r="G18" s="14">
        <f t="shared" si="1"/>
        <v>2073.7771182971755</v>
      </c>
      <c r="H18">
        <f t="shared" si="2"/>
        <v>1.9641505101100076E-2</v>
      </c>
      <c r="I18"/>
      <c r="K18" s="49"/>
      <c r="L18" s="49" t="s">
        <v>64</v>
      </c>
      <c r="M18" s="49" t="s">
        <v>65</v>
      </c>
      <c r="N18" s="49" t="s">
        <v>66</v>
      </c>
      <c r="O18" s="49" t="s">
        <v>67</v>
      </c>
      <c r="P18" s="49" t="s">
        <v>68</v>
      </c>
    </row>
    <row r="19" spans="1:19" x14ac:dyDescent="0.3">
      <c r="A19" s="16">
        <v>17</v>
      </c>
      <c r="B19" s="3">
        <v>45317</v>
      </c>
      <c r="C19" s="40">
        <v>4890.97</v>
      </c>
      <c r="D19" s="46">
        <f t="shared" si="0"/>
        <v>-6.517972440622799E-4</v>
      </c>
      <c r="E19">
        <v>15952.23</v>
      </c>
      <c r="F19">
        <v>7.8144</v>
      </c>
      <c r="G19" s="14">
        <f t="shared" si="1"/>
        <v>2041.3889742014742</v>
      </c>
      <c r="H19">
        <f t="shared" si="2"/>
        <v>-1.5617948433289675E-2</v>
      </c>
      <c r="I19"/>
      <c r="K19" s="12" t="s">
        <v>60</v>
      </c>
      <c r="L19" s="12">
        <v>1</v>
      </c>
      <c r="M19" s="12">
        <v>7.1873135259300502E-3</v>
      </c>
      <c r="N19" s="12">
        <v>7.1873135259300502E-3</v>
      </c>
      <c r="O19" s="12">
        <v>24.650738916998243</v>
      </c>
      <c r="P19" s="12">
        <v>1.1313750002597048E-6</v>
      </c>
    </row>
    <row r="20" spans="1:19" x14ac:dyDescent="0.3">
      <c r="A20" s="16">
        <v>18</v>
      </c>
      <c r="B20" s="3">
        <v>45320</v>
      </c>
      <c r="C20" s="40">
        <v>4927.93</v>
      </c>
      <c r="D20" s="46">
        <f t="shared" si="0"/>
        <v>7.5567832147815928E-3</v>
      </c>
      <c r="E20">
        <v>16077.24</v>
      </c>
      <c r="F20">
        <v>7.8136000000000001</v>
      </c>
      <c r="G20" s="14">
        <f t="shared" si="1"/>
        <v>2057.5970103409441</v>
      </c>
      <c r="H20">
        <f t="shared" si="2"/>
        <v>7.9397098467282046E-3</v>
      </c>
      <c r="I20"/>
      <c r="K20" s="12" t="s">
        <v>61</v>
      </c>
      <c r="L20" s="12">
        <v>313</v>
      </c>
      <c r="M20" s="12">
        <v>9.1260109532247891E-2</v>
      </c>
      <c r="N20" s="12">
        <v>2.9156584515095175E-4</v>
      </c>
    </row>
    <row r="21" spans="1:19" ht="15" thickBot="1" x14ac:dyDescent="0.35">
      <c r="A21" s="16">
        <v>19</v>
      </c>
      <c r="B21" s="3">
        <v>45321</v>
      </c>
      <c r="C21" s="40">
        <v>4924.97</v>
      </c>
      <c r="D21" s="46">
        <f t="shared" si="0"/>
        <v>-6.0065788272156695E-4</v>
      </c>
      <c r="E21">
        <v>15703.45</v>
      </c>
      <c r="F21">
        <v>7.8177000000000003</v>
      </c>
      <c r="G21" s="14">
        <f t="shared" si="1"/>
        <v>2008.7046062141039</v>
      </c>
      <c r="H21">
        <f t="shared" si="2"/>
        <v>-2.3761895007195166E-2</v>
      </c>
      <c r="I21"/>
      <c r="K21" s="48" t="s">
        <v>62</v>
      </c>
      <c r="L21" s="48">
        <v>314</v>
      </c>
      <c r="M21" s="48">
        <v>9.8447423058177941E-2</v>
      </c>
      <c r="N21" s="48"/>
      <c r="O21" s="48"/>
      <c r="P21" s="48"/>
    </row>
    <row r="22" spans="1:19" ht="15" thickBot="1" x14ac:dyDescent="0.35">
      <c r="A22" s="16">
        <v>20</v>
      </c>
      <c r="B22" s="3">
        <v>45322</v>
      </c>
      <c r="C22" s="40">
        <v>4845.6499999999996</v>
      </c>
      <c r="D22" s="46">
        <f t="shared" si="0"/>
        <v>-1.6105681862021659E-2</v>
      </c>
      <c r="E22">
        <v>15485.07</v>
      </c>
      <c r="F22">
        <v>7.8179999999999996</v>
      </c>
      <c r="G22" s="14">
        <f t="shared" si="1"/>
        <v>1980.6945510360706</v>
      </c>
      <c r="H22">
        <f t="shared" si="2"/>
        <v>-1.3944337605132029E-2</v>
      </c>
      <c r="I22"/>
    </row>
    <row r="23" spans="1:19" x14ac:dyDescent="0.3">
      <c r="A23" s="16">
        <v>21</v>
      </c>
      <c r="B23" s="3">
        <v>45323</v>
      </c>
      <c r="C23" s="40">
        <v>4906.1899999999996</v>
      </c>
      <c r="D23" s="46">
        <f t="shared" si="0"/>
        <v>1.2493679898465615E-2</v>
      </c>
      <c r="E23">
        <v>15566.21</v>
      </c>
      <c r="F23">
        <v>7.8196000000000003</v>
      </c>
      <c r="G23" s="14">
        <f t="shared" si="1"/>
        <v>1990.6657629546266</v>
      </c>
      <c r="H23">
        <f t="shared" si="2"/>
        <v>5.0341997019884843E-3</v>
      </c>
      <c r="I23"/>
      <c r="K23" s="49"/>
      <c r="L23" s="49" t="s">
        <v>69</v>
      </c>
      <c r="M23" s="49" t="s">
        <v>57</v>
      </c>
      <c r="N23" s="49" t="s">
        <v>70</v>
      </c>
      <c r="O23" s="49" t="s">
        <v>71</v>
      </c>
      <c r="P23" s="49" t="s">
        <v>72</v>
      </c>
      <c r="Q23" s="49" t="s">
        <v>73</v>
      </c>
      <c r="R23" s="49" t="s">
        <v>74</v>
      </c>
      <c r="S23" s="49" t="s">
        <v>75</v>
      </c>
    </row>
    <row r="24" spans="1:19" x14ac:dyDescent="0.3">
      <c r="A24" s="16">
        <v>22</v>
      </c>
      <c r="B24" s="3">
        <v>45324</v>
      </c>
      <c r="C24" s="40">
        <v>4958.6099999999997</v>
      </c>
      <c r="D24" s="46">
        <f t="shared" si="0"/>
        <v>1.0684461873673889E-2</v>
      </c>
      <c r="E24">
        <v>15533.56</v>
      </c>
      <c r="F24">
        <v>7.8201000000000001</v>
      </c>
      <c r="G24" s="14">
        <f t="shared" si="1"/>
        <v>1986.3633457372666</v>
      </c>
      <c r="H24">
        <f t="shared" si="2"/>
        <v>-2.1612956315550935E-3</v>
      </c>
      <c r="I24"/>
      <c r="K24" s="12" t="s">
        <v>63</v>
      </c>
      <c r="L24" s="12">
        <v>8.1632098880485293E-4</v>
      </c>
      <c r="M24" s="12">
        <v>9.6332896753289728E-4</v>
      </c>
      <c r="N24" s="12">
        <v>0.84739587027624175</v>
      </c>
      <c r="O24" s="12">
        <v>0.39742199114490373</v>
      </c>
      <c r="P24" s="12">
        <v>-1.0790981332730325E-3</v>
      </c>
      <c r="Q24" s="12">
        <v>2.7117401108827381E-3</v>
      </c>
      <c r="R24" s="12">
        <v>-1.0790981332730325E-3</v>
      </c>
      <c r="S24" s="12">
        <v>2.7117401108827381E-3</v>
      </c>
    </row>
    <row r="25" spans="1:19" ht="15" thickBot="1" x14ac:dyDescent="0.35">
      <c r="A25" s="16">
        <v>23</v>
      </c>
      <c r="B25" s="3">
        <v>45327</v>
      </c>
      <c r="C25" s="40">
        <v>4942.8100000000004</v>
      </c>
      <c r="D25" s="46">
        <f t="shared" si="0"/>
        <v>-3.18637682737688E-3</v>
      </c>
      <c r="E25">
        <v>15510.01</v>
      </c>
      <c r="F25">
        <v>7.8215000000000003</v>
      </c>
      <c r="G25" s="14">
        <f t="shared" si="1"/>
        <v>1982.996867608515</v>
      </c>
      <c r="H25">
        <f t="shared" si="2"/>
        <v>-1.6947947292603738E-3</v>
      </c>
      <c r="I25"/>
      <c r="K25" s="48" t="s">
        <v>76</v>
      </c>
      <c r="L25" s="48">
        <v>0.42419492508967094</v>
      </c>
      <c r="M25" s="48">
        <v>8.5437886682093026E-2</v>
      </c>
      <c r="N25" s="48">
        <v>4.9649510488018445</v>
      </c>
      <c r="O25" s="48">
        <v>1.1313750002595299E-6</v>
      </c>
      <c r="P25" s="48">
        <v>0.25608972984998518</v>
      </c>
      <c r="Q25" s="48">
        <v>0.59230012032935675</v>
      </c>
      <c r="R25" s="48">
        <v>0.25608972984998518</v>
      </c>
      <c r="S25" s="48">
        <v>0.59230012032935675</v>
      </c>
    </row>
    <row r="26" spans="1:19" x14ac:dyDescent="0.3">
      <c r="A26" s="16">
        <v>24</v>
      </c>
      <c r="B26" s="3">
        <v>45328</v>
      </c>
      <c r="C26" s="40">
        <v>4954.2299999999996</v>
      </c>
      <c r="D26" s="46">
        <f t="shared" si="0"/>
        <v>2.310426660138587E-3</v>
      </c>
      <c r="E26">
        <v>16136.87</v>
      </c>
      <c r="F26">
        <v>7.8224</v>
      </c>
      <c r="G26" s="14">
        <f t="shared" si="1"/>
        <v>2062.905246471671</v>
      </c>
      <c r="H26">
        <f t="shared" si="2"/>
        <v>4.0296775132844909E-2</v>
      </c>
      <c r="I26"/>
    </row>
    <row r="27" spans="1:19" x14ac:dyDescent="0.3">
      <c r="A27" s="16">
        <v>25</v>
      </c>
      <c r="B27" s="3">
        <v>45329</v>
      </c>
      <c r="C27" s="40">
        <v>4995.0600000000004</v>
      </c>
      <c r="D27" s="46">
        <f t="shared" si="0"/>
        <v>8.2414421615468747E-3</v>
      </c>
      <c r="E27">
        <v>16081.89</v>
      </c>
      <c r="F27">
        <v>7.8189000000000002</v>
      </c>
      <c r="G27" s="14">
        <f t="shared" si="1"/>
        <v>2056.7969919042321</v>
      </c>
      <c r="H27">
        <f t="shared" si="2"/>
        <v>-2.9609961862699929E-3</v>
      </c>
      <c r="I27"/>
    </row>
    <row r="28" spans="1:19" x14ac:dyDescent="0.3">
      <c r="A28" s="16">
        <v>26</v>
      </c>
      <c r="B28" s="3">
        <v>45330</v>
      </c>
      <c r="C28" s="40">
        <v>4997.91</v>
      </c>
      <c r="D28" s="46">
        <f t="shared" si="0"/>
        <v>5.7056371695218822E-4</v>
      </c>
      <c r="E28">
        <v>15878.07</v>
      </c>
      <c r="F28">
        <v>7.8209999999999997</v>
      </c>
      <c r="G28" s="14">
        <f t="shared" si="1"/>
        <v>2030.1841196777907</v>
      </c>
      <c r="H28">
        <f t="shared" si="2"/>
        <v>-1.2938988306183119E-2</v>
      </c>
      <c r="I28"/>
      <c r="K28" s="52" t="s">
        <v>84</v>
      </c>
      <c r="L28" s="51">
        <f>L25</f>
        <v>0.42419492508967094</v>
      </c>
    </row>
    <row r="29" spans="1:19" x14ac:dyDescent="0.3">
      <c r="A29" s="16">
        <v>27</v>
      </c>
      <c r="B29" s="3">
        <v>45331</v>
      </c>
      <c r="C29" s="40">
        <v>5026.6099999999997</v>
      </c>
      <c r="D29" s="46">
        <f t="shared" si="0"/>
        <v>5.7424003233350618E-3</v>
      </c>
      <c r="E29">
        <v>15746.58</v>
      </c>
      <c r="F29">
        <v>7.8197000000000001</v>
      </c>
      <c r="G29" s="14">
        <f t="shared" si="1"/>
        <v>2013.7064081742267</v>
      </c>
      <c r="H29">
        <f t="shared" si="2"/>
        <v>-8.1163631139914427E-3</v>
      </c>
      <c r="I29"/>
      <c r="K29" s="9"/>
      <c r="L29" s="51"/>
    </row>
    <row r="30" spans="1:19" x14ac:dyDescent="0.3">
      <c r="A30" s="16">
        <v>28</v>
      </c>
      <c r="B30" s="3">
        <v>45336</v>
      </c>
      <c r="C30" s="40">
        <v>5000.62</v>
      </c>
      <c r="D30" s="46">
        <f t="shared" si="0"/>
        <v>-5.1704826911178614E-3</v>
      </c>
      <c r="E30">
        <v>15879.38</v>
      </c>
      <c r="F30">
        <v>7.8182</v>
      </c>
      <c r="G30" s="14">
        <f t="shared" si="1"/>
        <v>2031.0787649331046</v>
      </c>
      <c r="H30">
        <f t="shared" si="2"/>
        <v>8.6270554080567496E-3</v>
      </c>
      <c r="I30"/>
    </row>
    <row r="31" spans="1:19" x14ac:dyDescent="0.3">
      <c r="A31" s="16">
        <v>29</v>
      </c>
      <c r="B31" s="3">
        <v>45337</v>
      </c>
      <c r="C31" s="40">
        <v>5029.7299999999996</v>
      </c>
      <c r="D31" s="46">
        <f t="shared" si="0"/>
        <v>5.8212781615079034E-3</v>
      </c>
      <c r="E31">
        <v>15944.63</v>
      </c>
      <c r="F31">
        <v>7.8193000000000001</v>
      </c>
      <c r="G31" s="14">
        <f t="shared" si="1"/>
        <v>2039.1377744810916</v>
      </c>
      <c r="H31">
        <f t="shared" si="2"/>
        <v>3.967846883699E-3</v>
      </c>
      <c r="I31"/>
    </row>
    <row r="32" spans="1:19" x14ac:dyDescent="0.3">
      <c r="A32" s="16">
        <v>30</v>
      </c>
      <c r="B32" s="3">
        <v>45338</v>
      </c>
      <c r="C32" s="40">
        <v>5005.57</v>
      </c>
      <c r="D32" s="46">
        <f t="shared" si="0"/>
        <v>-4.8034387531735723E-3</v>
      </c>
      <c r="E32">
        <v>16339.96</v>
      </c>
      <c r="F32">
        <v>7.8223000000000003</v>
      </c>
      <c r="G32" s="14">
        <f t="shared" si="1"/>
        <v>2088.8945706505756</v>
      </c>
      <c r="H32">
        <f t="shared" si="2"/>
        <v>2.4400899631289441E-2</v>
      </c>
      <c r="I32"/>
    </row>
    <row r="33" spans="1:9" x14ac:dyDescent="0.3">
      <c r="A33" s="16">
        <v>31</v>
      </c>
      <c r="B33" s="3">
        <v>45342</v>
      </c>
      <c r="C33" s="40">
        <v>4975.51</v>
      </c>
      <c r="D33" s="46">
        <f t="shared" si="0"/>
        <v>-6.0053100845657292E-3</v>
      </c>
      <c r="E33">
        <v>16247.51</v>
      </c>
      <c r="F33">
        <v>7.8207000000000004</v>
      </c>
      <c r="G33" s="14">
        <f t="shared" si="1"/>
        <v>2077.5007352283042</v>
      </c>
      <c r="H33">
        <f t="shared" si="2"/>
        <v>-5.4544808447287707E-3</v>
      </c>
      <c r="I33"/>
    </row>
    <row r="34" spans="1:9" x14ac:dyDescent="0.3">
      <c r="A34" s="16">
        <v>32</v>
      </c>
      <c r="B34" s="3">
        <v>45343</v>
      </c>
      <c r="C34" s="40">
        <v>4981.8</v>
      </c>
      <c r="D34" s="46">
        <f t="shared" si="0"/>
        <v>1.2641920124771833E-3</v>
      </c>
      <c r="E34">
        <v>16503.099999999999</v>
      </c>
      <c r="F34">
        <v>7.8209</v>
      </c>
      <c r="G34" s="14">
        <f t="shared" si="1"/>
        <v>2110.127990384738</v>
      </c>
      <c r="H34">
        <f t="shared" si="2"/>
        <v>1.5705051075636911E-2</v>
      </c>
      <c r="I34"/>
    </row>
    <row r="35" spans="1:9" x14ac:dyDescent="0.3">
      <c r="A35" s="16">
        <v>33</v>
      </c>
      <c r="B35" s="3">
        <v>45344</v>
      </c>
      <c r="C35" s="40">
        <v>5087.03</v>
      </c>
      <c r="D35" s="46">
        <f t="shared" si="0"/>
        <v>2.1122887309807714E-2</v>
      </c>
      <c r="E35">
        <v>16742.95</v>
      </c>
      <c r="F35">
        <v>7.8221999999999996</v>
      </c>
      <c r="G35" s="14">
        <f t="shared" si="1"/>
        <v>2140.4400296591753</v>
      </c>
      <c r="H35">
        <f t="shared" si="2"/>
        <v>1.4365024023452966E-2</v>
      </c>
      <c r="I35"/>
    </row>
    <row r="36" spans="1:9" x14ac:dyDescent="0.3">
      <c r="A36" s="16">
        <v>34</v>
      </c>
      <c r="B36" s="3">
        <v>45345</v>
      </c>
      <c r="C36" s="40">
        <v>5088.8</v>
      </c>
      <c r="D36" s="46">
        <f t="shared" si="0"/>
        <v>3.4794369209545373E-4</v>
      </c>
      <c r="E36">
        <v>16725.86</v>
      </c>
      <c r="F36">
        <v>7.8238000000000003</v>
      </c>
      <c r="G36" s="14">
        <f t="shared" si="1"/>
        <v>2137.8179401313942</v>
      </c>
      <c r="H36">
        <f t="shared" si="2"/>
        <v>-1.2250235892844463E-3</v>
      </c>
      <c r="I36"/>
    </row>
    <row r="37" spans="1:9" x14ac:dyDescent="0.3">
      <c r="A37" s="16">
        <v>35</v>
      </c>
      <c r="B37" s="3">
        <v>45348</v>
      </c>
      <c r="C37" s="40">
        <v>5069.53</v>
      </c>
      <c r="D37" s="46">
        <f t="shared" si="0"/>
        <v>-3.7867473667663187E-3</v>
      </c>
      <c r="E37">
        <v>16634.740000000002</v>
      </c>
      <c r="F37">
        <v>7.8238000000000003</v>
      </c>
      <c r="G37" s="14">
        <f t="shared" si="1"/>
        <v>2126.1714256499399</v>
      </c>
      <c r="H37">
        <f t="shared" si="2"/>
        <v>-5.4478514109290721E-3</v>
      </c>
      <c r="I37"/>
    </row>
    <row r="38" spans="1:9" x14ac:dyDescent="0.3">
      <c r="A38" s="16">
        <v>36</v>
      </c>
      <c r="B38" s="3">
        <v>45349</v>
      </c>
      <c r="C38" s="40">
        <v>5078.18</v>
      </c>
      <c r="D38" s="46">
        <f t="shared" si="0"/>
        <v>1.7062725735916828E-3</v>
      </c>
      <c r="E38">
        <v>16790.8</v>
      </c>
      <c r="F38">
        <v>7.8240999999999996</v>
      </c>
      <c r="G38" s="14">
        <f t="shared" si="1"/>
        <v>2146.035965797983</v>
      </c>
      <c r="H38">
        <f t="shared" si="2"/>
        <v>9.3428685516130372E-3</v>
      </c>
      <c r="I38"/>
    </row>
    <row r="39" spans="1:9" x14ac:dyDescent="0.3">
      <c r="A39" s="16">
        <v>37</v>
      </c>
      <c r="B39" s="3">
        <v>45350</v>
      </c>
      <c r="C39" s="40">
        <v>5069.76</v>
      </c>
      <c r="D39" s="46">
        <f t="shared" si="0"/>
        <v>-1.6580743494716277E-3</v>
      </c>
      <c r="E39">
        <v>16536.849999999999</v>
      </c>
      <c r="F39">
        <v>7.8278999999999996</v>
      </c>
      <c r="G39" s="14">
        <f t="shared" si="1"/>
        <v>2112.5525364401692</v>
      </c>
      <c r="H39">
        <f t="shared" si="2"/>
        <v>-1.5602454894255824E-2</v>
      </c>
      <c r="I39"/>
    </row>
    <row r="40" spans="1:9" x14ac:dyDescent="0.3">
      <c r="A40" s="16">
        <v>38</v>
      </c>
      <c r="B40" s="3">
        <v>45351</v>
      </c>
      <c r="C40" s="40">
        <v>5096.2700000000004</v>
      </c>
      <c r="D40" s="46">
        <f t="shared" si="0"/>
        <v>5.229044372909275E-3</v>
      </c>
      <c r="E40">
        <v>16511.439999999999</v>
      </c>
      <c r="F40">
        <v>7.8288000000000002</v>
      </c>
      <c r="G40" s="14">
        <f t="shared" si="1"/>
        <v>2109.0639689352133</v>
      </c>
      <c r="H40">
        <f t="shared" si="2"/>
        <v>-1.6513518337557542E-3</v>
      </c>
      <c r="I40"/>
    </row>
    <row r="41" spans="1:9" x14ac:dyDescent="0.3">
      <c r="A41" s="16">
        <v>39</v>
      </c>
      <c r="B41" s="3">
        <v>45352</v>
      </c>
      <c r="C41" s="40">
        <v>5137.08</v>
      </c>
      <c r="D41" s="46">
        <f t="shared" si="0"/>
        <v>8.0078174821975878E-3</v>
      </c>
      <c r="E41">
        <v>16589.439999999999</v>
      </c>
      <c r="F41">
        <v>7.8285</v>
      </c>
      <c r="G41" s="14">
        <f t="shared" si="1"/>
        <v>2119.1083860254198</v>
      </c>
      <c r="H41">
        <f t="shared" si="2"/>
        <v>4.76249997067546E-3</v>
      </c>
      <c r="I41"/>
    </row>
    <row r="42" spans="1:9" x14ac:dyDescent="0.3">
      <c r="A42" s="16">
        <v>40</v>
      </c>
      <c r="B42" s="3">
        <v>45355</v>
      </c>
      <c r="C42" s="40">
        <v>5130.95</v>
      </c>
      <c r="D42" s="46">
        <f t="shared" si="0"/>
        <v>-1.1932849011501157E-3</v>
      </c>
      <c r="E42">
        <v>16595.97</v>
      </c>
      <c r="F42">
        <v>7.8247</v>
      </c>
      <c r="G42" s="14">
        <f t="shared" si="1"/>
        <v>2120.9720500466474</v>
      </c>
      <c r="H42">
        <f t="shared" si="2"/>
        <v>8.7945667787336923E-4</v>
      </c>
      <c r="I42"/>
    </row>
    <row r="43" spans="1:9" x14ac:dyDescent="0.3">
      <c r="A43" s="16">
        <v>41</v>
      </c>
      <c r="B43" s="3">
        <v>45356</v>
      </c>
      <c r="C43" s="40">
        <v>5078.6499999999996</v>
      </c>
      <c r="D43" s="46">
        <f t="shared" si="0"/>
        <v>-1.0193044173106403E-2</v>
      </c>
      <c r="E43">
        <v>16162.64</v>
      </c>
      <c r="F43">
        <v>7.8239999999999998</v>
      </c>
      <c r="G43" s="14">
        <f t="shared" si="1"/>
        <v>2065.7770961145193</v>
      </c>
      <c r="H43">
        <f t="shared" si="2"/>
        <v>-2.6023423519849875E-2</v>
      </c>
      <c r="I43"/>
    </row>
    <row r="44" spans="1:9" x14ac:dyDescent="0.3">
      <c r="A44" s="16">
        <v>42</v>
      </c>
      <c r="B44" s="3">
        <v>45357</v>
      </c>
      <c r="C44" s="40">
        <v>5104.76</v>
      </c>
      <c r="D44" s="46">
        <f t="shared" si="0"/>
        <v>5.1411300247115044E-3</v>
      </c>
      <c r="E44">
        <v>16438.09</v>
      </c>
      <c r="F44">
        <v>7.8251999999999997</v>
      </c>
      <c r="G44" s="14">
        <f t="shared" si="1"/>
        <v>2100.6606859888566</v>
      </c>
      <c r="H44">
        <f t="shared" si="2"/>
        <v>1.6886424939045463E-2</v>
      </c>
      <c r="I44"/>
    </row>
    <row r="45" spans="1:9" x14ac:dyDescent="0.3">
      <c r="A45" s="16">
        <v>43</v>
      </c>
      <c r="B45" s="3">
        <v>45358</v>
      </c>
      <c r="C45" s="40">
        <v>5157.3599999999997</v>
      </c>
      <c r="D45" s="46">
        <f t="shared" si="0"/>
        <v>1.0304108322428451E-2</v>
      </c>
      <c r="E45">
        <v>16229.78</v>
      </c>
      <c r="F45">
        <v>7.8207000000000004</v>
      </c>
      <c r="G45" s="14">
        <f t="shared" si="1"/>
        <v>2075.2336747349982</v>
      </c>
      <c r="H45">
        <f t="shared" si="2"/>
        <v>-1.2104292436876385E-2</v>
      </c>
      <c r="I45"/>
    </row>
    <row r="46" spans="1:9" x14ac:dyDescent="0.3">
      <c r="A46" s="16">
        <v>44</v>
      </c>
      <c r="B46" s="3">
        <v>45359</v>
      </c>
      <c r="C46" s="40">
        <v>5123.6899999999996</v>
      </c>
      <c r="D46" s="46">
        <f t="shared" si="0"/>
        <v>-6.5285339786247398E-3</v>
      </c>
      <c r="E46">
        <v>16353.39</v>
      </c>
      <c r="F46">
        <v>7.8202999999999996</v>
      </c>
      <c r="G46" s="14">
        <f t="shared" si="1"/>
        <v>2091.1461197140775</v>
      </c>
      <c r="H46">
        <f t="shared" si="2"/>
        <v>7.667784680253531E-3</v>
      </c>
      <c r="I46"/>
    </row>
    <row r="47" spans="1:9" x14ac:dyDescent="0.3">
      <c r="A47" s="16">
        <v>45</v>
      </c>
      <c r="B47" s="3">
        <v>45362</v>
      </c>
      <c r="C47" s="40">
        <v>5117.9399999999996</v>
      </c>
      <c r="D47" s="46">
        <f t="shared" si="0"/>
        <v>-1.1222380745127269E-3</v>
      </c>
      <c r="E47">
        <v>16587.57</v>
      </c>
      <c r="F47">
        <v>7.8216000000000001</v>
      </c>
      <c r="G47" s="14">
        <f t="shared" si="1"/>
        <v>2120.7387235348265</v>
      </c>
      <c r="H47">
        <f t="shared" si="2"/>
        <v>1.4151380212873432E-2</v>
      </c>
      <c r="I47"/>
    </row>
    <row r="48" spans="1:9" x14ac:dyDescent="0.3">
      <c r="A48" s="16">
        <v>46</v>
      </c>
      <c r="B48" s="3">
        <v>45363</v>
      </c>
      <c r="C48" s="40">
        <v>5175.2700000000004</v>
      </c>
      <c r="D48" s="46">
        <f t="shared" si="0"/>
        <v>1.1201772588189884E-2</v>
      </c>
      <c r="E48">
        <v>17093.5</v>
      </c>
      <c r="F48">
        <v>7.8235000000000001</v>
      </c>
      <c r="G48" s="14">
        <f t="shared" si="1"/>
        <v>2184.8916725250847</v>
      </c>
      <c r="H48">
        <f t="shared" si="2"/>
        <v>3.0250284147841144E-2</v>
      </c>
      <c r="I48"/>
    </row>
    <row r="49" spans="1:9" x14ac:dyDescent="0.3">
      <c r="A49" s="16">
        <v>47</v>
      </c>
      <c r="B49" s="3">
        <v>45364</v>
      </c>
      <c r="C49" s="40">
        <v>5165.3100000000004</v>
      </c>
      <c r="D49" s="46">
        <f t="shared" si="0"/>
        <v>-1.9245372705192221E-3</v>
      </c>
      <c r="E49">
        <v>17082.11</v>
      </c>
      <c r="F49">
        <v>7.8232999999999997</v>
      </c>
      <c r="G49" s="14">
        <f t="shared" si="1"/>
        <v>2183.4916211828768</v>
      </c>
      <c r="H49">
        <f t="shared" si="2"/>
        <v>-6.4078753185503601E-4</v>
      </c>
      <c r="I49"/>
    </row>
    <row r="50" spans="1:9" x14ac:dyDescent="0.3">
      <c r="A50" s="16">
        <v>48</v>
      </c>
      <c r="B50" s="3">
        <v>45365</v>
      </c>
      <c r="C50" s="40">
        <v>5150.4799999999996</v>
      </c>
      <c r="D50" s="46">
        <f t="shared" si="0"/>
        <v>-2.871076469757039E-3</v>
      </c>
      <c r="E50">
        <v>16961.66</v>
      </c>
      <c r="F50">
        <v>7.8221999999999996</v>
      </c>
      <c r="G50" s="14">
        <f t="shared" si="1"/>
        <v>2168.4001943187341</v>
      </c>
      <c r="H50">
        <f t="shared" si="2"/>
        <v>-6.9116028281194231E-3</v>
      </c>
      <c r="I50"/>
    </row>
    <row r="51" spans="1:9" x14ac:dyDescent="0.3">
      <c r="A51" s="16">
        <v>49</v>
      </c>
      <c r="B51" s="3">
        <v>45366</v>
      </c>
      <c r="C51" s="40">
        <v>5117.09</v>
      </c>
      <c r="D51" s="46">
        <f t="shared" si="0"/>
        <v>-6.4828909150214109E-3</v>
      </c>
      <c r="E51">
        <v>16720.89</v>
      </c>
      <c r="F51">
        <v>7.8215000000000003</v>
      </c>
      <c r="G51" s="14">
        <f t="shared" si="1"/>
        <v>2137.8111615419034</v>
      </c>
      <c r="H51">
        <f t="shared" si="2"/>
        <v>-1.4106728479814201E-2</v>
      </c>
      <c r="I51"/>
    </row>
    <row r="52" spans="1:9" x14ac:dyDescent="0.3">
      <c r="A52" s="16">
        <v>50</v>
      </c>
      <c r="B52" s="3">
        <v>45369</v>
      </c>
      <c r="C52" s="40">
        <v>5149.42</v>
      </c>
      <c r="D52" s="46">
        <f t="shared" si="0"/>
        <v>6.3180440445644859E-3</v>
      </c>
      <c r="E52">
        <v>16737.12</v>
      </c>
      <c r="F52">
        <v>7.8192000000000004</v>
      </c>
      <c r="G52" s="14">
        <f t="shared" si="1"/>
        <v>2140.5156537753219</v>
      </c>
      <c r="H52">
        <f t="shared" si="2"/>
        <v>1.2650753640315315E-3</v>
      </c>
      <c r="I52"/>
    </row>
    <row r="53" spans="1:9" x14ac:dyDescent="0.3">
      <c r="A53" s="16">
        <v>51</v>
      </c>
      <c r="B53" s="3">
        <v>45370</v>
      </c>
      <c r="C53" s="40">
        <v>5178.51</v>
      </c>
      <c r="D53" s="46">
        <f t="shared" si="0"/>
        <v>5.6491799076401339E-3</v>
      </c>
      <c r="E53">
        <v>16529.48</v>
      </c>
      <c r="F53">
        <v>7.8230000000000004</v>
      </c>
      <c r="G53" s="14">
        <f t="shared" si="1"/>
        <v>2112.9336571647705</v>
      </c>
      <c r="H53">
        <f t="shared" si="2"/>
        <v>-1.2885678533536504E-2</v>
      </c>
      <c r="I53"/>
    </row>
    <row r="54" spans="1:9" x14ac:dyDescent="0.3">
      <c r="A54" s="16">
        <v>52</v>
      </c>
      <c r="B54" s="3">
        <v>45371</v>
      </c>
      <c r="C54" s="40">
        <v>5224.62</v>
      </c>
      <c r="D54" s="46">
        <f t="shared" si="0"/>
        <v>8.9041056211149883E-3</v>
      </c>
      <c r="E54">
        <v>16543.07</v>
      </c>
      <c r="F54">
        <v>7.8228</v>
      </c>
      <c r="G54" s="14">
        <f t="shared" si="1"/>
        <v>2114.7249066830291</v>
      </c>
      <c r="H54">
        <f t="shared" si="2"/>
        <v>8.4775473767706444E-4</v>
      </c>
      <c r="I54"/>
    </row>
    <row r="55" spans="1:9" x14ac:dyDescent="0.3">
      <c r="A55" s="16">
        <v>53</v>
      </c>
      <c r="B55" s="3">
        <v>45372</v>
      </c>
      <c r="C55" s="40">
        <v>5241.53</v>
      </c>
      <c r="D55" s="46">
        <f t="shared" si="0"/>
        <v>3.2365990253835353E-3</v>
      </c>
      <c r="E55">
        <v>16863.099999999999</v>
      </c>
      <c r="F55">
        <v>7.8216000000000001</v>
      </c>
      <c r="G55" s="14">
        <f t="shared" si="1"/>
        <v>2155.9655313490844</v>
      </c>
      <c r="H55">
        <f t="shared" si="2"/>
        <v>1.9501649853238767E-2</v>
      </c>
      <c r="I55"/>
    </row>
    <row r="56" spans="1:9" x14ac:dyDescent="0.3">
      <c r="A56" s="16">
        <v>54</v>
      </c>
      <c r="B56" s="3">
        <v>45373</v>
      </c>
      <c r="C56" s="40">
        <v>5234.18</v>
      </c>
      <c r="D56" s="46">
        <f t="shared" si="0"/>
        <v>-1.4022623165372838E-3</v>
      </c>
      <c r="E56">
        <v>16499.47</v>
      </c>
      <c r="F56">
        <v>7.8216000000000001</v>
      </c>
      <c r="G56" s="14">
        <f t="shared" si="1"/>
        <v>2109.4750434693669</v>
      </c>
      <c r="H56">
        <f t="shared" si="2"/>
        <v>-2.1563650811535107E-2</v>
      </c>
      <c r="I56"/>
    </row>
    <row r="57" spans="1:9" x14ac:dyDescent="0.3">
      <c r="A57" s="16">
        <v>55</v>
      </c>
      <c r="B57" s="3">
        <v>45376</v>
      </c>
      <c r="C57" s="40">
        <v>5218.1899999999996</v>
      </c>
      <c r="D57" s="46">
        <f t="shared" si="0"/>
        <v>-3.0549197773100945E-3</v>
      </c>
      <c r="E57">
        <v>16473.64</v>
      </c>
      <c r="F57">
        <v>7.8216000000000001</v>
      </c>
      <c r="G57" s="14">
        <f t="shared" si="1"/>
        <v>2106.1726500971668</v>
      </c>
      <c r="H57">
        <f t="shared" si="2"/>
        <v>-1.5655048313674147E-3</v>
      </c>
      <c r="I57"/>
    </row>
    <row r="58" spans="1:9" x14ac:dyDescent="0.3">
      <c r="A58" s="16">
        <v>56</v>
      </c>
      <c r="B58" s="3">
        <v>45377</v>
      </c>
      <c r="C58" s="40">
        <v>5203.58</v>
      </c>
      <c r="D58" s="46">
        <f t="shared" si="0"/>
        <v>-2.7998213940082506E-3</v>
      </c>
      <c r="E58">
        <v>16618.32</v>
      </c>
      <c r="F58">
        <v>7.8236999999999997</v>
      </c>
      <c r="G58" s="14">
        <f t="shared" si="1"/>
        <v>2124.0998504543886</v>
      </c>
      <c r="H58">
        <f t="shared" si="2"/>
        <v>8.5117430218244472E-3</v>
      </c>
      <c r="I58"/>
    </row>
    <row r="59" spans="1:9" x14ac:dyDescent="0.3">
      <c r="A59" s="16">
        <v>57</v>
      </c>
      <c r="B59" s="3">
        <v>45378</v>
      </c>
      <c r="C59" s="40">
        <v>5248.49</v>
      </c>
      <c r="D59" s="46">
        <f t="shared" si="0"/>
        <v>8.6305966277062662E-3</v>
      </c>
      <c r="E59">
        <v>16392.84</v>
      </c>
      <c r="F59">
        <v>7.8239000000000001</v>
      </c>
      <c r="G59" s="14">
        <f t="shared" si="1"/>
        <v>2095.2261659786041</v>
      </c>
      <c r="H59">
        <f t="shared" si="2"/>
        <v>-1.359337437437691E-2</v>
      </c>
      <c r="I59"/>
    </row>
    <row r="60" spans="1:9" x14ac:dyDescent="0.3">
      <c r="A60" s="16">
        <v>58</v>
      </c>
      <c r="B60" s="3">
        <v>45379</v>
      </c>
      <c r="C60" s="40">
        <v>5254.35</v>
      </c>
      <c r="D60" s="46">
        <f t="shared" si="0"/>
        <v>1.1165116061955249E-3</v>
      </c>
      <c r="E60">
        <v>16541.419999999998</v>
      </c>
      <c r="F60">
        <v>7.8265000000000002</v>
      </c>
      <c r="G60" s="14">
        <f t="shared" si="1"/>
        <v>2113.5143422986007</v>
      </c>
      <c r="H60">
        <f t="shared" si="2"/>
        <v>8.7284974848789165E-3</v>
      </c>
      <c r="I60"/>
    </row>
    <row r="61" spans="1:9" x14ac:dyDescent="0.3">
      <c r="A61" s="16">
        <v>59</v>
      </c>
      <c r="B61" s="3">
        <v>45384</v>
      </c>
      <c r="C61" s="40">
        <v>5205.8100000000004</v>
      </c>
      <c r="D61" s="46">
        <f t="shared" si="0"/>
        <v>-9.2380598932313429E-3</v>
      </c>
      <c r="E61">
        <v>16931.52</v>
      </c>
      <c r="F61">
        <v>7.8291000000000004</v>
      </c>
      <c r="G61" s="14">
        <f t="shared" si="1"/>
        <v>2162.6393838372228</v>
      </c>
      <c r="H61">
        <f t="shared" si="2"/>
        <v>2.3243296984299056E-2</v>
      </c>
      <c r="I61"/>
    </row>
    <row r="62" spans="1:9" x14ac:dyDescent="0.3">
      <c r="A62" s="16">
        <v>60</v>
      </c>
      <c r="B62" s="3">
        <v>45385</v>
      </c>
      <c r="C62" s="40">
        <v>5211.49</v>
      </c>
      <c r="D62" s="46">
        <f t="shared" si="0"/>
        <v>1.0910886106099138E-3</v>
      </c>
      <c r="E62">
        <v>16725.099999999999</v>
      </c>
      <c r="F62">
        <v>7.8287000000000004</v>
      </c>
      <c r="G62" s="14">
        <f t="shared" si="1"/>
        <v>2136.3827966329018</v>
      </c>
      <c r="H62">
        <f t="shared" si="2"/>
        <v>-1.2140991882675034E-2</v>
      </c>
      <c r="I62"/>
    </row>
    <row r="63" spans="1:9" x14ac:dyDescent="0.3">
      <c r="A63" s="16">
        <v>61</v>
      </c>
      <c r="B63" s="3">
        <v>45387</v>
      </c>
      <c r="C63" s="40">
        <v>5204.34</v>
      </c>
      <c r="D63" s="46">
        <f t="shared" si="0"/>
        <v>-1.3719684773452201E-3</v>
      </c>
      <c r="E63">
        <v>16723.919999999998</v>
      </c>
      <c r="F63">
        <v>7.8282999999999996</v>
      </c>
      <c r="G63" s="14">
        <f t="shared" si="1"/>
        <v>2136.3412235095743</v>
      </c>
      <c r="H63">
        <f t="shared" si="2"/>
        <v>-1.9459585329451023E-5</v>
      </c>
      <c r="I63"/>
    </row>
    <row r="64" spans="1:9" x14ac:dyDescent="0.3">
      <c r="A64" s="16">
        <v>62</v>
      </c>
      <c r="B64" s="3">
        <v>45390</v>
      </c>
      <c r="C64" s="40">
        <v>5202.3900000000003</v>
      </c>
      <c r="D64" s="46">
        <f t="shared" si="0"/>
        <v>-3.7468728023148934E-4</v>
      </c>
      <c r="E64">
        <v>16732.849999999999</v>
      </c>
      <c r="F64">
        <v>7.8315999999999999</v>
      </c>
      <c r="G64" s="14">
        <f t="shared" si="1"/>
        <v>2136.5812860718115</v>
      </c>
      <c r="H64">
        <f t="shared" si="2"/>
        <v>1.1237088888016444E-4</v>
      </c>
      <c r="I64"/>
    </row>
    <row r="65" spans="1:11" x14ac:dyDescent="0.3">
      <c r="A65" s="16">
        <v>63</v>
      </c>
      <c r="B65" s="3">
        <v>45391</v>
      </c>
      <c r="C65" s="40">
        <v>5209.91</v>
      </c>
      <c r="D65" s="46">
        <f t="shared" si="0"/>
        <v>1.4454894769517779E-3</v>
      </c>
      <c r="E65">
        <v>16828.07</v>
      </c>
      <c r="F65">
        <v>7.8304</v>
      </c>
      <c r="G65" s="14">
        <f t="shared" si="1"/>
        <v>2149.0690130772373</v>
      </c>
      <c r="H65">
        <f t="shared" si="2"/>
        <v>5.8447235716385659E-3</v>
      </c>
      <c r="I65"/>
    </row>
    <row r="66" spans="1:11" x14ac:dyDescent="0.3">
      <c r="A66" s="16">
        <v>64</v>
      </c>
      <c r="B66" s="3">
        <v>45392</v>
      </c>
      <c r="C66" s="40">
        <v>5160.6400000000003</v>
      </c>
      <c r="D66" s="46">
        <f t="shared" si="0"/>
        <v>-9.4569771838668437E-3</v>
      </c>
      <c r="E66">
        <v>17139.169999999998</v>
      </c>
      <c r="F66">
        <v>7.8353999999999999</v>
      </c>
      <c r="G66" s="14">
        <f t="shared" si="1"/>
        <v>2187.4020471194831</v>
      </c>
      <c r="H66">
        <f t="shared" si="2"/>
        <v>1.7837041904650963E-2</v>
      </c>
      <c r="I66"/>
    </row>
    <row r="67" spans="1:11" x14ac:dyDescent="0.3">
      <c r="A67" s="16">
        <v>65</v>
      </c>
      <c r="B67" s="3">
        <v>45393</v>
      </c>
      <c r="C67" s="40">
        <v>5199.0600000000004</v>
      </c>
      <c r="D67" s="46">
        <f t="shared" si="0"/>
        <v>7.4448130464439544E-3</v>
      </c>
      <c r="E67">
        <v>17095.03</v>
      </c>
      <c r="F67">
        <v>7.8379000000000003</v>
      </c>
      <c r="G67" s="14">
        <f t="shared" si="1"/>
        <v>2181.072736319677</v>
      </c>
      <c r="H67">
        <f t="shared" si="2"/>
        <v>-2.8935287905307305E-3</v>
      </c>
      <c r="I67"/>
    </row>
    <row r="68" spans="1:11" x14ac:dyDescent="0.3">
      <c r="A68" s="16">
        <v>66</v>
      </c>
      <c r="B68" s="3">
        <v>45394</v>
      </c>
      <c r="C68" s="40">
        <v>5123.41</v>
      </c>
      <c r="D68" s="46">
        <f t="shared" ref="D68:D131" si="3">$C68/$C67-1</f>
        <v>-1.4550707243232486E-2</v>
      </c>
      <c r="E68">
        <v>16721.689999999999</v>
      </c>
      <c r="F68">
        <v>7.8372999999999999</v>
      </c>
      <c r="G68" s="14">
        <f t="shared" ref="G68:G131" si="4">E68/F68</f>
        <v>2133.6034093373992</v>
      </c>
      <c r="H68">
        <f t="shared" ref="H68:H131" si="5">$G68/$G67-1</f>
        <v>-2.1764210882016299E-2</v>
      </c>
      <c r="I68"/>
      <c r="K68" s="38"/>
    </row>
    <row r="69" spans="1:11" x14ac:dyDescent="0.3">
      <c r="A69" s="16">
        <v>67</v>
      </c>
      <c r="B69" s="3">
        <v>45397</v>
      </c>
      <c r="C69" s="40">
        <v>5061.82</v>
      </c>
      <c r="D69" s="46">
        <f t="shared" si="3"/>
        <v>-1.2021290507689297E-2</v>
      </c>
      <c r="E69">
        <v>16600.46</v>
      </c>
      <c r="F69">
        <v>7.8285999999999998</v>
      </c>
      <c r="G69" s="14">
        <f t="shared" si="4"/>
        <v>2120.4889763176047</v>
      </c>
      <c r="H69">
        <f t="shared" si="5"/>
        <v>-6.1466123284210639E-3</v>
      </c>
      <c r="I69"/>
      <c r="K69" s="38"/>
    </row>
    <row r="70" spans="1:11" x14ac:dyDescent="0.3">
      <c r="A70" s="16">
        <v>68</v>
      </c>
      <c r="B70" s="3">
        <v>45398</v>
      </c>
      <c r="C70" s="40">
        <v>5051.41</v>
      </c>
      <c r="D70" s="46">
        <f t="shared" si="3"/>
        <v>-2.056572537150636E-3</v>
      </c>
      <c r="E70">
        <v>16248.97</v>
      </c>
      <c r="F70">
        <v>7.8315999999999999</v>
      </c>
      <c r="G70" s="14">
        <f t="shared" si="4"/>
        <v>2074.7956994739261</v>
      </c>
      <c r="H70">
        <f t="shared" si="5"/>
        <v>-2.1548462337695584E-2</v>
      </c>
      <c r="I70"/>
      <c r="K70" s="38"/>
    </row>
    <row r="71" spans="1:11" x14ac:dyDescent="0.3">
      <c r="A71" s="16">
        <v>69</v>
      </c>
      <c r="B71" s="3">
        <v>45399</v>
      </c>
      <c r="C71" s="40">
        <v>5022.21</v>
      </c>
      <c r="D71" s="46">
        <f t="shared" si="3"/>
        <v>-5.780564238499708E-3</v>
      </c>
      <c r="E71">
        <v>16251.84</v>
      </c>
      <c r="F71">
        <v>7.8301999999999996</v>
      </c>
      <c r="G71" s="14">
        <f t="shared" si="4"/>
        <v>2075.5331920002045</v>
      </c>
      <c r="H71">
        <f t="shared" si="5"/>
        <v>3.5545308218321026E-4</v>
      </c>
      <c r="I71"/>
      <c r="K71" s="38"/>
    </row>
    <row r="72" spans="1:11" x14ac:dyDescent="0.3">
      <c r="A72" s="16">
        <v>70</v>
      </c>
      <c r="B72" s="3">
        <v>45400</v>
      </c>
      <c r="C72" s="40">
        <v>5011.12</v>
      </c>
      <c r="D72" s="46">
        <f t="shared" si="3"/>
        <v>-2.2081912146246774E-3</v>
      </c>
      <c r="E72">
        <v>16385.87</v>
      </c>
      <c r="F72">
        <v>7.8311999999999999</v>
      </c>
      <c r="G72" s="14">
        <f t="shared" si="4"/>
        <v>2092.3830319746653</v>
      </c>
      <c r="H72">
        <f t="shared" si="5"/>
        <v>8.1183187237889864E-3</v>
      </c>
      <c r="I72"/>
      <c r="K72" s="38"/>
    </row>
    <row r="73" spans="1:11" x14ac:dyDescent="0.3">
      <c r="A73" s="16">
        <v>71</v>
      </c>
      <c r="B73" s="3">
        <v>45401</v>
      </c>
      <c r="C73" s="40">
        <v>4967.2299999999996</v>
      </c>
      <c r="D73" s="46">
        <f t="shared" si="3"/>
        <v>-8.7585210491867294E-3</v>
      </c>
      <c r="E73">
        <v>16224.14</v>
      </c>
      <c r="F73">
        <v>7.8320999999999996</v>
      </c>
      <c r="G73" s="14">
        <f t="shared" si="4"/>
        <v>2071.4929584658012</v>
      </c>
      <c r="H73">
        <f t="shared" si="5"/>
        <v>-9.9838668110155959E-3</v>
      </c>
      <c r="I73"/>
      <c r="K73" s="38"/>
    </row>
    <row r="74" spans="1:11" x14ac:dyDescent="0.3">
      <c r="A74" s="16">
        <v>72</v>
      </c>
      <c r="B74" s="3">
        <v>45404</v>
      </c>
      <c r="C74" s="40">
        <v>5010.6000000000004</v>
      </c>
      <c r="D74" s="46">
        <f t="shared" si="3"/>
        <v>8.7312244450128418E-3</v>
      </c>
      <c r="E74">
        <v>16511.689999999999</v>
      </c>
      <c r="F74">
        <v>7.8354999999999997</v>
      </c>
      <c r="G74" s="14">
        <f t="shared" si="4"/>
        <v>2107.2924510241846</v>
      </c>
      <c r="H74">
        <f t="shared" si="5"/>
        <v>1.7281976466334337E-2</v>
      </c>
      <c r="I74"/>
      <c r="K74" s="38"/>
    </row>
    <row r="75" spans="1:11" x14ac:dyDescent="0.3">
      <c r="A75" s="16">
        <v>73</v>
      </c>
      <c r="B75" s="3">
        <v>45405</v>
      </c>
      <c r="C75" s="40">
        <v>5070.55</v>
      </c>
      <c r="D75" s="46">
        <f t="shared" si="3"/>
        <v>1.1964634973855359E-2</v>
      </c>
      <c r="E75">
        <v>16828.93</v>
      </c>
      <c r="F75">
        <v>7.8345000000000002</v>
      </c>
      <c r="G75" s="14">
        <f t="shared" si="4"/>
        <v>2148.0541195992087</v>
      </c>
      <c r="H75">
        <f t="shared" si="5"/>
        <v>1.934314743794241E-2</v>
      </c>
      <c r="I75"/>
      <c r="K75" s="38"/>
    </row>
    <row r="76" spans="1:11" x14ac:dyDescent="0.3">
      <c r="A76" s="16">
        <v>74</v>
      </c>
      <c r="B76" s="3">
        <v>45406</v>
      </c>
      <c r="C76" s="40">
        <v>5071.63</v>
      </c>
      <c r="D76" s="46">
        <f t="shared" si="3"/>
        <v>2.129946455513565E-4</v>
      </c>
      <c r="E76">
        <v>17201.27</v>
      </c>
      <c r="F76">
        <v>7.8315999999999999</v>
      </c>
      <c r="G76" s="14">
        <f t="shared" si="4"/>
        <v>2196.3928188365085</v>
      </c>
      <c r="H76">
        <f t="shared" si="5"/>
        <v>2.2503482941258035E-2</v>
      </c>
      <c r="I76"/>
      <c r="K76" s="38"/>
    </row>
    <row r="77" spans="1:11" x14ac:dyDescent="0.3">
      <c r="A77" s="16">
        <v>75</v>
      </c>
      <c r="B77" s="3">
        <v>45407</v>
      </c>
      <c r="C77" s="40">
        <v>5048.42</v>
      </c>
      <c r="D77" s="46">
        <f t="shared" si="3"/>
        <v>-4.5764379499293462E-3</v>
      </c>
      <c r="E77">
        <v>17284.54</v>
      </c>
      <c r="F77">
        <v>7.8277000000000001</v>
      </c>
      <c r="G77" s="14">
        <f t="shared" si="4"/>
        <v>2208.1249920155346</v>
      </c>
      <c r="H77">
        <f t="shared" si="5"/>
        <v>5.3415641675795822E-3</v>
      </c>
      <c r="I77"/>
      <c r="K77" s="38"/>
    </row>
    <row r="78" spans="1:11" x14ac:dyDescent="0.3">
      <c r="A78" s="16">
        <v>76</v>
      </c>
      <c r="B78" s="3">
        <v>45408</v>
      </c>
      <c r="C78" s="40">
        <v>5099.96</v>
      </c>
      <c r="D78" s="46">
        <f t="shared" si="3"/>
        <v>1.0209134739185721E-2</v>
      </c>
      <c r="E78">
        <v>17651.150000000001</v>
      </c>
      <c r="F78">
        <v>7.8282999999999996</v>
      </c>
      <c r="G78" s="14">
        <f t="shared" si="4"/>
        <v>2254.7871185314821</v>
      </c>
      <c r="H78">
        <f t="shared" si="5"/>
        <v>2.1132013216948797E-2</v>
      </c>
      <c r="I78"/>
      <c r="K78" s="38"/>
    </row>
    <row r="79" spans="1:11" x14ac:dyDescent="0.3">
      <c r="A79" s="16">
        <v>77</v>
      </c>
      <c r="B79" s="3">
        <v>45411</v>
      </c>
      <c r="C79" s="40">
        <v>5116.17</v>
      </c>
      <c r="D79" s="46">
        <f t="shared" si="3"/>
        <v>3.178456301617949E-3</v>
      </c>
      <c r="E79">
        <v>17746.91</v>
      </c>
      <c r="F79">
        <v>7.8246000000000002</v>
      </c>
      <c r="G79" s="14">
        <f t="shared" si="4"/>
        <v>2268.0916596375532</v>
      </c>
      <c r="H79">
        <f t="shared" si="5"/>
        <v>5.9005752679375245E-3</v>
      </c>
      <c r="I79"/>
      <c r="K79" s="38"/>
    </row>
    <row r="80" spans="1:11" x14ac:dyDescent="0.3">
      <c r="A80" s="16">
        <v>78</v>
      </c>
      <c r="B80" s="3">
        <v>45412</v>
      </c>
      <c r="C80" s="40">
        <v>5035.6899999999996</v>
      </c>
      <c r="D80" s="46">
        <f t="shared" si="3"/>
        <v>-1.5730517164206925E-2</v>
      </c>
      <c r="E80">
        <v>17763.03</v>
      </c>
      <c r="F80">
        <v>7.8235000000000001</v>
      </c>
      <c r="G80" s="14">
        <f t="shared" si="4"/>
        <v>2270.4710168083338</v>
      </c>
      <c r="H80">
        <f t="shared" si="5"/>
        <v>1.0490568847472126E-3</v>
      </c>
      <c r="I80"/>
      <c r="K80" s="38"/>
    </row>
    <row r="81" spans="1:11" x14ac:dyDescent="0.3">
      <c r="A81" s="16">
        <v>79</v>
      </c>
      <c r="B81" s="3">
        <v>45414</v>
      </c>
      <c r="C81" s="40">
        <v>5064.2</v>
      </c>
      <c r="D81" s="46">
        <f t="shared" si="3"/>
        <v>5.6615875877983335E-3</v>
      </c>
      <c r="E81">
        <v>18207.13</v>
      </c>
      <c r="F81">
        <v>7.8127000000000004</v>
      </c>
      <c r="G81" s="14">
        <f t="shared" si="4"/>
        <v>2330.4529804037015</v>
      </c>
      <c r="H81">
        <f t="shared" si="5"/>
        <v>2.6418290808964517E-2</v>
      </c>
      <c r="I81"/>
      <c r="K81" s="38"/>
    </row>
    <row r="82" spans="1:11" x14ac:dyDescent="0.3">
      <c r="A82" s="16">
        <v>80</v>
      </c>
      <c r="B82" s="3">
        <v>45415</v>
      </c>
      <c r="C82" s="40">
        <v>5127.79</v>
      </c>
      <c r="D82" s="46">
        <f t="shared" si="3"/>
        <v>1.2556771059594851E-2</v>
      </c>
      <c r="E82">
        <v>18475.919999999998</v>
      </c>
      <c r="F82">
        <v>7.8105000000000002</v>
      </c>
      <c r="G82" s="14">
        <f t="shared" si="4"/>
        <v>2365.5233339734968</v>
      </c>
      <c r="H82">
        <f t="shared" si="5"/>
        <v>1.5048728236396469E-2</v>
      </c>
      <c r="I82"/>
      <c r="K82" s="38"/>
    </row>
    <row r="83" spans="1:11" x14ac:dyDescent="0.3">
      <c r="A83" s="16">
        <v>81</v>
      </c>
      <c r="B83" s="3">
        <v>45418</v>
      </c>
      <c r="C83" s="40">
        <v>5180.74</v>
      </c>
      <c r="D83" s="46">
        <f t="shared" si="3"/>
        <v>1.0326085896653403E-2</v>
      </c>
      <c r="E83">
        <v>18578.3</v>
      </c>
      <c r="F83">
        <v>7.8182</v>
      </c>
      <c r="G83" s="14">
        <f t="shared" si="4"/>
        <v>2376.2886597938145</v>
      </c>
      <c r="H83">
        <f t="shared" si="5"/>
        <v>4.5509277654152136E-3</v>
      </c>
      <c r="I83"/>
      <c r="K83" s="38"/>
    </row>
    <row r="84" spans="1:11" x14ac:dyDescent="0.3">
      <c r="A84" s="16">
        <v>82</v>
      </c>
      <c r="B84" s="3">
        <v>45419</v>
      </c>
      <c r="C84" s="40">
        <v>5187.7</v>
      </c>
      <c r="D84" s="46">
        <f t="shared" si="3"/>
        <v>1.3434374239973401E-3</v>
      </c>
      <c r="E84">
        <v>18479.37</v>
      </c>
      <c r="F84">
        <v>7.8212999999999999</v>
      </c>
      <c r="G84" s="14">
        <f t="shared" si="4"/>
        <v>2362.6980169537032</v>
      </c>
      <c r="H84">
        <f t="shared" si="5"/>
        <v>-5.7192726919340631E-3</v>
      </c>
      <c r="I84"/>
      <c r="K84" s="38"/>
    </row>
    <row r="85" spans="1:11" x14ac:dyDescent="0.3">
      <c r="A85" s="16">
        <v>83</v>
      </c>
      <c r="B85" s="3">
        <v>45420</v>
      </c>
      <c r="C85" s="40">
        <v>5187.67</v>
      </c>
      <c r="D85" s="46">
        <f t="shared" si="3"/>
        <v>-5.7829095745365322E-6</v>
      </c>
      <c r="E85">
        <v>18313.86</v>
      </c>
      <c r="F85">
        <v>7.8170000000000002</v>
      </c>
      <c r="G85" s="14">
        <f t="shared" si="4"/>
        <v>2342.824613022899</v>
      </c>
      <c r="H85">
        <f t="shared" si="5"/>
        <v>-8.411317818951547E-3</v>
      </c>
      <c r="I85"/>
      <c r="K85" s="38"/>
    </row>
    <row r="86" spans="1:11" x14ac:dyDescent="0.3">
      <c r="A86" s="16">
        <v>84</v>
      </c>
      <c r="B86" s="3">
        <v>45421</v>
      </c>
      <c r="C86" s="40">
        <v>5214.08</v>
      </c>
      <c r="D86" s="46">
        <f t="shared" si="3"/>
        <v>5.0909175024624886E-3</v>
      </c>
      <c r="E86">
        <v>18537.810000000001</v>
      </c>
      <c r="F86">
        <v>7.8136000000000001</v>
      </c>
      <c r="G86" s="14">
        <f t="shared" si="4"/>
        <v>2372.505631207126</v>
      </c>
      <c r="H86">
        <f t="shared" si="5"/>
        <v>1.266890317748981E-2</v>
      </c>
      <c r="I86"/>
      <c r="K86" s="38"/>
    </row>
    <row r="87" spans="1:11" x14ac:dyDescent="0.3">
      <c r="A87" s="16">
        <v>85</v>
      </c>
      <c r="B87" s="3">
        <v>45422</v>
      </c>
      <c r="C87" s="40">
        <v>5222.68</v>
      </c>
      <c r="D87" s="46">
        <f t="shared" si="3"/>
        <v>1.6493801399288799E-3</v>
      </c>
      <c r="E87">
        <v>18963.68</v>
      </c>
      <c r="F87">
        <v>7.8132000000000001</v>
      </c>
      <c r="G87" s="14">
        <f t="shared" si="4"/>
        <v>2427.1335688322324</v>
      </c>
      <c r="H87">
        <f t="shared" si="5"/>
        <v>2.3025419584488782E-2</v>
      </c>
      <c r="I87"/>
      <c r="K87" s="38"/>
    </row>
    <row r="88" spans="1:11" x14ac:dyDescent="0.3">
      <c r="A88" s="16">
        <v>86</v>
      </c>
      <c r="B88" s="3">
        <v>45425</v>
      </c>
      <c r="C88" s="40">
        <v>5221.42</v>
      </c>
      <c r="D88" s="46">
        <f t="shared" si="3"/>
        <v>-2.4125544739483917E-4</v>
      </c>
      <c r="E88">
        <v>19115.060000000001</v>
      </c>
      <c r="F88">
        <v>7.8117000000000001</v>
      </c>
      <c r="G88" s="14">
        <f t="shared" si="4"/>
        <v>2446.978250572859</v>
      </c>
      <c r="H88">
        <f t="shared" si="5"/>
        <v>8.1761803287054846E-3</v>
      </c>
      <c r="I88"/>
      <c r="K88" s="38"/>
    </row>
    <row r="89" spans="1:11" x14ac:dyDescent="0.3">
      <c r="A89" s="16">
        <v>87</v>
      </c>
      <c r="B89" s="3">
        <v>45426</v>
      </c>
      <c r="C89" s="40">
        <v>5246.68</v>
      </c>
      <c r="D89" s="46">
        <f t="shared" si="3"/>
        <v>4.8377644395585229E-3</v>
      </c>
      <c r="E89">
        <v>19073.71</v>
      </c>
      <c r="F89">
        <v>7.8112000000000004</v>
      </c>
      <c r="G89" s="14">
        <f t="shared" si="4"/>
        <v>2441.8412023760752</v>
      </c>
      <c r="H89">
        <f t="shared" si="5"/>
        <v>-2.0993436274233668E-3</v>
      </c>
      <c r="I89"/>
      <c r="K89" s="38"/>
    </row>
    <row r="90" spans="1:11" x14ac:dyDescent="0.3">
      <c r="A90" s="16">
        <v>88</v>
      </c>
      <c r="B90" s="3">
        <v>45428</v>
      </c>
      <c r="C90" s="40">
        <v>5297.1</v>
      </c>
      <c r="D90" s="46">
        <f t="shared" si="3"/>
        <v>9.6098866330709409E-3</v>
      </c>
      <c r="E90">
        <v>19376.53</v>
      </c>
      <c r="F90">
        <v>7.8011999999999997</v>
      </c>
      <c r="G90" s="14">
        <f t="shared" si="4"/>
        <v>2483.7883915295083</v>
      </c>
      <c r="H90">
        <f t="shared" si="5"/>
        <v>1.7178508214463539E-2</v>
      </c>
      <c r="I90"/>
      <c r="K90" s="38"/>
    </row>
    <row r="91" spans="1:11" x14ac:dyDescent="0.3">
      <c r="A91" s="16">
        <v>89</v>
      </c>
      <c r="B91" s="3">
        <v>45429</v>
      </c>
      <c r="C91" s="40">
        <v>5303.27</v>
      </c>
      <c r="D91" s="46">
        <f t="shared" si="3"/>
        <v>1.1647882803798026E-3</v>
      </c>
      <c r="E91">
        <v>19553.61</v>
      </c>
      <c r="F91">
        <v>7.8021000000000003</v>
      </c>
      <c r="G91" s="14">
        <f t="shared" si="4"/>
        <v>2506.198331218518</v>
      </c>
      <c r="H91">
        <f t="shared" si="5"/>
        <v>9.022483463339448E-3</v>
      </c>
      <c r="I91"/>
      <c r="K91" s="38"/>
    </row>
    <row r="92" spans="1:11" x14ac:dyDescent="0.3">
      <c r="A92" s="16">
        <v>90</v>
      </c>
      <c r="B92" s="3">
        <v>45432</v>
      </c>
      <c r="C92" s="40">
        <v>5308.13</v>
      </c>
      <c r="D92" s="46">
        <f t="shared" si="3"/>
        <v>9.1641572086653689E-4</v>
      </c>
      <c r="E92">
        <v>19636.22</v>
      </c>
      <c r="F92">
        <v>7.7983000000000002</v>
      </c>
      <c r="G92" s="14">
        <f t="shared" si="4"/>
        <v>2518.0129002474901</v>
      </c>
      <c r="H92">
        <f t="shared" si="5"/>
        <v>4.7141396919005985E-3</v>
      </c>
      <c r="I92"/>
      <c r="K92" s="38"/>
    </row>
    <row r="93" spans="1:11" x14ac:dyDescent="0.3">
      <c r="A93" s="16">
        <v>91</v>
      </c>
      <c r="B93" s="3">
        <v>45433</v>
      </c>
      <c r="C93" s="40">
        <v>5321.41</v>
      </c>
      <c r="D93" s="46">
        <f t="shared" si="3"/>
        <v>2.5018226757822504E-3</v>
      </c>
      <c r="E93">
        <v>19220.62</v>
      </c>
      <c r="F93">
        <v>7.8044000000000002</v>
      </c>
      <c r="G93" s="14">
        <f t="shared" si="4"/>
        <v>2462.7927835579926</v>
      </c>
      <c r="H93">
        <f t="shared" si="5"/>
        <v>-2.1930037246461254E-2</v>
      </c>
      <c r="I93"/>
      <c r="K93" s="38"/>
    </row>
    <row r="94" spans="1:11" x14ac:dyDescent="0.3">
      <c r="A94" s="16">
        <v>92</v>
      </c>
      <c r="B94" s="3">
        <v>45434</v>
      </c>
      <c r="C94" s="40">
        <v>5307.01</v>
      </c>
      <c r="D94" s="46">
        <f t="shared" si="3"/>
        <v>-2.7060497123881921E-3</v>
      </c>
      <c r="E94">
        <v>19195.599999999999</v>
      </c>
      <c r="F94">
        <v>7.8078000000000003</v>
      </c>
      <c r="G94" s="14">
        <f t="shared" si="4"/>
        <v>2458.5158431312275</v>
      </c>
      <c r="H94">
        <f t="shared" si="5"/>
        <v>-1.7366221207559818E-3</v>
      </c>
      <c r="I94"/>
      <c r="K94" s="38"/>
    </row>
    <row r="95" spans="1:11" x14ac:dyDescent="0.3">
      <c r="A95" s="16">
        <v>93</v>
      </c>
      <c r="B95" s="3">
        <v>45435</v>
      </c>
      <c r="C95" s="40">
        <v>5267.84</v>
      </c>
      <c r="D95" s="46">
        <f t="shared" si="3"/>
        <v>-7.3808038801509435E-3</v>
      </c>
      <c r="E95">
        <v>18868.71</v>
      </c>
      <c r="F95">
        <v>7.8091999999999997</v>
      </c>
      <c r="G95" s="14">
        <f t="shared" si="4"/>
        <v>2416.2154894227319</v>
      </c>
      <c r="H95">
        <f t="shared" si="5"/>
        <v>-1.7205646173351741E-2</v>
      </c>
      <c r="I95"/>
      <c r="K95" s="38"/>
    </row>
    <row r="96" spans="1:11" x14ac:dyDescent="0.3">
      <c r="A96" s="16">
        <v>94</v>
      </c>
      <c r="B96" s="3">
        <v>45436</v>
      </c>
      <c r="C96" s="40">
        <v>5304.72</v>
      </c>
      <c r="D96" s="46">
        <f t="shared" si="3"/>
        <v>7.0009719353663069E-3</v>
      </c>
      <c r="E96">
        <v>18608.939999999999</v>
      </c>
      <c r="F96">
        <v>7.8122999999999996</v>
      </c>
      <c r="G96" s="14">
        <f t="shared" si="4"/>
        <v>2382.005299335663</v>
      </c>
      <c r="H96">
        <f t="shared" si="5"/>
        <v>-1.415858404882675E-2</v>
      </c>
      <c r="I96"/>
      <c r="K96" s="38"/>
    </row>
    <row r="97" spans="1:11" x14ac:dyDescent="0.3">
      <c r="A97" s="16">
        <v>95</v>
      </c>
      <c r="B97" s="3">
        <v>45440</v>
      </c>
      <c r="C97" s="40">
        <v>5306.04</v>
      </c>
      <c r="D97" s="46">
        <f t="shared" si="3"/>
        <v>2.4883499977379486E-4</v>
      </c>
      <c r="E97">
        <v>18821.16</v>
      </c>
      <c r="F97">
        <v>7.8113999999999999</v>
      </c>
      <c r="G97" s="14">
        <f t="shared" si="4"/>
        <v>2409.447730240418</v>
      </c>
      <c r="H97">
        <f t="shared" si="5"/>
        <v>1.1520726218538835E-2</v>
      </c>
      <c r="I97"/>
      <c r="K97" s="38"/>
    </row>
    <row r="98" spans="1:11" x14ac:dyDescent="0.3">
      <c r="A98" s="16">
        <v>96</v>
      </c>
      <c r="B98" s="3">
        <v>45441</v>
      </c>
      <c r="C98" s="40">
        <v>5266.95</v>
      </c>
      <c r="D98" s="46">
        <f t="shared" si="3"/>
        <v>-7.3670760114887823E-3</v>
      </c>
      <c r="E98">
        <v>18477.009999999998</v>
      </c>
      <c r="F98">
        <v>7.8135000000000003</v>
      </c>
      <c r="G98" s="14">
        <f t="shared" si="4"/>
        <v>2364.7545914122989</v>
      </c>
      <c r="H98">
        <f t="shared" si="5"/>
        <v>-1.854912155478039E-2</v>
      </c>
      <c r="I98"/>
      <c r="K98" s="38"/>
    </row>
    <row r="99" spans="1:11" x14ac:dyDescent="0.3">
      <c r="A99" s="16">
        <v>97</v>
      </c>
      <c r="B99" s="3">
        <v>45442</v>
      </c>
      <c r="C99" s="40">
        <v>5235.4799999999996</v>
      </c>
      <c r="D99" s="46">
        <f t="shared" si="3"/>
        <v>-5.9749950160910004E-3</v>
      </c>
      <c r="E99">
        <v>18230.189999999999</v>
      </c>
      <c r="F99">
        <v>7.8173000000000004</v>
      </c>
      <c r="G99" s="14">
        <f t="shared" si="4"/>
        <v>2332.0315198342137</v>
      </c>
      <c r="H99">
        <f t="shared" si="5"/>
        <v>-1.3837829809875579E-2</v>
      </c>
      <c r="I99"/>
      <c r="K99" s="38"/>
    </row>
    <row r="100" spans="1:11" x14ac:dyDescent="0.3">
      <c r="A100" s="16">
        <v>98</v>
      </c>
      <c r="B100" s="3">
        <v>45443</v>
      </c>
      <c r="C100" s="40">
        <v>5277.51</v>
      </c>
      <c r="D100" s="46">
        <f t="shared" si="3"/>
        <v>8.0279172110295782E-3</v>
      </c>
      <c r="E100">
        <v>18079.61</v>
      </c>
      <c r="F100">
        <v>7.8186999999999998</v>
      </c>
      <c r="G100" s="14">
        <f t="shared" si="4"/>
        <v>2312.3549950759079</v>
      </c>
      <c r="H100">
        <f t="shared" si="5"/>
        <v>-8.4375037776953654E-3</v>
      </c>
      <c r="I100"/>
      <c r="K100" s="38"/>
    </row>
    <row r="101" spans="1:11" x14ac:dyDescent="0.3">
      <c r="A101" s="16">
        <v>99</v>
      </c>
      <c r="B101" s="3">
        <v>45446</v>
      </c>
      <c r="C101" s="40">
        <v>5283.4</v>
      </c>
      <c r="D101" s="46">
        <f t="shared" si="3"/>
        <v>1.116056625188655E-3</v>
      </c>
      <c r="E101">
        <v>18403.04</v>
      </c>
      <c r="F101">
        <v>7.8194999999999997</v>
      </c>
      <c r="G101" s="14">
        <f t="shared" si="4"/>
        <v>2353.4804015602022</v>
      </c>
      <c r="H101">
        <f t="shared" si="5"/>
        <v>1.7785074770902298E-2</v>
      </c>
      <c r="I101"/>
      <c r="K101" s="38"/>
    </row>
    <row r="102" spans="1:11" x14ac:dyDescent="0.3">
      <c r="A102" s="16">
        <v>100</v>
      </c>
      <c r="B102" s="3">
        <v>45447</v>
      </c>
      <c r="C102" s="40">
        <v>5291.34</v>
      </c>
      <c r="D102" s="46">
        <f t="shared" si="3"/>
        <v>1.5028201536890773E-3</v>
      </c>
      <c r="E102">
        <v>18444.11</v>
      </c>
      <c r="F102">
        <v>7.8132999999999999</v>
      </c>
      <c r="G102" s="14">
        <f t="shared" si="4"/>
        <v>2360.6043541141389</v>
      </c>
      <c r="H102">
        <f t="shared" si="5"/>
        <v>3.02698613900243E-3</v>
      </c>
      <c r="I102"/>
      <c r="K102" s="38"/>
    </row>
    <row r="103" spans="1:11" x14ac:dyDescent="0.3">
      <c r="A103" s="16">
        <v>101</v>
      </c>
      <c r="B103" s="3">
        <v>45448</v>
      </c>
      <c r="C103" s="40">
        <v>5354.03</v>
      </c>
      <c r="D103" s="46">
        <f t="shared" si="3"/>
        <v>1.1847660516995706E-2</v>
      </c>
      <c r="E103">
        <v>18424.96</v>
      </c>
      <c r="F103">
        <v>7.8116000000000003</v>
      </c>
      <c r="G103" s="14">
        <f t="shared" si="4"/>
        <v>2358.6665983921343</v>
      </c>
      <c r="H103">
        <f t="shared" si="5"/>
        <v>-8.2087272211772699E-4</v>
      </c>
      <c r="I103"/>
      <c r="K103" s="38"/>
    </row>
    <row r="104" spans="1:11" x14ac:dyDescent="0.3">
      <c r="A104" s="16">
        <v>102</v>
      </c>
      <c r="B104" s="3">
        <v>45449</v>
      </c>
      <c r="C104" s="40">
        <v>5352.96</v>
      </c>
      <c r="D104" s="46">
        <f t="shared" si="3"/>
        <v>-1.9984945919238051E-4</v>
      </c>
      <c r="E104">
        <v>18476.8</v>
      </c>
      <c r="F104">
        <v>7.8094000000000001</v>
      </c>
      <c r="G104" s="14">
        <f t="shared" si="4"/>
        <v>2365.9692165851407</v>
      </c>
      <c r="H104">
        <f t="shared" si="5"/>
        <v>3.096079029560439E-3</v>
      </c>
      <c r="I104"/>
      <c r="K104" s="38"/>
    </row>
    <row r="105" spans="1:11" x14ac:dyDescent="0.3">
      <c r="A105" s="16">
        <v>103</v>
      </c>
      <c r="B105" s="3">
        <v>45450</v>
      </c>
      <c r="C105" s="40">
        <v>5346.99</v>
      </c>
      <c r="D105" s="46">
        <f t="shared" si="3"/>
        <v>-1.1152708034434244E-3</v>
      </c>
      <c r="E105">
        <v>18366.95</v>
      </c>
      <c r="F105">
        <v>7.8117999999999999</v>
      </c>
      <c r="G105" s="14">
        <f t="shared" si="4"/>
        <v>2351.1802657518115</v>
      </c>
      <c r="H105">
        <f t="shared" si="5"/>
        <v>-6.2506945270718317E-3</v>
      </c>
      <c r="I105"/>
      <c r="K105" s="38"/>
    </row>
    <row r="106" spans="1:11" x14ac:dyDescent="0.3">
      <c r="A106" s="16">
        <v>104</v>
      </c>
      <c r="B106" s="3">
        <v>45454</v>
      </c>
      <c r="C106" s="40">
        <v>5375.32</v>
      </c>
      <c r="D106" s="46">
        <f t="shared" si="3"/>
        <v>5.2983080200261767E-3</v>
      </c>
      <c r="E106">
        <v>18176.34</v>
      </c>
      <c r="F106">
        <v>7.8121</v>
      </c>
      <c r="G106" s="14">
        <f t="shared" si="4"/>
        <v>2326.6906465611041</v>
      </c>
      <c r="H106">
        <f t="shared" si="5"/>
        <v>-1.0415883268259929E-2</v>
      </c>
      <c r="I106"/>
      <c r="K106" s="38"/>
    </row>
    <row r="107" spans="1:11" x14ac:dyDescent="0.3">
      <c r="A107" s="16">
        <v>105</v>
      </c>
      <c r="B107" s="3">
        <v>45455</v>
      </c>
      <c r="C107" s="40">
        <v>5421.03</v>
      </c>
      <c r="D107" s="46">
        <f t="shared" si="3"/>
        <v>8.503679780924589E-3</v>
      </c>
      <c r="E107">
        <v>17937.84</v>
      </c>
      <c r="F107">
        <v>7.8093000000000004</v>
      </c>
      <c r="G107" s="14">
        <f t="shared" si="4"/>
        <v>2296.9843647958201</v>
      </c>
      <c r="H107">
        <f t="shared" si="5"/>
        <v>-1.2767611289103087E-2</v>
      </c>
      <c r="I107"/>
      <c r="K107" s="38"/>
    </row>
    <row r="108" spans="1:11" x14ac:dyDescent="0.3">
      <c r="A108" s="16">
        <v>106</v>
      </c>
      <c r="B108" s="3">
        <v>45456</v>
      </c>
      <c r="C108" s="40">
        <v>5433.74</v>
      </c>
      <c r="D108" s="46">
        <f t="shared" si="3"/>
        <v>2.3445728948188194E-3</v>
      </c>
      <c r="E108">
        <v>18112.63</v>
      </c>
      <c r="F108">
        <v>7.8101000000000003</v>
      </c>
      <c r="G108" s="14">
        <f t="shared" si="4"/>
        <v>2319.129076452286</v>
      </c>
      <c r="H108">
        <f t="shared" si="5"/>
        <v>9.6407759651573333E-3</v>
      </c>
      <c r="I108"/>
      <c r="K108" s="38"/>
    </row>
    <row r="109" spans="1:11" x14ac:dyDescent="0.3">
      <c r="A109" s="16">
        <v>107</v>
      </c>
      <c r="B109" s="3">
        <v>45457</v>
      </c>
      <c r="C109" s="40">
        <v>5431.6</v>
      </c>
      <c r="D109" s="46">
        <f t="shared" si="3"/>
        <v>-3.9383555341243603E-4</v>
      </c>
      <c r="E109">
        <v>17941.78</v>
      </c>
      <c r="F109">
        <v>7.8106</v>
      </c>
      <c r="G109" s="14">
        <f t="shared" si="4"/>
        <v>2297.1064962998998</v>
      </c>
      <c r="H109">
        <f t="shared" si="5"/>
        <v>-9.4960562462851339E-3</v>
      </c>
      <c r="I109"/>
      <c r="K109" s="38"/>
    </row>
    <row r="110" spans="1:11" x14ac:dyDescent="0.3">
      <c r="A110" s="16">
        <v>108</v>
      </c>
      <c r="B110" s="3">
        <v>45460</v>
      </c>
      <c r="C110" s="40">
        <v>5473.23</v>
      </c>
      <c r="D110" s="46">
        <f t="shared" si="3"/>
        <v>7.6644082774870448E-3</v>
      </c>
      <c r="E110">
        <v>17936.12</v>
      </c>
      <c r="F110">
        <v>7.8101000000000003</v>
      </c>
      <c r="G110" s="14">
        <f t="shared" si="4"/>
        <v>2296.5288536638454</v>
      </c>
      <c r="H110">
        <f t="shared" si="5"/>
        <v>-2.5146532691666668E-4</v>
      </c>
      <c r="I110"/>
      <c r="K110" s="38"/>
    </row>
    <row r="111" spans="1:11" x14ac:dyDescent="0.3">
      <c r="A111" s="16">
        <v>109</v>
      </c>
      <c r="B111" s="3">
        <v>45461</v>
      </c>
      <c r="C111" s="40">
        <v>5487.03</v>
      </c>
      <c r="D111" s="46">
        <f t="shared" si="3"/>
        <v>2.5213630708009749E-3</v>
      </c>
      <c r="E111">
        <v>17915.55</v>
      </c>
      <c r="F111">
        <v>7.8071000000000002</v>
      </c>
      <c r="G111" s="14">
        <f t="shared" si="4"/>
        <v>2294.7765495510494</v>
      </c>
      <c r="H111">
        <f t="shared" si="5"/>
        <v>-7.6302290302188158E-4</v>
      </c>
      <c r="I111"/>
      <c r="K111" s="38"/>
    </row>
    <row r="112" spans="1:11" x14ac:dyDescent="0.3">
      <c r="A112" s="16">
        <v>110</v>
      </c>
      <c r="B112" s="3">
        <v>45463</v>
      </c>
      <c r="C112" s="40">
        <v>5473.17</v>
      </c>
      <c r="D112" s="46">
        <f t="shared" si="3"/>
        <v>-2.5259566650810417E-3</v>
      </c>
      <c r="E112">
        <v>18335.32</v>
      </c>
      <c r="F112">
        <v>7.8042999999999996</v>
      </c>
      <c r="G112" s="14">
        <f t="shared" si="4"/>
        <v>2349.3868764655385</v>
      </c>
      <c r="H112">
        <f t="shared" si="5"/>
        <v>2.3797666454789645E-2</v>
      </c>
      <c r="I112"/>
      <c r="K112" s="38"/>
    </row>
    <row r="113" spans="1:11" x14ac:dyDescent="0.3">
      <c r="A113" s="16">
        <v>111</v>
      </c>
      <c r="B113" s="3">
        <v>45464</v>
      </c>
      <c r="C113" s="40">
        <v>5464.62</v>
      </c>
      <c r="D113" s="46">
        <f t="shared" si="3"/>
        <v>-1.5621659842468549E-3</v>
      </c>
      <c r="E113">
        <v>18028.52</v>
      </c>
      <c r="F113">
        <v>7.8056999999999999</v>
      </c>
      <c r="G113" s="14">
        <f t="shared" si="4"/>
        <v>2309.6608888376445</v>
      </c>
      <c r="H113">
        <f t="shared" si="5"/>
        <v>-1.6909087228604291E-2</v>
      </c>
      <c r="I113"/>
      <c r="K113" s="38"/>
    </row>
    <row r="114" spans="1:11" x14ac:dyDescent="0.3">
      <c r="A114" s="16">
        <v>112</v>
      </c>
      <c r="B114" s="3">
        <v>45467</v>
      </c>
      <c r="C114" s="40">
        <v>5447.87</v>
      </c>
      <c r="D114" s="46">
        <f t="shared" si="3"/>
        <v>-3.0651719607218686E-3</v>
      </c>
      <c r="E114">
        <v>18027.71</v>
      </c>
      <c r="F114">
        <v>7.8075000000000001</v>
      </c>
      <c r="G114" s="14">
        <f t="shared" si="4"/>
        <v>2309.0246557796991</v>
      </c>
      <c r="H114">
        <f t="shared" si="5"/>
        <v>-2.7546600499683827E-4</v>
      </c>
      <c r="I114"/>
      <c r="K114" s="38"/>
    </row>
    <row r="115" spans="1:11" x14ac:dyDescent="0.3">
      <c r="A115" s="16">
        <v>113</v>
      </c>
      <c r="B115" s="3">
        <v>45468</v>
      </c>
      <c r="C115" s="40">
        <v>5469.3</v>
      </c>
      <c r="D115" s="46">
        <f t="shared" si="3"/>
        <v>3.9336474622191364E-3</v>
      </c>
      <c r="E115">
        <v>18072.900000000001</v>
      </c>
      <c r="F115">
        <v>7.8085000000000004</v>
      </c>
      <c r="G115" s="14">
        <f t="shared" si="4"/>
        <v>2314.5162323109435</v>
      </c>
      <c r="H115">
        <f t="shared" si="5"/>
        <v>2.3783100442424931E-3</v>
      </c>
      <c r="I115"/>
      <c r="K115" s="38"/>
    </row>
    <row r="116" spans="1:11" x14ac:dyDescent="0.3">
      <c r="A116" s="16">
        <v>114</v>
      </c>
      <c r="B116" s="3">
        <v>45469</v>
      </c>
      <c r="C116" s="40">
        <v>5477.9</v>
      </c>
      <c r="D116" s="46">
        <f t="shared" si="3"/>
        <v>1.5724132887204867E-3</v>
      </c>
      <c r="E116">
        <v>18089.93</v>
      </c>
      <c r="F116">
        <v>7.8090999999999999</v>
      </c>
      <c r="G116" s="14">
        <f t="shared" si="4"/>
        <v>2316.5191891511186</v>
      </c>
      <c r="H116">
        <f t="shared" si="5"/>
        <v>8.6538897943921889E-4</v>
      </c>
      <c r="I116"/>
      <c r="K116" s="38"/>
    </row>
    <row r="117" spans="1:11" x14ac:dyDescent="0.3">
      <c r="A117" s="16">
        <v>115</v>
      </c>
      <c r="B117" s="3">
        <v>45470</v>
      </c>
      <c r="C117" s="40">
        <v>5482.87</v>
      </c>
      <c r="D117" s="46">
        <f t="shared" si="3"/>
        <v>9.0728198762302092E-4</v>
      </c>
      <c r="E117">
        <v>17716.47</v>
      </c>
      <c r="F117">
        <v>7.8087</v>
      </c>
      <c r="G117" s="14">
        <f t="shared" si="4"/>
        <v>2268.8117100157519</v>
      </c>
      <c r="H117">
        <f t="shared" si="5"/>
        <v>-2.0594467491913515E-2</v>
      </c>
      <c r="I117"/>
      <c r="K117" s="38"/>
    </row>
    <row r="118" spans="1:11" x14ac:dyDescent="0.3">
      <c r="A118" s="16">
        <v>116</v>
      </c>
      <c r="B118" s="3">
        <v>45471</v>
      </c>
      <c r="C118" s="40">
        <v>5460.48</v>
      </c>
      <c r="D118" s="46">
        <f t="shared" si="3"/>
        <v>-4.0836277351096184E-3</v>
      </c>
      <c r="E118">
        <v>17718.61</v>
      </c>
      <c r="F118">
        <v>7.8079999999999998</v>
      </c>
      <c r="G118" s="14">
        <f t="shared" si="4"/>
        <v>2269.2891905737706</v>
      </c>
      <c r="H118">
        <f t="shared" si="5"/>
        <v>2.1045402573993677E-4</v>
      </c>
      <c r="I118"/>
      <c r="K118" s="38"/>
    </row>
    <row r="119" spans="1:11" x14ac:dyDescent="0.3">
      <c r="A119" s="16">
        <v>117</v>
      </c>
      <c r="B119" s="3">
        <v>45475</v>
      </c>
      <c r="C119" s="40">
        <v>5509.01</v>
      </c>
      <c r="D119" s="46">
        <f t="shared" si="3"/>
        <v>8.8874970698546996E-3</v>
      </c>
      <c r="E119">
        <v>17769.14</v>
      </c>
      <c r="F119">
        <v>7.8133999999999997</v>
      </c>
      <c r="G119" s="14">
        <f t="shared" si="4"/>
        <v>2274.1879335500553</v>
      </c>
      <c r="H119">
        <f t="shared" si="5"/>
        <v>2.158712515193395E-3</v>
      </c>
      <c r="I119"/>
      <c r="K119" s="38"/>
    </row>
    <row r="120" spans="1:11" x14ac:dyDescent="0.3">
      <c r="A120" s="16">
        <v>118</v>
      </c>
      <c r="B120" s="3">
        <v>45476</v>
      </c>
      <c r="C120" s="40">
        <v>5537.02</v>
      </c>
      <c r="D120" s="46">
        <f t="shared" si="3"/>
        <v>5.0843981041965858E-3</v>
      </c>
      <c r="E120">
        <v>17978.57</v>
      </c>
      <c r="F120">
        <v>7.8097000000000003</v>
      </c>
      <c r="G120" s="14">
        <f t="shared" si="4"/>
        <v>2302.0820261981894</v>
      </c>
      <c r="H120">
        <f t="shared" si="5"/>
        <v>1.2265517830178041E-2</v>
      </c>
      <c r="I120"/>
      <c r="K120" s="38"/>
    </row>
    <row r="121" spans="1:11" x14ac:dyDescent="0.3">
      <c r="A121" s="16">
        <v>119</v>
      </c>
      <c r="B121" s="3">
        <v>45478</v>
      </c>
      <c r="C121" s="40">
        <v>5567.19</v>
      </c>
      <c r="D121" s="46">
        <f t="shared" si="3"/>
        <v>5.4487793072806046E-3</v>
      </c>
      <c r="E121">
        <v>17799.61</v>
      </c>
      <c r="F121">
        <v>7.8129</v>
      </c>
      <c r="G121" s="14">
        <f t="shared" si="4"/>
        <v>2278.2334344481565</v>
      </c>
      <c r="H121">
        <f t="shared" si="5"/>
        <v>-1.0359575149204381E-2</v>
      </c>
      <c r="I121"/>
      <c r="K121" s="38"/>
    </row>
    <row r="122" spans="1:11" x14ac:dyDescent="0.3">
      <c r="A122" s="16">
        <v>120</v>
      </c>
      <c r="B122" s="3">
        <v>45481</v>
      </c>
      <c r="C122" s="40">
        <v>5572.85</v>
      </c>
      <c r="D122" s="46">
        <f t="shared" si="3"/>
        <v>1.0166708878267539E-3</v>
      </c>
      <c r="E122">
        <v>17524.060000000001</v>
      </c>
      <c r="F122">
        <v>7.8095999999999997</v>
      </c>
      <c r="G122" s="14">
        <f t="shared" si="4"/>
        <v>2243.9126203646797</v>
      </c>
      <c r="H122">
        <f t="shared" si="5"/>
        <v>-1.5064660874749225E-2</v>
      </c>
      <c r="I122"/>
      <c r="K122" s="38"/>
    </row>
    <row r="123" spans="1:11" x14ac:dyDescent="0.3">
      <c r="A123" s="16">
        <v>121</v>
      </c>
      <c r="B123" s="3">
        <v>45482</v>
      </c>
      <c r="C123" s="40">
        <v>5576.98</v>
      </c>
      <c r="D123" s="46">
        <f t="shared" si="3"/>
        <v>7.410929775606423E-4</v>
      </c>
      <c r="E123">
        <v>17523.23</v>
      </c>
      <c r="F123">
        <v>7.8117999999999999</v>
      </c>
      <c r="G123" s="14">
        <f t="shared" si="4"/>
        <v>2243.174428428787</v>
      </c>
      <c r="H123">
        <f t="shared" si="5"/>
        <v>-3.2897534832387887E-4</v>
      </c>
      <c r="I123"/>
      <c r="K123" s="38"/>
    </row>
    <row r="124" spans="1:11" x14ac:dyDescent="0.3">
      <c r="A124" s="16">
        <v>122</v>
      </c>
      <c r="B124" s="3">
        <v>45483</v>
      </c>
      <c r="C124" s="40">
        <v>5633.91</v>
      </c>
      <c r="D124" s="46">
        <f t="shared" si="3"/>
        <v>1.0208033738690059E-2</v>
      </c>
      <c r="E124">
        <v>17471.669999999998</v>
      </c>
      <c r="F124">
        <v>7.8108000000000004</v>
      </c>
      <c r="G124" s="14">
        <f t="shared" si="4"/>
        <v>2236.8605008449836</v>
      </c>
      <c r="H124">
        <f t="shared" si="5"/>
        <v>-2.8147287628568218E-3</v>
      </c>
      <c r="I124"/>
      <c r="K124" s="38"/>
    </row>
    <row r="125" spans="1:11" x14ac:dyDescent="0.3">
      <c r="A125" s="16">
        <v>123</v>
      </c>
      <c r="B125" s="3">
        <v>45484</v>
      </c>
      <c r="C125" s="40">
        <v>5584.54</v>
      </c>
      <c r="D125" s="46">
        <f t="shared" si="3"/>
        <v>-8.763008283767415E-3</v>
      </c>
      <c r="E125">
        <v>17832.330000000002</v>
      </c>
      <c r="F125">
        <v>7.8074000000000003</v>
      </c>
      <c r="G125" s="14">
        <f t="shared" si="4"/>
        <v>2284.0292542972052</v>
      </c>
      <c r="H125">
        <f t="shared" si="5"/>
        <v>2.1087034007889027E-2</v>
      </c>
      <c r="I125"/>
      <c r="K125" s="38"/>
    </row>
    <row r="126" spans="1:11" x14ac:dyDescent="0.3">
      <c r="A126" s="16">
        <v>124</v>
      </c>
      <c r="B126" s="3">
        <v>45485</v>
      </c>
      <c r="C126" s="40">
        <v>5615.35</v>
      </c>
      <c r="D126" s="46">
        <f t="shared" si="3"/>
        <v>5.5170166208855509E-3</v>
      </c>
      <c r="E126">
        <v>18293.38</v>
      </c>
      <c r="F126">
        <v>7.8072999999999997</v>
      </c>
      <c r="G126" s="14">
        <f t="shared" si="4"/>
        <v>2343.1122154906307</v>
      </c>
      <c r="H126">
        <f t="shared" si="5"/>
        <v>2.5867865344660457E-2</v>
      </c>
      <c r="I126"/>
      <c r="K126" s="38"/>
    </row>
    <row r="127" spans="1:11" x14ac:dyDescent="0.3">
      <c r="A127" s="16">
        <v>125</v>
      </c>
      <c r="B127" s="3">
        <v>45488</v>
      </c>
      <c r="C127" s="40">
        <v>5631.22</v>
      </c>
      <c r="D127" s="46">
        <f t="shared" si="3"/>
        <v>2.826181805230199E-3</v>
      </c>
      <c r="E127">
        <v>18015.939999999999</v>
      </c>
      <c r="F127">
        <v>7.8064</v>
      </c>
      <c r="G127" s="14">
        <f t="shared" si="4"/>
        <v>2307.8422832547653</v>
      </c>
      <c r="H127">
        <f t="shared" si="5"/>
        <v>-1.5052600555232054E-2</v>
      </c>
      <c r="I127"/>
      <c r="K127" s="38"/>
    </row>
    <row r="128" spans="1:11" x14ac:dyDescent="0.3">
      <c r="A128" s="16">
        <v>126</v>
      </c>
      <c r="B128" s="3">
        <v>45489</v>
      </c>
      <c r="C128" s="40">
        <v>5667.2</v>
      </c>
      <c r="D128" s="46">
        <f t="shared" si="3"/>
        <v>6.3893792108991043E-3</v>
      </c>
      <c r="E128">
        <v>17727.98</v>
      </c>
      <c r="F128">
        <v>7.8075999999999999</v>
      </c>
      <c r="G128" s="14">
        <f t="shared" si="4"/>
        <v>2270.6055638096213</v>
      </c>
      <c r="H128">
        <f t="shared" si="5"/>
        <v>-1.6134863164318447E-2</v>
      </c>
      <c r="I128"/>
      <c r="K128" s="38"/>
    </row>
    <row r="129" spans="1:11" x14ac:dyDescent="0.3">
      <c r="A129" s="16">
        <v>127</v>
      </c>
      <c r="B129" s="3">
        <v>45490</v>
      </c>
      <c r="C129" s="40">
        <v>5588.27</v>
      </c>
      <c r="D129" s="46">
        <f t="shared" si="3"/>
        <v>-1.3927512704686507E-2</v>
      </c>
      <c r="E129">
        <v>17739.41</v>
      </c>
      <c r="F129">
        <v>7.8071000000000002</v>
      </c>
      <c r="G129" s="14">
        <f t="shared" si="4"/>
        <v>2272.215035032214</v>
      </c>
      <c r="H129">
        <f t="shared" si="5"/>
        <v>7.0882906667968371E-4</v>
      </c>
      <c r="I129"/>
      <c r="K129" s="38"/>
    </row>
    <row r="130" spans="1:11" x14ac:dyDescent="0.3">
      <c r="A130" s="16">
        <v>128</v>
      </c>
      <c r="B130" s="3">
        <v>45491</v>
      </c>
      <c r="C130" s="40">
        <v>5544.59</v>
      </c>
      <c r="D130" s="46">
        <f t="shared" si="3"/>
        <v>-7.8163725088444824E-3</v>
      </c>
      <c r="E130">
        <v>17778.41</v>
      </c>
      <c r="F130">
        <v>7.8101000000000003</v>
      </c>
      <c r="G130" s="14">
        <f t="shared" si="4"/>
        <v>2276.3357703486508</v>
      </c>
      <c r="H130">
        <f t="shared" si="5"/>
        <v>1.8135322814543109E-3</v>
      </c>
      <c r="I130"/>
      <c r="K130" s="38"/>
    </row>
    <row r="131" spans="1:11" x14ac:dyDescent="0.3">
      <c r="A131" s="16">
        <v>129</v>
      </c>
      <c r="B131" s="3">
        <v>45492</v>
      </c>
      <c r="C131" s="40">
        <v>5505</v>
      </c>
      <c r="D131" s="46">
        <f t="shared" si="3"/>
        <v>-7.1402935113327182E-3</v>
      </c>
      <c r="E131">
        <v>17417.68</v>
      </c>
      <c r="F131">
        <v>7.8101000000000003</v>
      </c>
      <c r="G131" s="14">
        <f t="shared" si="4"/>
        <v>2230.1481415090716</v>
      </c>
      <c r="H131">
        <f t="shared" si="5"/>
        <v>-2.0290340924750794E-2</v>
      </c>
      <c r="I131"/>
      <c r="K131" s="38"/>
    </row>
    <row r="132" spans="1:11" x14ac:dyDescent="0.3">
      <c r="A132" s="16">
        <v>130</v>
      </c>
      <c r="B132" s="3">
        <v>45495</v>
      </c>
      <c r="C132" s="40">
        <v>5564.41</v>
      </c>
      <c r="D132" s="46">
        <f t="shared" ref="D132:D195" si="6">$C132/$C131-1</f>
        <v>1.0792007266121617E-2</v>
      </c>
      <c r="E132">
        <v>17635.88</v>
      </c>
      <c r="F132">
        <v>7.8071000000000002</v>
      </c>
      <c r="G132" s="14">
        <f t="shared" ref="G132:G195" si="7">E132/F132</f>
        <v>2258.9540290248619</v>
      </c>
      <c r="H132">
        <f t="shared" ref="H132:H195" si="8">$G132/$G131-1</f>
        <v>1.2916580284347612E-2</v>
      </c>
      <c r="I132"/>
      <c r="K132" s="38"/>
    </row>
    <row r="133" spans="1:11" x14ac:dyDescent="0.3">
      <c r="A133" s="16">
        <v>131</v>
      </c>
      <c r="B133" s="3">
        <v>45496</v>
      </c>
      <c r="C133" s="40">
        <v>5555.74</v>
      </c>
      <c r="D133" s="46">
        <f t="shared" si="6"/>
        <v>-1.558116673645582E-3</v>
      </c>
      <c r="E133">
        <v>17469.36</v>
      </c>
      <c r="F133">
        <v>7.8093000000000004</v>
      </c>
      <c r="G133" s="14">
        <f t="shared" si="7"/>
        <v>2236.9943528869426</v>
      </c>
      <c r="H133">
        <f t="shared" si="8"/>
        <v>-9.7211699998157597E-3</v>
      </c>
      <c r="I133"/>
      <c r="K133" s="38"/>
    </row>
    <row r="134" spans="1:11" x14ac:dyDescent="0.3">
      <c r="A134" s="16">
        <v>132</v>
      </c>
      <c r="B134" s="3">
        <v>45497</v>
      </c>
      <c r="C134" s="40">
        <v>5427.13</v>
      </c>
      <c r="D134" s="46">
        <f t="shared" si="6"/>
        <v>-2.3149031452155744E-2</v>
      </c>
      <c r="E134">
        <v>17311.05</v>
      </c>
      <c r="F134">
        <v>7.8083999999999998</v>
      </c>
      <c r="G134" s="14">
        <f t="shared" si="7"/>
        <v>2216.9778699861686</v>
      </c>
      <c r="H134">
        <f t="shared" si="8"/>
        <v>-8.9479362676717633E-3</v>
      </c>
      <c r="I134"/>
      <c r="K134" s="38"/>
    </row>
    <row r="135" spans="1:11" x14ac:dyDescent="0.3">
      <c r="A135" s="16">
        <v>133</v>
      </c>
      <c r="B135" s="3">
        <v>45498</v>
      </c>
      <c r="C135" s="40">
        <v>5399.22</v>
      </c>
      <c r="D135" s="46">
        <f t="shared" si="6"/>
        <v>-5.1426813066942634E-3</v>
      </c>
      <c r="E135">
        <v>17004.97</v>
      </c>
      <c r="F135">
        <v>7.8064</v>
      </c>
      <c r="G135" s="14">
        <f t="shared" si="7"/>
        <v>2178.337005533921</v>
      </c>
      <c r="H135">
        <f t="shared" si="8"/>
        <v>-1.7429521952101679E-2</v>
      </c>
      <c r="I135"/>
      <c r="K135" s="38"/>
    </row>
    <row r="136" spans="1:11" x14ac:dyDescent="0.3">
      <c r="A136" s="16">
        <v>134</v>
      </c>
      <c r="B136" s="3">
        <v>45499</v>
      </c>
      <c r="C136" s="40">
        <v>5459.1</v>
      </c>
      <c r="D136" s="46">
        <f t="shared" si="6"/>
        <v>1.1090490848678192E-2</v>
      </c>
      <c r="E136">
        <v>17021.310000000001</v>
      </c>
      <c r="F136">
        <v>7.8066000000000004</v>
      </c>
      <c r="G136" s="14">
        <f t="shared" si="7"/>
        <v>2180.374298670356</v>
      </c>
      <c r="H136">
        <f t="shared" si="8"/>
        <v>9.3525158469942582E-4</v>
      </c>
      <c r="I136"/>
      <c r="K136" s="38"/>
    </row>
    <row r="137" spans="1:11" x14ac:dyDescent="0.3">
      <c r="A137" s="16">
        <v>135</v>
      </c>
      <c r="B137" s="3">
        <v>45502</v>
      </c>
      <c r="C137" s="40">
        <v>5463.54</v>
      </c>
      <c r="D137" s="46">
        <f t="shared" si="6"/>
        <v>8.1332087706753597E-4</v>
      </c>
      <c r="E137">
        <v>17238.34</v>
      </c>
      <c r="F137">
        <v>7.8098000000000001</v>
      </c>
      <c r="G137" s="14">
        <f t="shared" si="7"/>
        <v>2207.2703526338701</v>
      </c>
      <c r="H137">
        <f t="shared" si="8"/>
        <v>1.2335521465243859E-2</v>
      </c>
      <c r="I137"/>
      <c r="K137" s="38"/>
    </row>
    <row r="138" spans="1:11" x14ac:dyDescent="0.3">
      <c r="A138" s="16">
        <v>136</v>
      </c>
      <c r="B138" s="3">
        <v>45503</v>
      </c>
      <c r="C138" s="40">
        <v>5436.44</v>
      </c>
      <c r="D138" s="46">
        <f t="shared" si="6"/>
        <v>-4.9601540393225951E-3</v>
      </c>
      <c r="E138">
        <v>17002.91</v>
      </c>
      <c r="F138">
        <v>7.8132000000000001</v>
      </c>
      <c r="G138" s="14">
        <f t="shared" si="7"/>
        <v>2176.1774944964932</v>
      </c>
      <c r="H138">
        <f t="shared" si="8"/>
        <v>-1.4086565381660088E-2</v>
      </c>
      <c r="I138"/>
      <c r="K138" s="38"/>
    </row>
    <row r="139" spans="1:11" x14ac:dyDescent="0.3">
      <c r="A139" s="16">
        <v>137</v>
      </c>
      <c r="B139" s="3">
        <v>45504</v>
      </c>
      <c r="C139" s="40">
        <v>5522.3</v>
      </c>
      <c r="D139" s="46">
        <f t="shared" si="6"/>
        <v>1.579342363752767E-2</v>
      </c>
      <c r="E139">
        <v>17344.599999999999</v>
      </c>
      <c r="F139">
        <v>7.8120000000000003</v>
      </c>
      <c r="G139" s="14">
        <f t="shared" si="7"/>
        <v>2220.2508960573473</v>
      </c>
      <c r="H139">
        <f t="shared" si="8"/>
        <v>2.0252668577041444E-2</v>
      </c>
      <c r="I139"/>
      <c r="K139" s="38"/>
    </row>
    <row r="140" spans="1:11" x14ac:dyDescent="0.3">
      <c r="A140" s="16">
        <v>138</v>
      </c>
      <c r="B140" s="3">
        <v>45505</v>
      </c>
      <c r="C140" s="40">
        <v>5446.68</v>
      </c>
      <c r="D140" s="46">
        <f t="shared" si="6"/>
        <v>-1.3693569708273734E-2</v>
      </c>
      <c r="E140">
        <v>17304.96</v>
      </c>
      <c r="F140">
        <v>7.8147000000000002</v>
      </c>
      <c r="G140" s="14">
        <f t="shared" si="7"/>
        <v>2214.4113017774193</v>
      </c>
      <c r="H140">
        <f t="shared" si="8"/>
        <v>-2.6301506241018791E-3</v>
      </c>
      <c r="I140"/>
      <c r="K140" s="38"/>
    </row>
    <row r="141" spans="1:11" x14ac:dyDescent="0.3">
      <c r="A141" s="16">
        <v>139</v>
      </c>
      <c r="B141" s="3">
        <v>45506</v>
      </c>
      <c r="C141" s="40">
        <v>5346.56</v>
      </c>
      <c r="D141" s="46">
        <f t="shared" si="6"/>
        <v>-1.8381839946536194E-2</v>
      </c>
      <c r="E141">
        <v>16945.509999999998</v>
      </c>
      <c r="F141">
        <v>7.8061999999999996</v>
      </c>
      <c r="G141" s="14">
        <f t="shared" si="7"/>
        <v>2170.7757935999589</v>
      </c>
      <c r="H141">
        <f t="shared" si="8"/>
        <v>-1.9705240910952715E-2</v>
      </c>
      <c r="I141"/>
      <c r="K141" s="38"/>
    </row>
    <row r="142" spans="1:11" x14ac:dyDescent="0.3">
      <c r="A142" s="16">
        <v>140</v>
      </c>
      <c r="B142" s="3">
        <v>45509</v>
      </c>
      <c r="C142" s="40">
        <v>5186.33</v>
      </c>
      <c r="D142" s="46">
        <f t="shared" si="6"/>
        <v>-2.9968802370122227E-2</v>
      </c>
      <c r="E142">
        <v>16698.36</v>
      </c>
      <c r="F142">
        <v>7.7885</v>
      </c>
      <c r="G142" s="14">
        <f t="shared" si="7"/>
        <v>2143.9763754253067</v>
      </c>
      <c r="H142">
        <f t="shared" si="8"/>
        <v>-1.234554865300419E-2</v>
      </c>
      <c r="I142"/>
      <c r="K142" s="38"/>
    </row>
    <row r="143" spans="1:11" x14ac:dyDescent="0.3">
      <c r="A143" s="16">
        <v>141</v>
      </c>
      <c r="B143" s="3">
        <v>45510</v>
      </c>
      <c r="C143" s="40">
        <v>5240.03</v>
      </c>
      <c r="D143" s="46">
        <f t="shared" si="6"/>
        <v>1.0354142524675369E-2</v>
      </c>
      <c r="E143">
        <v>16647.34</v>
      </c>
      <c r="F143">
        <v>7.7944000000000004</v>
      </c>
      <c r="G143" s="14">
        <f t="shared" si="7"/>
        <v>2135.8077594170172</v>
      </c>
      <c r="H143">
        <f t="shared" si="8"/>
        <v>-3.810030792279151E-3</v>
      </c>
      <c r="I143"/>
      <c r="K143" s="38"/>
    </row>
    <row r="144" spans="1:11" x14ac:dyDescent="0.3">
      <c r="A144" s="16">
        <v>142</v>
      </c>
      <c r="B144" s="3">
        <v>45511</v>
      </c>
      <c r="C144" s="40">
        <v>5199.5</v>
      </c>
      <c r="D144" s="46">
        <f t="shared" si="6"/>
        <v>-7.7346885418594358E-3</v>
      </c>
      <c r="E144">
        <v>16877.86</v>
      </c>
      <c r="F144">
        <v>7.7984</v>
      </c>
      <c r="G144" s="14">
        <f t="shared" si="7"/>
        <v>2164.2721583914649</v>
      </c>
      <c r="H144">
        <f t="shared" si="8"/>
        <v>1.3327228936661051E-2</v>
      </c>
      <c r="I144"/>
      <c r="K144" s="38"/>
    </row>
    <row r="145" spans="1:11" x14ac:dyDescent="0.3">
      <c r="A145" s="16">
        <v>143</v>
      </c>
      <c r="B145" s="3">
        <v>45512</v>
      </c>
      <c r="C145" s="40">
        <v>5319.31</v>
      </c>
      <c r="D145" s="46">
        <f t="shared" si="6"/>
        <v>2.3042600250024137E-2</v>
      </c>
      <c r="E145">
        <v>16891.830000000002</v>
      </c>
      <c r="F145">
        <v>7.7946</v>
      </c>
      <c r="G145" s="14">
        <f t="shared" si="7"/>
        <v>2167.1195442999001</v>
      </c>
      <c r="H145">
        <f t="shared" si="8"/>
        <v>1.3156320924774256E-3</v>
      </c>
      <c r="I145"/>
      <c r="K145" s="38"/>
    </row>
    <row r="146" spans="1:11" x14ac:dyDescent="0.3">
      <c r="A146" s="16">
        <v>144</v>
      </c>
      <c r="B146" s="3">
        <v>45513</v>
      </c>
      <c r="C146" s="40">
        <v>5344.16</v>
      </c>
      <c r="D146" s="46">
        <f t="shared" si="6"/>
        <v>4.6716585421793244E-3</v>
      </c>
      <c r="E146">
        <v>17090.23</v>
      </c>
      <c r="F146">
        <v>7.7975000000000003</v>
      </c>
      <c r="G146" s="14">
        <f t="shared" si="7"/>
        <v>2191.7576146200704</v>
      </c>
      <c r="H146">
        <f t="shared" si="8"/>
        <v>1.1369040708887113E-2</v>
      </c>
      <c r="I146"/>
      <c r="K146" s="38"/>
    </row>
    <row r="147" spans="1:11" x14ac:dyDescent="0.3">
      <c r="A147" s="16">
        <v>145</v>
      </c>
      <c r="B147" s="3">
        <v>45516</v>
      </c>
      <c r="C147" s="40">
        <v>5344.39</v>
      </c>
      <c r="D147" s="46">
        <f t="shared" si="6"/>
        <v>4.3037633603804082E-5</v>
      </c>
      <c r="E147">
        <v>17111.650000000001</v>
      </c>
      <c r="F147">
        <v>7.7907999999999999</v>
      </c>
      <c r="G147" s="14">
        <f t="shared" si="7"/>
        <v>2196.3918981362635</v>
      </c>
      <c r="H147">
        <f t="shared" si="8"/>
        <v>2.1144142423779044E-3</v>
      </c>
      <c r="I147"/>
      <c r="K147" s="38"/>
    </row>
    <row r="148" spans="1:11" x14ac:dyDescent="0.3">
      <c r="A148" s="16">
        <v>146</v>
      </c>
      <c r="B148" s="3">
        <v>45517</v>
      </c>
      <c r="C148" s="40">
        <v>5434.43</v>
      </c>
      <c r="D148" s="46">
        <f t="shared" si="6"/>
        <v>1.6847572875482442E-2</v>
      </c>
      <c r="E148">
        <v>17174.060000000001</v>
      </c>
      <c r="F148">
        <v>7.7881</v>
      </c>
      <c r="G148" s="14">
        <f t="shared" si="7"/>
        <v>2205.166857128183</v>
      </c>
      <c r="H148">
        <f t="shared" si="8"/>
        <v>3.9951699873621571E-3</v>
      </c>
      <c r="I148"/>
      <c r="K148" s="38"/>
    </row>
    <row r="149" spans="1:11" x14ac:dyDescent="0.3">
      <c r="A149" s="16">
        <v>147</v>
      </c>
      <c r="B149" s="3">
        <v>45518</v>
      </c>
      <c r="C149" s="40">
        <v>5455.21</v>
      </c>
      <c r="D149" s="46">
        <f t="shared" si="6"/>
        <v>3.8237680860733203E-3</v>
      </c>
      <c r="E149">
        <v>17113.36</v>
      </c>
      <c r="F149">
        <v>7.7919999999999998</v>
      </c>
      <c r="G149" s="14">
        <f t="shared" si="7"/>
        <v>2196.2731006160166</v>
      </c>
      <c r="H149">
        <f t="shared" si="8"/>
        <v>-4.0331444685999251E-3</v>
      </c>
      <c r="I149"/>
      <c r="K149" s="38"/>
    </row>
    <row r="150" spans="1:11" x14ac:dyDescent="0.3">
      <c r="A150" s="16">
        <v>148</v>
      </c>
      <c r="B150" s="3">
        <v>45519</v>
      </c>
      <c r="C150" s="40">
        <v>5543.22</v>
      </c>
      <c r="D150" s="46">
        <f t="shared" si="6"/>
        <v>1.6133201104998829E-2</v>
      </c>
      <c r="E150">
        <v>17109.14</v>
      </c>
      <c r="F150">
        <v>7.7968000000000002</v>
      </c>
      <c r="G150" s="14">
        <f t="shared" si="7"/>
        <v>2194.3797455366303</v>
      </c>
      <c r="H150">
        <f t="shared" si="8"/>
        <v>-8.6207634144186418E-4</v>
      </c>
      <c r="I150"/>
      <c r="K150" s="38"/>
    </row>
    <row r="151" spans="1:11" x14ac:dyDescent="0.3">
      <c r="A151" s="16">
        <v>149</v>
      </c>
      <c r="B151" s="3">
        <v>45520</v>
      </c>
      <c r="C151" s="40">
        <v>5554.25</v>
      </c>
      <c r="D151" s="46">
        <f t="shared" si="6"/>
        <v>1.9898181923141411E-3</v>
      </c>
      <c r="E151">
        <v>17430.16</v>
      </c>
      <c r="F151">
        <v>7.7942999999999998</v>
      </c>
      <c r="G151" s="14">
        <f t="shared" si="7"/>
        <v>2236.2700948128763</v>
      </c>
      <c r="H151">
        <f t="shared" si="8"/>
        <v>1.9089835914431363E-2</v>
      </c>
      <c r="I151"/>
      <c r="K151" s="38"/>
    </row>
    <row r="152" spans="1:11" x14ac:dyDescent="0.3">
      <c r="A152" s="16">
        <v>150</v>
      </c>
      <c r="B152" s="3">
        <v>45523</v>
      </c>
      <c r="C152" s="40">
        <v>5608.25</v>
      </c>
      <c r="D152" s="46">
        <f t="shared" si="6"/>
        <v>9.7222847369131671E-3</v>
      </c>
      <c r="E152">
        <v>17569.57</v>
      </c>
      <c r="F152">
        <v>7.7882999999999996</v>
      </c>
      <c r="G152" s="14">
        <f t="shared" si="7"/>
        <v>2255.8928135793435</v>
      </c>
      <c r="H152">
        <f t="shared" si="8"/>
        <v>8.7747534664899263E-3</v>
      </c>
      <c r="I152"/>
      <c r="K152" s="38"/>
    </row>
    <row r="153" spans="1:11" x14ac:dyDescent="0.3">
      <c r="A153" s="16">
        <v>151</v>
      </c>
      <c r="B153" s="3">
        <v>45524</v>
      </c>
      <c r="C153" s="40">
        <v>5597.12</v>
      </c>
      <c r="D153" s="46">
        <f t="shared" si="6"/>
        <v>-1.9845762938528466E-3</v>
      </c>
      <c r="E153">
        <v>17511.080000000002</v>
      </c>
      <c r="F153">
        <v>7.7880000000000003</v>
      </c>
      <c r="G153" s="14">
        <f t="shared" si="7"/>
        <v>2248.4694401643555</v>
      </c>
      <c r="H153">
        <f t="shared" si="8"/>
        <v>-3.2906587450888258E-3</v>
      </c>
      <c r="I153"/>
      <c r="K153" s="38"/>
    </row>
    <row r="154" spans="1:11" x14ac:dyDescent="0.3">
      <c r="A154" s="16">
        <v>152</v>
      </c>
      <c r="B154" s="3">
        <v>45525</v>
      </c>
      <c r="C154" s="40">
        <v>5620.85</v>
      </c>
      <c r="D154" s="46">
        <f t="shared" si="6"/>
        <v>4.2396804070665706E-3</v>
      </c>
      <c r="E154">
        <v>17391.009999999998</v>
      </c>
      <c r="F154">
        <v>7.7937000000000003</v>
      </c>
      <c r="G154" s="14">
        <f t="shared" si="7"/>
        <v>2231.4189666012289</v>
      </c>
      <c r="H154">
        <f t="shared" si="8"/>
        <v>-7.5831466768258027E-3</v>
      </c>
      <c r="I154"/>
      <c r="K154" s="38"/>
    </row>
    <row r="155" spans="1:11" x14ac:dyDescent="0.3">
      <c r="A155" s="16">
        <v>153</v>
      </c>
      <c r="B155" s="3">
        <v>45526</v>
      </c>
      <c r="C155" s="40">
        <v>5570.64</v>
      </c>
      <c r="D155" s="46">
        <f t="shared" si="6"/>
        <v>-8.9328126528905871E-3</v>
      </c>
      <c r="E155">
        <v>17641</v>
      </c>
      <c r="F155">
        <v>7.7965</v>
      </c>
      <c r="G155" s="14">
        <f t="shared" si="7"/>
        <v>2262.6819726800486</v>
      </c>
      <c r="H155">
        <f t="shared" si="8"/>
        <v>1.401037032791641E-2</v>
      </c>
      <c r="I155"/>
      <c r="K155" s="38"/>
    </row>
    <row r="156" spans="1:11" x14ac:dyDescent="0.3">
      <c r="A156" s="16">
        <v>154</v>
      </c>
      <c r="B156" s="3">
        <v>45527</v>
      </c>
      <c r="C156" s="40">
        <v>5634.61</v>
      </c>
      <c r="D156" s="46">
        <f t="shared" si="6"/>
        <v>1.1483420217425433E-2</v>
      </c>
      <c r="E156">
        <v>17612.099999999999</v>
      </c>
      <c r="F156">
        <v>7.7953999999999999</v>
      </c>
      <c r="G156" s="14">
        <f t="shared" si="7"/>
        <v>2259.2939425815221</v>
      </c>
      <c r="H156">
        <f t="shared" si="8"/>
        <v>-1.4973514349051475E-3</v>
      </c>
      <c r="I156"/>
      <c r="K156" s="38"/>
    </row>
    <row r="157" spans="1:11" x14ac:dyDescent="0.3">
      <c r="A157" s="16">
        <v>155</v>
      </c>
      <c r="B157" s="3">
        <v>45530</v>
      </c>
      <c r="C157" s="40">
        <v>5616.84</v>
      </c>
      <c r="D157" s="46">
        <f t="shared" si="6"/>
        <v>-3.1537231503155905E-3</v>
      </c>
      <c r="E157">
        <v>17798.73</v>
      </c>
      <c r="F157">
        <v>7.7958999999999996</v>
      </c>
      <c r="G157" s="14">
        <f t="shared" si="7"/>
        <v>2283.0885465436959</v>
      </c>
      <c r="H157">
        <f t="shared" si="8"/>
        <v>1.053187613781037E-2</v>
      </c>
      <c r="I157"/>
      <c r="K157" s="38"/>
    </row>
    <row r="158" spans="1:11" x14ac:dyDescent="0.3">
      <c r="A158" s="16">
        <v>156</v>
      </c>
      <c r="B158" s="3">
        <v>45531</v>
      </c>
      <c r="C158" s="40">
        <v>5625.8</v>
      </c>
      <c r="D158" s="46">
        <f t="shared" si="6"/>
        <v>1.5952029967027936E-3</v>
      </c>
      <c r="E158">
        <v>17874.669999999998</v>
      </c>
      <c r="F158">
        <v>7.8010999999999999</v>
      </c>
      <c r="G158" s="14">
        <f t="shared" si="7"/>
        <v>2291.3012267500735</v>
      </c>
      <c r="H158">
        <f t="shared" si="8"/>
        <v>3.5971798898517537E-3</v>
      </c>
      <c r="I158"/>
      <c r="K158" s="38"/>
    </row>
    <row r="159" spans="1:11" x14ac:dyDescent="0.3">
      <c r="A159" s="16">
        <v>157</v>
      </c>
      <c r="B159" s="3">
        <v>45532</v>
      </c>
      <c r="C159" s="40">
        <v>5592.18</v>
      </c>
      <c r="D159" s="46">
        <f t="shared" si="6"/>
        <v>-5.9760389633474187E-3</v>
      </c>
      <c r="E159">
        <v>17692.45</v>
      </c>
      <c r="F159">
        <v>7.8007</v>
      </c>
      <c r="G159" s="14">
        <f t="shared" si="7"/>
        <v>2268.0592767315757</v>
      </c>
      <c r="H159">
        <f t="shared" si="8"/>
        <v>-1.0143559365812238E-2</v>
      </c>
      <c r="I159"/>
      <c r="K159" s="38"/>
    </row>
    <row r="160" spans="1:11" x14ac:dyDescent="0.3">
      <c r="A160" s="16">
        <v>158</v>
      </c>
      <c r="B160" s="3">
        <v>45533</v>
      </c>
      <c r="C160" s="40">
        <v>5591.96</v>
      </c>
      <c r="D160" s="46">
        <f t="shared" si="6"/>
        <v>-3.9340650694441592E-5</v>
      </c>
      <c r="E160">
        <v>17786.32</v>
      </c>
      <c r="F160">
        <v>7.7975000000000003</v>
      </c>
      <c r="G160" s="14">
        <f t="shared" si="7"/>
        <v>2281.0285347867907</v>
      </c>
      <c r="H160">
        <f t="shared" si="8"/>
        <v>5.7182182971446949E-3</v>
      </c>
      <c r="I160"/>
      <c r="K160" s="38"/>
    </row>
    <row r="161" spans="1:11" x14ac:dyDescent="0.3">
      <c r="A161" s="16">
        <v>159</v>
      </c>
      <c r="B161" s="3">
        <v>45534</v>
      </c>
      <c r="C161" s="40">
        <v>5648.4</v>
      </c>
      <c r="D161" s="46">
        <f t="shared" si="6"/>
        <v>1.0093062182132906E-2</v>
      </c>
      <c r="E161">
        <v>17989.07</v>
      </c>
      <c r="F161">
        <v>7.7972999999999999</v>
      </c>
      <c r="G161" s="14">
        <f t="shared" si="7"/>
        <v>2307.0896335911148</v>
      </c>
      <c r="H161">
        <f t="shared" si="8"/>
        <v>1.1425152472614775E-2</v>
      </c>
      <c r="I161"/>
      <c r="K161" s="38"/>
    </row>
    <row r="162" spans="1:11" x14ac:dyDescent="0.3">
      <c r="A162" s="16">
        <v>160</v>
      </c>
      <c r="B162" s="3">
        <v>45538</v>
      </c>
      <c r="C162" s="40">
        <v>5528.93</v>
      </c>
      <c r="D162" s="46">
        <f t="shared" si="6"/>
        <v>-2.1151122441753323E-2</v>
      </c>
      <c r="E162">
        <v>17651.490000000002</v>
      </c>
      <c r="F162">
        <v>7.7986000000000004</v>
      </c>
      <c r="G162" s="14">
        <f t="shared" si="7"/>
        <v>2263.417792937194</v>
      </c>
      <c r="H162">
        <f t="shared" si="8"/>
        <v>-1.8929407864376357E-2</v>
      </c>
      <c r="I162"/>
      <c r="K162" s="38"/>
    </row>
    <row r="163" spans="1:11" x14ac:dyDescent="0.3">
      <c r="A163" s="16">
        <v>161</v>
      </c>
      <c r="B163" s="3">
        <v>45539</v>
      </c>
      <c r="C163" s="40">
        <v>5520.07</v>
      </c>
      <c r="D163" s="46">
        <f t="shared" si="6"/>
        <v>-1.6024800458679378E-3</v>
      </c>
      <c r="E163">
        <v>17457.34</v>
      </c>
      <c r="F163">
        <v>7.7967000000000004</v>
      </c>
      <c r="G163" s="14">
        <f t="shared" si="7"/>
        <v>2239.0678107404415</v>
      </c>
      <c r="H163">
        <f t="shared" si="8"/>
        <v>-1.0758059017091148E-2</v>
      </c>
      <c r="I163"/>
      <c r="K163" s="38"/>
    </row>
    <row r="164" spans="1:11" x14ac:dyDescent="0.3">
      <c r="A164" s="16">
        <v>162</v>
      </c>
      <c r="B164" s="3">
        <v>45540</v>
      </c>
      <c r="C164" s="40">
        <v>5503.41</v>
      </c>
      <c r="D164" s="46">
        <f t="shared" si="6"/>
        <v>-3.0180776693048417E-3</v>
      </c>
      <c r="E164">
        <v>17444.3</v>
      </c>
      <c r="F164">
        <v>7.7930000000000001</v>
      </c>
      <c r="G164" s="14">
        <f t="shared" si="7"/>
        <v>2238.4575901450016</v>
      </c>
      <c r="H164">
        <f t="shared" si="8"/>
        <v>-2.7253332503496264E-4</v>
      </c>
      <c r="I164"/>
      <c r="K164" s="38"/>
    </row>
    <row r="165" spans="1:11" x14ac:dyDescent="0.3">
      <c r="A165" s="16">
        <v>163</v>
      </c>
      <c r="B165" s="3">
        <v>45541</v>
      </c>
      <c r="C165" s="40">
        <v>5408.42</v>
      </c>
      <c r="D165" s="46">
        <f t="shared" si="6"/>
        <v>-1.726020776209658E-2</v>
      </c>
      <c r="E165">
        <v>17196.96</v>
      </c>
      <c r="F165">
        <v>7.7953999999999999</v>
      </c>
      <c r="G165" s="14">
        <f t="shared" si="7"/>
        <v>2206.0394591682275</v>
      </c>
      <c r="H165">
        <f t="shared" si="8"/>
        <v>-1.4482352097934581E-2</v>
      </c>
      <c r="I165"/>
      <c r="K165" s="38"/>
    </row>
    <row r="166" spans="1:11" x14ac:dyDescent="0.3">
      <c r="A166" s="16">
        <v>164</v>
      </c>
      <c r="B166" s="3">
        <v>45544</v>
      </c>
      <c r="C166" s="40">
        <v>5471.05</v>
      </c>
      <c r="D166" s="46">
        <f t="shared" si="6"/>
        <v>1.1580091782812829E-2</v>
      </c>
      <c r="E166">
        <v>17234.09</v>
      </c>
      <c r="F166">
        <v>7.7965</v>
      </c>
      <c r="G166" s="14">
        <f t="shared" si="7"/>
        <v>2210.4906047585455</v>
      </c>
      <c r="H166">
        <f t="shared" si="8"/>
        <v>2.0177089633728329E-3</v>
      </c>
      <c r="I166"/>
      <c r="K166" s="38"/>
    </row>
    <row r="167" spans="1:11" x14ac:dyDescent="0.3">
      <c r="A167" s="16">
        <v>165</v>
      </c>
      <c r="B167" s="3">
        <v>45545</v>
      </c>
      <c r="C167" s="40">
        <v>5495.52</v>
      </c>
      <c r="D167" s="46">
        <f t="shared" si="6"/>
        <v>4.4726332239699573E-3</v>
      </c>
      <c r="E167">
        <v>17108.71</v>
      </c>
      <c r="F167">
        <v>7.7972999999999999</v>
      </c>
      <c r="G167" s="14">
        <f t="shared" si="7"/>
        <v>2194.1838841650315</v>
      </c>
      <c r="H167">
        <f t="shared" si="8"/>
        <v>-7.3769689671652205E-3</v>
      </c>
      <c r="I167"/>
      <c r="K167" s="38"/>
    </row>
    <row r="168" spans="1:11" x14ac:dyDescent="0.3">
      <c r="A168" s="16">
        <v>166</v>
      </c>
      <c r="B168" s="3">
        <v>45546</v>
      </c>
      <c r="C168" s="40">
        <v>5554.13</v>
      </c>
      <c r="D168" s="46">
        <f t="shared" si="6"/>
        <v>1.0665050805019227E-2</v>
      </c>
      <c r="E168">
        <v>17240.39</v>
      </c>
      <c r="F168">
        <v>7.7984999999999998</v>
      </c>
      <c r="G168" s="14">
        <f t="shared" si="7"/>
        <v>2210.7315509392834</v>
      </c>
      <c r="H168">
        <f t="shared" si="8"/>
        <v>7.5416043722100756E-3</v>
      </c>
      <c r="I168"/>
      <c r="K168" s="38"/>
    </row>
    <row r="169" spans="1:11" x14ac:dyDescent="0.3">
      <c r="A169" s="16">
        <v>167</v>
      </c>
      <c r="B169" s="3">
        <v>45547</v>
      </c>
      <c r="C169" s="40">
        <v>5595.76</v>
      </c>
      <c r="D169" s="46">
        <f t="shared" si="6"/>
        <v>7.4953232999588337E-3</v>
      </c>
      <c r="E169">
        <v>17369.09</v>
      </c>
      <c r="F169">
        <v>7.8029999999999999</v>
      </c>
      <c r="G169" s="14">
        <f t="shared" si="7"/>
        <v>2225.9502755350509</v>
      </c>
      <c r="H169">
        <f t="shared" si="8"/>
        <v>6.8840219832668748E-3</v>
      </c>
      <c r="I169"/>
      <c r="K169" s="38"/>
    </row>
    <row r="170" spans="1:11" x14ac:dyDescent="0.3">
      <c r="A170" s="16">
        <v>168</v>
      </c>
      <c r="B170" s="3">
        <v>45548</v>
      </c>
      <c r="C170" s="40">
        <v>5626.02</v>
      </c>
      <c r="D170" s="46">
        <f t="shared" si="6"/>
        <v>5.4076658041088965E-3</v>
      </c>
      <c r="E170">
        <v>17422.12</v>
      </c>
      <c r="F170">
        <v>7.7987000000000002</v>
      </c>
      <c r="G170" s="14">
        <f t="shared" si="7"/>
        <v>2233.9774577814251</v>
      </c>
      <c r="H170">
        <f t="shared" si="8"/>
        <v>3.6061821931061555E-3</v>
      </c>
      <c r="I170"/>
      <c r="K170" s="38"/>
    </row>
    <row r="171" spans="1:11" x14ac:dyDescent="0.3">
      <c r="A171" s="16">
        <v>169</v>
      </c>
      <c r="B171" s="3">
        <v>45551</v>
      </c>
      <c r="C171" s="40">
        <v>5633.09</v>
      </c>
      <c r="D171" s="46">
        <f t="shared" si="6"/>
        <v>1.2566610143582846E-3</v>
      </c>
      <c r="E171">
        <v>17660.02</v>
      </c>
      <c r="F171">
        <v>7.7927</v>
      </c>
      <c r="G171" s="14">
        <f t="shared" si="7"/>
        <v>2266.2260833857331</v>
      </c>
      <c r="H171">
        <f t="shared" si="8"/>
        <v>1.4435519701409216E-2</v>
      </c>
      <c r="I171"/>
      <c r="K171" s="38"/>
    </row>
    <row r="172" spans="1:11" x14ac:dyDescent="0.3">
      <c r="A172" s="16">
        <v>170</v>
      </c>
      <c r="B172" s="3">
        <v>45552</v>
      </c>
      <c r="C172" s="40">
        <v>5634.58</v>
      </c>
      <c r="D172" s="46">
        <f t="shared" si="6"/>
        <v>2.6450846693371055E-4</v>
      </c>
      <c r="E172">
        <v>18013.16</v>
      </c>
      <c r="F172">
        <v>7.7942</v>
      </c>
      <c r="G172" s="14">
        <f t="shared" si="7"/>
        <v>2311.0979959457031</v>
      </c>
      <c r="H172">
        <f t="shared" si="8"/>
        <v>1.9800280690853045E-2</v>
      </c>
      <c r="I172"/>
      <c r="K172" s="38"/>
    </row>
    <row r="173" spans="1:11" x14ac:dyDescent="0.3">
      <c r="A173" s="16">
        <v>171</v>
      </c>
      <c r="B173" s="3">
        <v>45554</v>
      </c>
      <c r="C173" s="40">
        <v>5713.64</v>
      </c>
      <c r="D173" s="46">
        <f t="shared" si="6"/>
        <v>1.4031214393974478E-2</v>
      </c>
      <c r="E173">
        <v>18258.57</v>
      </c>
      <c r="F173">
        <v>7.7946</v>
      </c>
      <c r="G173" s="14">
        <f t="shared" si="7"/>
        <v>2342.4640135478408</v>
      </c>
      <c r="H173">
        <f t="shared" si="8"/>
        <v>1.3571911557693328E-2</v>
      </c>
      <c r="I173"/>
      <c r="K173" s="38"/>
    </row>
    <row r="174" spans="1:11" x14ac:dyDescent="0.3">
      <c r="A174" s="16">
        <v>172</v>
      </c>
      <c r="B174" s="3">
        <v>45555</v>
      </c>
      <c r="C174" s="40">
        <v>5702.55</v>
      </c>
      <c r="D174" s="46">
        <f t="shared" si="6"/>
        <v>-1.9409693295342478E-3</v>
      </c>
      <c r="E174">
        <v>18247.11</v>
      </c>
      <c r="F174">
        <v>7.7897999999999996</v>
      </c>
      <c r="G174" s="14">
        <f t="shared" si="7"/>
        <v>2342.4362628052072</v>
      </c>
      <c r="H174">
        <f t="shared" si="8"/>
        <v>-1.1846817058014381E-5</v>
      </c>
      <c r="I174"/>
      <c r="K174" s="38"/>
    </row>
    <row r="175" spans="1:11" x14ac:dyDescent="0.3">
      <c r="A175" s="16">
        <v>173</v>
      </c>
      <c r="B175" s="3">
        <v>45558</v>
      </c>
      <c r="C175" s="40">
        <v>5718.57</v>
      </c>
      <c r="D175" s="46">
        <f t="shared" si="6"/>
        <v>2.8092695373120868E-3</v>
      </c>
      <c r="E175">
        <v>19000.560000000001</v>
      </c>
      <c r="F175">
        <v>7.7858000000000001</v>
      </c>
      <c r="G175" s="14">
        <f t="shared" si="7"/>
        <v>2440.412032161114</v>
      </c>
      <c r="H175">
        <f t="shared" si="8"/>
        <v>4.1826439810394245E-2</v>
      </c>
      <c r="I175"/>
      <c r="K175" s="38"/>
    </row>
    <row r="176" spans="1:11" x14ac:dyDescent="0.3">
      <c r="A176" s="16">
        <v>174</v>
      </c>
      <c r="B176" s="3">
        <v>45559</v>
      </c>
      <c r="C176" s="40">
        <v>5732.93</v>
      </c>
      <c r="D176" s="46">
        <f t="shared" si="6"/>
        <v>2.5111172898120149E-3</v>
      </c>
      <c r="E176">
        <v>19129.099999999999</v>
      </c>
      <c r="F176">
        <v>7.7845000000000004</v>
      </c>
      <c r="G176" s="14">
        <f t="shared" si="7"/>
        <v>2457.3318774487761</v>
      </c>
      <c r="H176">
        <f t="shared" si="8"/>
        <v>6.9331920449018369E-3</v>
      </c>
      <c r="I176"/>
      <c r="K176" s="38"/>
    </row>
    <row r="177" spans="1:11" x14ac:dyDescent="0.3">
      <c r="A177" s="16">
        <v>175</v>
      </c>
      <c r="B177" s="3">
        <v>45560</v>
      </c>
      <c r="C177" s="40">
        <v>5722.26</v>
      </c>
      <c r="D177" s="46">
        <f t="shared" si="6"/>
        <v>-1.8611774432969463E-3</v>
      </c>
      <c r="E177">
        <v>19924.580000000002</v>
      </c>
      <c r="F177">
        <v>7.7845000000000004</v>
      </c>
      <c r="G177" s="14">
        <f t="shared" si="7"/>
        <v>2559.5195580962168</v>
      </c>
      <c r="H177">
        <f t="shared" si="8"/>
        <v>4.1584810576556164E-2</v>
      </c>
      <c r="I177"/>
      <c r="K177" s="38"/>
    </row>
    <row r="178" spans="1:11" x14ac:dyDescent="0.3">
      <c r="A178" s="16">
        <v>176</v>
      </c>
      <c r="B178" s="3">
        <v>45561</v>
      </c>
      <c r="C178" s="40">
        <v>5745.37</v>
      </c>
      <c r="D178" s="46">
        <f t="shared" si="6"/>
        <v>4.0386141140038578E-3</v>
      </c>
      <c r="E178">
        <v>20632.3</v>
      </c>
      <c r="F178">
        <v>7.7789000000000001</v>
      </c>
      <c r="G178" s="14">
        <f t="shared" si="7"/>
        <v>2652.3415907133399</v>
      </c>
      <c r="H178">
        <f t="shared" si="8"/>
        <v>3.6265412515997575E-2</v>
      </c>
      <c r="I178"/>
      <c r="K178" s="38"/>
    </row>
    <row r="179" spans="1:11" x14ac:dyDescent="0.3">
      <c r="A179" s="16">
        <v>177</v>
      </c>
      <c r="B179" s="3">
        <v>45562</v>
      </c>
      <c r="C179" s="40">
        <v>5738.17</v>
      </c>
      <c r="D179" s="46">
        <f t="shared" si="6"/>
        <v>-1.2531829977877607E-3</v>
      </c>
      <c r="E179">
        <v>21133.68</v>
      </c>
      <c r="F179">
        <v>7.7721</v>
      </c>
      <c r="G179" s="14">
        <f t="shared" si="7"/>
        <v>2719.1724244412708</v>
      </c>
      <c r="H179">
        <f t="shared" si="8"/>
        <v>2.5196918059847917E-2</v>
      </c>
      <c r="I179"/>
      <c r="K179" s="38"/>
    </row>
    <row r="180" spans="1:11" x14ac:dyDescent="0.3">
      <c r="A180" s="16">
        <v>178</v>
      </c>
      <c r="B180" s="3">
        <v>45565</v>
      </c>
      <c r="C180" s="40">
        <v>5762.48</v>
      </c>
      <c r="D180" s="46">
        <f t="shared" si="6"/>
        <v>4.2365423122701085E-3</v>
      </c>
      <c r="E180">
        <v>22443.73</v>
      </c>
      <c r="F180">
        <v>7.7727000000000004</v>
      </c>
      <c r="G180" s="14">
        <f t="shared" si="7"/>
        <v>2887.5075585060531</v>
      </c>
      <c r="H180">
        <f t="shared" si="8"/>
        <v>6.1906752419119471E-2</v>
      </c>
      <c r="I180"/>
      <c r="K180" s="38"/>
    </row>
    <row r="181" spans="1:11" x14ac:dyDescent="0.3">
      <c r="A181" s="16">
        <v>179</v>
      </c>
      <c r="B181" s="3">
        <v>45567</v>
      </c>
      <c r="C181" s="40">
        <v>5709.54</v>
      </c>
      <c r="D181" s="46">
        <f t="shared" si="6"/>
        <v>-9.1870167011425252E-3</v>
      </c>
      <c r="E181">
        <v>22113.51</v>
      </c>
      <c r="F181">
        <v>7.7625999999999999</v>
      </c>
      <c r="G181" s="14">
        <f t="shared" si="7"/>
        <v>2848.7246541107361</v>
      </c>
      <c r="H181">
        <f t="shared" si="8"/>
        <v>-1.3431273722927517E-2</v>
      </c>
      <c r="I181"/>
      <c r="K181" s="38"/>
    </row>
    <row r="182" spans="1:11" x14ac:dyDescent="0.3">
      <c r="A182" s="16">
        <v>180</v>
      </c>
      <c r="B182" s="3">
        <v>45568</v>
      </c>
      <c r="C182" s="40">
        <v>5699.94</v>
      </c>
      <c r="D182" s="46">
        <f t="shared" si="6"/>
        <v>-1.681396399709989E-3</v>
      </c>
      <c r="E182">
        <v>22736.87</v>
      </c>
      <c r="F182">
        <v>7.7637999999999998</v>
      </c>
      <c r="G182" s="14">
        <f t="shared" si="7"/>
        <v>2928.5749246503001</v>
      </c>
      <c r="H182">
        <f t="shared" si="8"/>
        <v>2.8030182005951199E-2</v>
      </c>
      <c r="I182"/>
      <c r="K182" s="38"/>
    </row>
    <row r="183" spans="1:11" x14ac:dyDescent="0.3">
      <c r="A183" s="16">
        <v>181</v>
      </c>
      <c r="B183" s="3">
        <v>45569</v>
      </c>
      <c r="C183" s="40">
        <v>5751.07</v>
      </c>
      <c r="D183" s="46">
        <f t="shared" si="6"/>
        <v>8.9702698624898325E-3</v>
      </c>
      <c r="E183">
        <v>23099.78</v>
      </c>
      <c r="F183">
        <v>7.7662000000000004</v>
      </c>
      <c r="G183" s="14">
        <f t="shared" si="7"/>
        <v>2974.3993201308231</v>
      </c>
      <c r="H183">
        <f t="shared" si="8"/>
        <v>1.5647335874800827E-2</v>
      </c>
      <c r="I183"/>
      <c r="K183" s="38"/>
    </row>
    <row r="184" spans="1:11" x14ac:dyDescent="0.3">
      <c r="A184" s="16">
        <v>182</v>
      </c>
      <c r="B184" s="3">
        <v>45572</v>
      </c>
      <c r="C184" s="40">
        <v>5695.94</v>
      </c>
      <c r="D184" s="46">
        <f t="shared" si="6"/>
        <v>-9.5860422495291919E-3</v>
      </c>
      <c r="E184">
        <v>20926.79</v>
      </c>
      <c r="F184">
        <v>7.7656999999999998</v>
      </c>
      <c r="G184" s="14">
        <f t="shared" si="7"/>
        <v>2694.7718814788109</v>
      </c>
      <c r="H184">
        <f t="shared" si="8"/>
        <v>-9.4011398119776768E-2</v>
      </c>
      <c r="I184"/>
      <c r="K184" s="38"/>
    </row>
    <row r="185" spans="1:11" x14ac:dyDescent="0.3">
      <c r="A185" s="16">
        <v>183</v>
      </c>
      <c r="B185" s="3">
        <v>45573</v>
      </c>
      <c r="C185" s="40">
        <v>5751.13</v>
      </c>
      <c r="D185" s="46">
        <f t="shared" si="6"/>
        <v>9.68935768284096E-3</v>
      </c>
      <c r="E185">
        <v>20637.240000000002</v>
      </c>
      <c r="F185">
        <v>7.7747999999999999</v>
      </c>
      <c r="G185" s="14">
        <f t="shared" si="7"/>
        <v>2654.3756752585277</v>
      </c>
      <c r="H185">
        <f t="shared" si="8"/>
        <v>-1.4990584731096046E-2</v>
      </c>
      <c r="I185"/>
      <c r="K185" s="38"/>
    </row>
    <row r="186" spans="1:11" x14ac:dyDescent="0.3">
      <c r="A186" s="16">
        <v>184</v>
      </c>
      <c r="B186" s="3">
        <v>45574</v>
      </c>
      <c r="C186" s="40">
        <v>5792.04</v>
      </c>
      <c r="D186" s="46">
        <f t="shared" si="6"/>
        <v>7.1133846739683815E-3</v>
      </c>
      <c r="E186">
        <v>21251.98</v>
      </c>
      <c r="F186">
        <v>7.7708000000000004</v>
      </c>
      <c r="G186" s="14">
        <f t="shared" si="7"/>
        <v>2734.8509805940184</v>
      </c>
      <c r="H186">
        <f t="shared" si="8"/>
        <v>3.0317978756964292E-2</v>
      </c>
      <c r="I186"/>
      <c r="K186" s="38"/>
    </row>
    <row r="187" spans="1:11" x14ac:dyDescent="0.3">
      <c r="A187" s="16">
        <v>185</v>
      </c>
      <c r="B187" s="3">
        <v>45575</v>
      </c>
      <c r="C187" s="40">
        <v>5780.05</v>
      </c>
      <c r="D187" s="46">
        <f t="shared" si="6"/>
        <v>-2.0700823889336917E-3</v>
      </c>
      <c r="E187">
        <v>21092.87</v>
      </c>
      <c r="F187">
        <v>7.7698</v>
      </c>
      <c r="G187" s="14">
        <f t="shared" si="7"/>
        <v>2714.7249607454501</v>
      </c>
      <c r="H187">
        <f t="shared" si="8"/>
        <v>-7.3590919546910882E-3</v>
      </c>
      <c r="I187"/>
      <c r="K187" s="38"/>
    </row>
    <row r="188" spans="1:11" x14ac:dyDescent="0.3">
      <c r="A188" s="16">
        <v>186</v>
      </c>
      <c r="B188" s="3">
        <v>45579</v>
      </c>
      <c r="C188" s="40">
        <v>5859.85</v>
      </c>
      <c r="D188" s="46">
        <f t="shared" si="6"/>
        <v>1.3806108943694273E-2</v>
      </c>
      <c r="E188">
        <v>20318.79</v>
      </c>
      <c r="F188">
        <v>7.7638999999999996</v>
      </c>
      <c r="G188" s="14">
        <f t="shared" si="7"/>
        <v>2617.0854853874989</v>
      </c>
      <c r="H188">
        <f t="shared" si="8"/>
        <v>-3.596661789676836E-2</v>
      </c>
      <c r="I188"/>
      <c r="K188" s="38"/>
    </row>
    <row r="189" spans="1:11" x14ac:dyDescent="0.3">
      <c r="A189" s="16">
        <v>187</v>
      </c>
      <c r="B189" s="3">
        <v>45580</v>
      </c>
      <c r="C189" s="40">
        <v>5815.26</v>
      </c>
      <c r="D189" s="46">
        <f t="shared" si="6"/>
        <v>-7.6094097971791674E-3</v>
      </c>
      <c r="E189">
        <v>20286.849999999999</v>
      </c>
      <c r="F189">
        <v>7.7671999999999999</v>
      </c>
      <c r="G189" s="14">
        <f t="shared" si="7"/>
        <v>2611.8614172417342</v>
      </c>
      <c r="H189">
        <f t="shared" si="8"/>
        <v>-1.9961396656446029E-3</v>
      </c>
      <c r="I189"/>
      <c r="K189" s="38"/>
    </row>
    <row r="190" spans="1:11" x14ac:dyDescent="0.3">
      <c r="A190" s="16">
        <v>188</v>
      </c>
      <c r="B190" s="3">
        <v>45581</v>
      </c>
      <c r="C190" s="40">
        <v>5842.47</v>
      </c>
      <c r="D190" s="46">
        <f t="shared" si="6"/>
        <v>4.6790685197222182E-3</v>
      </c>
      <c r="E190">
        <v>20079.099999999999</v>
      </c>
      <c r="F190">
        <v>7.7705000000000002</v>
      </c>
      <c r="G190" s="14">
        <f t="shared" si="7"/>
        <v>2584.0164725564632</v>
      </c>
      <c r="H190">
        <f t="shared" si="8"/>
        <v>-1.0660957928876891E-2</v>
      </c>
      <c r="I190"/>
      <c r="K190" s="38"/>
    </row>
    <row r="191" spans="1:11" x14ac:dyDescent="0.3">
      <c r="A191" s="16">
        <v>189</v>
      </c>
      <c r="B191" s="3">
        <v>45582</v>
      </c>
      <c r="C191" s="40">
        <v>5841.47</v>
      </c>
      <c r="D191" s="46">
        <f t="shared" si="6"/>
        <v>-1.7116048520571248E-4</v>
      </c>
      <c r="E191">
        <v>20804.11</v>
      </c>
      <c r="F191">
        <v>7.7736000000000001</v>
      </c>
      <c r="G191" s="14">
        <f t="shared" si="7"/>
        <v>2676.25167232685</v>
      </c>
      <c r="H191">
        <f t="shared" si="8"/>
        <v>3.5694509206876335E-2</v>
      </c>
      <c r="I191"/>
      <c r="K191" s="38"/>
    </row>
    <row r="192" spans="1:11" x14ac:dyDescent="0.3">
      <c r="A192" s="16">
        <v>190</v>
      </c>
      <c r="B192" s="3">
        <v>45583</v>
      </c>
      <c r="C192" s="40">
        <v>5864.67</v>
      </c>
      <c r="D192" s="46">
        <f t="shared" si="6"/>
        <v>3.9716030382763723E-3</v>
      </c>
      <c r="E192">
        <v>20478.46</v>
      </c>
      <c r="F192">
        <v>7.77</v>
      </c>
      <c r="G192" s="14">
        <f t="shared" si="7"/>
        <v>2635.5804375804378</v>
      </c>
      <c r="H192">
        <f t="shared" si="8"/>
        <v>-1.5197088961013461E-2</v>
      </c>
      <c r="I192"/>
      <c r="K192" s="38"/>
    </row>
    <row r="193" spans="1:11" x14ac:dyDescent="0.3">
      <c r="A193" s="16">
        <v>191</v>
      </c>
      <c r="B193" s="3">
        <v>45586</v>
      </c>
      <c r="C193" s="40">
        <v>5853.98</v>
      </c>
      <c r="D193" s="46">
        <f t="shared" si="6"/>
        <v>-1.8227794573267841E-3</v>
      </c>
      <c r="E193">
        <v>20498.95</v>
      </c>
      <c r="F193">
        <v>7.7728999999999999</v>
      </c>
      <c r="G193" s="14">
        <f t="shared" si="7"/>
        <v>2637.2332076831044</v>
      </c>
      <c r="H193">
        <f t="shared" si="8"/>
        <v>6.2709909327751667E-4</v>
      </c>
      <c r="I193"/>
      <c r="K193" s="38"/>
    </row>
    <row r="194" spans="1:11" x14ac:dyDescent="0.3">
      <c r="A194" s="16">
        <v>192</v>
      </c>
      <c r="B194" s="3">
        <v>45587</v>
      </c>
      <c r="C194" s="40">
        <v>5851.2</v>
      </c>
      <c r="D194" s="46">
        <f t="shared" si="6"/>
        <v>-4.7489058725858069E-4</v>
      </c>
      <c r="E194">
        <v>20760.150000000001</v>
      </c>
      <c r="F194">
        <v>7.7721</v>
      </c>
      <c r="G194" s="14">
        <f t="shared" si="7"/>
        <v>2671.1120546570428</v>
      </c>
      <c r="H194">
        <f t="shared" si="8"/>
        <v>1.2846359918128769E-2</v>
      </c>
      <c r="I194"/>
      <c r="K194" s="38"/>
    </row>
    <row r="195" spans="1:11" x14ac:dyDescent="0.3">
      <c r="A195" s="16">
        <v>193</v>
      </c>
      <c r="B195" s="3">
        <v>45588</v>
      </c>
      <c r="C195" s="40">
        <v>5797.42</v>
      </c>
      <c r="D195" s="46">
        <f t="shared" si="6"/>
        <v>-9.1912770030079249E-3</v>
      </c>
      <c r="E195">
        <v>20489.62</v>
      </c>
      <c r="F195">
        <v>7.7686000000000002</v>
      </c>
      <c r="G195" s="14">
        <f t="shared" si="7"/>
        <v>2637.4919547923691</v>
      </c>
      <c r="H195">
        <f t="shared" si="8"/>
        <v>-1.2586555403416133E-2</v>
      </c>
      <c r="I195"/>
      <c r="K195" s="38"/>
    </row>
    <row r="196" spans="1:11" x14ac:dyDescent="0.3">
      <c r="A196" s="16">
        <v>194</v>
      </c>
      <c r="B196" s="3">
        <v>45589</v>
      </c>
      <c r="C196" s="40">
        <v>5809.86</v>
      </c>
      <c r="D196" s="46">
        <f t="shared" ref="D196:D259" si="9">$C196/$C195-1</f>
        <v>2.1457820892740731E-3</v>
      </c>
      <c r="E196">
        <v>20590.150000000001</v>
      </c>
      <c r="F196">
        <v>7.7701000000000002</v>
      </c>
      <c r="G196" s="14">
        <f t="shared" ref="G196:G259" si="10">E196/F196</f>
        <v>2649.9208504395056</v>
      </c>
      <c r="H196">
        <f t="shared" ref="H196:H259" si="11">$G196/$G195-1</f>
        <v>4.7123918708273926E-3</v>
      </c>
      <c r="I196"/>
      <c r="K196" s="38"/>
    </row>
    <row r="197" spans="1:11" x14ac:dyDescent="0.3">
      <c r="A197" s="16">
        <v>195</v>
      </c>
      <c r="B197" s="3">
        <v>45590</v>
      </c>
      <c r="C197" s="40">
        <v>5808.12</v>
      </c>
      <c r="D197" s="46">
        <f t="shared" si="9"/>
        <v>-2.994908655286066E-4</v>
      </c>
      <c r="E197">
        <v>20599.36</v>
      </c>
      <c r="F197">
        <v>7.7701000000000002</v>
      </c>
      <c r="G197" s="14">
        <f t="shared" si="10"/>
        <v>2651.1061633698409</v>
      </c>
      <c r="H197">
        <f t="shared" si="11"/>
        <v>4.4730125812586508E-4</v>
      </c>
      <c r="I197"/>
      <c r="K197" s="38"/>
    </row>
    <row r="198" spans="1:11" x14ac:dyDescent="0.3">
      <c r="A198" s="16">
        <v>196</v>
      </c>
      <c r="B198" s="3">
        <v>45593</v>
      </c>
      <c r="C198" s="40">
        <v>5823.52</v>
      </c>
      <c r="D198" s="46">
        <f t="shared" si="9"/>
        <v>2.6514603692762151E-3</v>
      </c>
      <c r="E198">
        <v>20701.14</v>
      </c>
      <c r="F198">
        <v>7.7713999999999999</v>
      </c>
      <c r="G198" s="14">
        <f t="shared" si="10"/>
        <v>2663.7594255861236</v>
      </c>
      <c r="H198">
        <f t="shared" si="11"/>
        <v>4.772823657955394E-3</v>
      </c>
      <c r="I198"/>
      <c r="K198" s="38"/>
    </row>
    <row r="199" spans="1:11" x14ac:dyDescent="0.3">
      <c r="A199" s="16">
        <v>197</v>
      </c>
      <c r="B199" s="3">
        <v>45594</v>
      </c>
      <c r="C199" s="40">
        <v>5832.92</v>
      </c>
      <c r="D199" s="46">
        <f t="shared" si="9"/>
        <v>1.6141440228589765E-3</v>
      </c>
      <c r="E199">
        <v>20380.64</v>
      </c>
      <c r="F199">
        <v>7.7709999999999999</v>
      </c>
      <c r="G199" s="14">
        <f t="shared" si="10"/>
        <v>2622.653455153777</v>
      </c>
      <c r="H199">
        <f t="shared" si="11"/>
        <v>-1.5431562639445895E-2</v>
      </c>
      <c r="I199"/>
      <c r="K199" s="38"/>
    </row>
    <row r="200" spans="1:11" x14ac:dyDescent="0.3">
      <c r="A200" s="16">
        <v>198</v>
      </c>
      <c r="B200" s="3">
        <v>45595</v>
      </c>
      <c r="C200" s="40">
        <v>5813.67</v>
      </c>
      <c r="D200" s="46">
        <f t="shared" si="9"/>
        <v>-3.3002338451409985E-3</v>
      </c>
      <c r="E200">
        <v>20317.330000000002</v>
      </c>
      <c r="F200">
        <v>7.7718999999999996</v>
      </c>
      <c r="G200" s="14">
        <f t="shared" si="10"/>
        <v>2614.2037339646681</v>
      </c>
      <c r="H200">
        <f t="shared" si="11"/>
        <v>-3.2218214619641472E-3</v>
      </c>
      <c r="I200"/>
      <c r="K200" s="38"/>
    </row>
    <row r="201" spans="1:11" x14ac:dyDescent="0.3">
      <c r="A201" s="16">
        <v>199</v>
      </c>
      <c r="B201" s="3">
        <v>45596</v>
      </c>
      <c r="C201" s="40">
        <v>5705.45</v>
      </c>
      <c r="D201" s="46">
        <f t="shared" si="9"/>
        <v>-1.8614747655095742E-2</v>
      </c>
      <c r="E201">
        <v>20506.43</v>
      </c>
      <c r="F201">
        <v>7.7728999999999999</v>
      </c>
      <c r="G201" s="14">
        <f t="shared" si="10"/>
        <v>2638.1955254795507</v>
      </c>
      <c r="H201">
        <f t="shared" si="11"/>
        <v>9.1774758038833948E-3</v>
      </c>
      <c r="I201"/>
      <c r="K201" s="38"/>
    </row>
    <row r="202" spans="1:11" x14ac:dyDescent="0.3">
      <c r="A202" s="16">
        <v>200</v>
      </c>
      <c r="B202" s="3">
        <v>45597</v>
      </c>
      <c r="C202" s="40">
        <v>5728.8</v>
      </c>
      <c r="D202" s="46">
        <f t="shared" si="9"/>
        <v>4.0925781489629109E-3</v>
      </c>
      <c r="E202">
        <v>20567.52</v>
      </c>
      <c r="F202">
        <v>7.7769000000000004</v>
      </c>
      <c r="G202" s="14">
        <f t="shared" si="10"/>
        <v>2644.693901168846</v>
      </c>
      <c r="H202">
        <f t="shared" si="11"/>
        <v>2.4631895651912039E-3</v>
      </c>
      <c r="I202"/>
      <c r="K202" s="38"/>
    </row>
    <row r="203" spans="1:11" x14ac:dyDescent="0.3">
      <c r="A203" s="16">
        <v>201</v>
      </c>
      <c r="B203" s="3">
        <v>45600</v>
      </c>
      <c r="C203" s="40">
        <v>5712.69</v>
      </c>
      <c r="D203" s="46">
        <f t="shared" si="9"/>
        <v>-2.8121072475911779E-3</v>
      </c>
      <c r="E203">
        <v>21006.97</v>
      </c>
      <c r="F203">
        <v>7.7721</v>
      </c>
      <c r="G203" s="14">
        <f t="shared" si="10"/>
        <v>2702.8692374004454</v>
      </c>
      <c r="H203">
        <f t="shared" si="11"/>
        <v>2.1997001696827168E-2</v>
      </c>
      <c r="I203"/>
      <c r="K203" s="38"/>
    </row>
    <row r="204" spans="1:11" x14ac:dyDescent="0.3">
      <c r="A204" s="16">
        <v>202</v>
      </c>
      <c r="B204" s="3">
        <v>45601</v>
      </c>
      <c r="C204" s="40">
        <v>5782.76</v>
      </c>
      <c r="D204" s="46">
        <f t="shared" si="9"/>
        <v>1.2265675189796932E-2</v>
      </c>
      <c r="E204">
        <v>20538.38</v>
      </c>
      <c r="F204">
        <v>7.7727000000000004</v>
      </c>
      <c r="G204" s="14">
        <f t="shared" si="10"/>
        <v>2642.3739498501163</v>
      </c>
      <c r="H204">
        <f t="shared" si="11"/>
        <v>-2.2381877270730266E-2</v>
      </c>
      <c r="I204"/>
      <c r="K204" s="38"/>
    </row>
    <row r="205" spans="1:11" x14ac:dyDescent="0.3">
      <c r="A205" s="16">
        <v>203</v>
      </c>
      <c r="B205" s="3">
        <v>45602</v>
      </c>
      <c r="C205" s="40">
        <v>5929.04</v>
      </c>
      <c r="D205" s="46">
        <f t="shared" si="9"/>
        <v>2.5295879476236127E-2</v>
      </c>
      <c r="E205">
        <v>20953.34</v>
      </c>
      <c r="F205">
        <v>7.7759</v>
      </c>
      <c r="G205" s="14">
        <f t="shared" si="10"/>
        <v>2694.6514229864069</v>
      </c>
      <c r="H205">
        <f t="shared" si="11"/>
        <v>1.978428266720389E-2</v>
      </c>
      <c r="I205"/>
      <c r="K205" s="38"/>
    </row>
    <row r="206" spans="1:11" x14ac:dyDescent="0.3">
      <c r="A206" s="16">
        <v>204</v>
      </c>
      <c r="B206" s="3">
        <v>45603</v>
      </c>
      <c r="C206" s="40">
        <v>5973.1</v>
      </c>
      <c r="D206" s="46">
        <f t="shared" si="9"/>
        <v>7.4312198939459062E-3</v>
      </c>
      <c r="E206">
        <v>20728.189999999999</v>
      </c>
      <c r="F206">
        <v>7.7706</v>
      </c>
      <c r="G206" s="14">
        <f t="shared" si="10"/>
        <v>2667.5147350268962</v>
      </c>
      <c r="H206">
        <f t="shared" si="11"/>
        <v>-1.007057451959259E-2</v>
      </c>
      <c r="I206"/>
      <c r="K206" s="38"/>
    </row>
    <row r="207" spans="1:11" x14ac:dyDescent="0.3">
      <c r="A207" s="16">
        <v>205</v>
      </c>
      <c r="B207" s="3">
        <v>45604</v>
      </c>
      <c r="C207" s="40">
        <v>5995.54</v>
      </c>
      <c r="D207" s="46">
        <f t="shared" si="9"/>
        <v>3.7568431802581514E-3</v>
      </c>
      <c r="E207">
        <v>20426.93</v>
      </c>
      <c r="F207">
        <v>7.7744999999999997</v>
      </c>
      <c r="G207" s="14">
        <f t="shared" si="10"/>
        <v>2627.4268441700433</v>
      </c>
      <c r="H207">
        <f t="shared" si="11"/>
        <v>-1.5028179724918656E-2</v>
      </c>
      <c r="I207"/>
      <c r="K207" s="38"/>
    </row>
    <row r="208" spans="1:11" x14ac:dyDescent="0.3">
      <c r="A208" s="16">
        <v>206</v>
      </c>
      <c r="B208" s="3">
        <v>45607</v>
      </c>
      <c r="C208" s="40">
        <v>6001.35</v>
      </c>
      <c r="D208" s="46">
        <f t="shared" si="9"/>
        <v>9.6905366322297404E-4</v>
      </c>
      <c r="E208">
        <v>19846.88</v>
      </c>
      <c r="F208">
        <v>7.7755999999999998</v>
      </c>
      <c r="G208" s="14">
        <f t="shared" si="10"/>
        <v>2552.4564020782964</v>
      </c>
      <c r="H208">
        <f t="shared" si="11"/>
        <v>-2.8533788584103714E-2</v>
      </c>
      <c r="I208"/>
      <c r="K208" s="38"/>
    </row>
    <row r="209" spans="1:11" x14ac:dyDescent="0.3">
      <c r="A209" s="16">
        <v>207</v>
      </c>
      <c r="B209" s="3">
        <v>45608</v>
      </c>
      <c r="C209" s="40">
        <v>5983.99</v>
      </c>
      <c r="D209" s="46">
        <f t="shared" si="9"/>
        <v>-2.8926824797754769E-3</v>
      </c>
      <c r="E209">
        <v>19823.45</v>
      </c>
      <c r="F209">
        <v>7.7778999999999998</v>
      </c>
      <c r="G209" s="14">
        <f t="shared" si="10"/>
        <v>2548.6892348834522</v>
      </c>
      <c r="H209">
        <f t="shared" si="11"/>
        <v>-1.4758987427863079E-3</v>
      </c>
      <c r="I209"/>
      <c r="K209" s="38"/>
    </row>
    <row r="210" spans="1:11" x14ac:dyDescent="0.3">
      <c r="A210" s="16">
        <v>208</v>
      </c>
      <c r="B210" s="3">
        <v>45609</v>
      </c>
      <c r="C210" s="40">
        <v>5985.38</v>
      </c>
      <c r="D210" s="46">
        <f t="shared" si="9"/>
        <v>2.3228648443596178E-4</v>
      </c>
      <c r="E210">
        <v>19435.810000000001</v>
      </c>
      <c r="F210">
        <v>7.7805999999999997</v>
      </c>
      <c r="G210" s="14">
        <f t="shared" si="10"/>
        <v>2497.983446006735</v>
      </c>
      <c r="H210">
        <f t="shared" si="11"/>
        <v>-1.9894849549610072E-2</v>
      </c>
      <c r="I210"/>
      <c r="K210" s="38"/>
    </row>
    <row r="211" spans="1:11" x14ac:dyDescent="0.3">
      <c r="A211" s="16">
        <v>209</v>
      </c>
      <c r="B211" s="3">
        <v>45610</v>
      </c>
      <c r="C211" s="40">
        <v>5949.17</v>
      </c>
      <c r="D211" s="46">
        <f t="shared" si="9"/>
        <v>-6.0497412027306074E-3</v>
      </c>
      <c r="E211">
        <v>19426.34</v>
      </c>
      <c r="F211">
        <v>7.7812000000000001</v>
      </c>
      <c r="G211" s="14">
        <f t="shared" si="10"/>
        <v>2496.573793245258</v>
      </c>
      <c r="H211">
        <f t="shared" si="11"/>
        <v>-5.6431629430153674E-4</v>
      </c>
      <c r="I211"/>
      <c r="K211" s="38"/>
    </row>
    <row r="212" spans="1:11" x14ac:dyDescent="0.3">
      <c r="A212" s="16">
        <v>210</v>
      </c>
      <c r="B212" s="3">
        <v>45611</v>
      </c>
      <c r="C212" s="40">
        <v>5870.62</v>
      </c>
      <c r="D212" s="46">
        <f t="shared" si="9"/>
        <v>-1.3203522508181798E-2</v>
      </c>
      <c r="E212">
        <v>19576.61</v>
      </c>
      <c r="F212">
        <v>7.7850999999999999</v>
      </c>
      <c r="G212" s="14">
        <f t="shared" si="10"/>
        <v>2514.6253741120859</v>
      </c>
      <c r="H212">
        <f t="shared" si="11"/>
        <v>7.2305416790277022E-3</v>
      </c>
      <c r="I212"/>
      <c r="K212" s="38"/>
    </row>
    <row r="213" spans="1:11" x14ac:dyDescent="0.3">
      <c r="A213" s="16">
        <v>211</v>
      </c>
      <c r="B213" s="3">
        <v>45614</v>
      </c>
      <c r="C213" s="40">
        <v>5893.62</v>
      </c>
      <c r="D213" s="46">
        <f t="shared" si="9"/>
        <v>3.9178144727474162E-3</v>
      </c>
      <c r="E213">
        <v>19663.669999999998</v>
      </c>
      <c r="F213">
        <v>7.7835999999999999</v>
      </c>
      <c r="G213" s="14">
        <f t="shared" si="10"/>
        <v>2526.2950305771105</v>
      </c>
      <c r="H213">
        <f t="shared" si="11"/>
        <v>4.640713716310696E-3</v>
      </c>
      <c r="I213"/>
      <c r="K213" s="38"/>
    </row>
    <row r="214" spans="1:11" x14ac:dyDescent="0.3">
      <c r="A214" s="16">
        <v>212</v>
      </c>
      <c r="B214" s="3">
        <v>45615</v>
      </c>
      <c r="C214" s="40">
        <v>5916.98</v>
      </c>
      <c r="D214" s="46">
        <f t="shared" si="9"/>
        <v>3.9636081050355987E-3</v>
      </c>
      <c r="E214">
        <v>19705.009999999998</v>
      </c>
      <c r="F214">
        <v>7.7831000000000001</v>
      </c>
      <c r="G214" s="14">
        <f t="shared" si="10"/>
        <v>2531.7688324703522</v>
      </c>
      <c r="H214">
        <f t="shared" si="11"/>
        <v>2.1667310535742335E-3</v>
      </c>
      <c r="I214"/>
      <c r="K214" s="38"/>
    </row>
    <row r="215" spans="1:11" x14ac:dyDescent="0.3">
      <c r="A215" s="16">
        <v>213</v>
      </c>
      <c r="B215" s="3">
        <v>45616</v>
      </c>
      <c r="C215" s="40">
        <v>5917.11</v>
      </c>
      <c r="D215" s="46">
        <f t="shared" si="9"/>
        <v>2.1970667468895755E-5</v>
      </c>
      <c r="E215">
        <v>19601.11</v>
      </c>
      <c r="F215">
        <v>7.7835000000000001</v>
      </c>
      <c r="G215" s="14">
        <f t="shared" si="10"/>
        <v>2518.2899723774653</v>
      </c>
      <c r="H215">
        <f t="shared" si="11"/>
        <v>-5.3238905227120936E-3</v>
      </c>
      <c r="I215"/>
      <c r="K215" s="38"/>
    </row>
    <row r="216" spans="1:11" x14ac:dyDescent="0.3">
      <c r="A216" s="16">
        <v>214</v>
      </c>
      <c r="B216" s="3">
        <v>45617</v>
      </c>
      <c r="C216" s="40">
        <v>5948.71</v>
      </c>
      <c r="D216" s="46">
        <f t="shared" si="9"/>
        <v>5.3404449131417842E-3</v>
      </c>
      <c r="E216">
        <v>19229.97</v>
      </c>
      <c r="F216">
        <v>7.7826000000000004</v>
      </c>
      <c r="G216" s="14">
        <f t="shared" si="10"/>
        <v>2470.8927607740343</v>
      </c>
      <c r="H216">
        <f t="shared" si="11"/>
        <v>-1.8821189030381769E-2</v>
      </c>
      <c r="I216"/>
      <c r="K216" s="38"/>
    </row>
    <row r="217" spans="1:11" x14ac:dyDescent="0.3">
      <c r="A217" s="16">
        <v>215</v>
      </c>
      <c r="B217" s="3">
        <v>45618</v>
      </c>
      <c r="C217" s="40">
        <v>5969.34</v>
      </c>
      <c r="D217" s="46">
        <f t="shared" si="9"/>
        <v>3.4679787718681077E-3</v>
      </c>
      <c r="E217">
        <v>19150.990000000002</v>
      </c>
      <c r="F217">
        <v>7.7840999999999996</v>
      </c>
      <c r="G217" s="14">
        <f t="shared" si="10"/>
        <v>2460.2702945748388</v>
      </c>
      <c r="H217">
        <f t="shared" si="11"/>
        <v>-4.2990397510687117E-3</v>
      </c>
      <c r="I217"/>
      <c r="K217" s="38"/>
    </row>
    <row r="218" spans="1:11" x14ac:dyDescent="0.3">
      <c r="A218" s="16">
        <v>216</v>
      </c>
      <c r="B218" s="3">
        <v>45621</v>
      </c>
      <c r="C218" s="40">
        <v>5987.37</v>
      </c>
      <c r="D218" s="46">
        <f t="shared" si="9"/>
        <v>3.0204344198856425E-3</v>
      </c>
      <c r="E218">
        <v>19159.2</v>
      </c>
      <c r="F218">
        <v>7.7821999999999996</v>
      </c>
      <c r="G218" s="14">
        <f t="shared" si="10"/>
        <v>2461.9259335406441</v>
      </c>
      <c r="H218">
        <f t="shared" si="11"/>
        <v>6.729500288875645E-4</v>
      </c>
      <c r="I218"/>
      <c r="K218" s="38"/>
    </row>
    <row r="219" spans="1:11" x14ac:dyDescent="0.3">
      <c r="A219" s="16">
        <v>217</v>
      </c>
      <c r="B219" s="3">
        <v>45622</v>
      </c>
      <c r="C219" s="40">
        <v>6021.63</v>
      </c>
      <c r="D219" s="46">
        <f t="shared" si="9"/>
        <v>5.722044904524104E-3</v>
      </c>
      <c r="E219">
        <v>19603.13</v>
      </c>
      <c r="F219">
        <v>7.7828999999999997</v>
      </c>
      <c r="G219" s="14">
        <f t="shared" si="10"/>
        <v>2518.7436559637154</v>
      </c>
      <c r="H219">
        <f t="shared" si="11"/>
        <v>2.3078566925593291E-2</v>
      </c>
      <c r="I219"/>
      <c r="K219" s="38"/>
    </row>
    <row r="220" spans="1:11" x14ac:dyDescent="0.3">
      <c r="A220" s="16">
        <v>218</v>
      </c>
      <c r="B220" s="3">
        <v>45623</v>
      </c>
      <c r="C220" s="40">
        <v>5998.74</v>
      </c>
      <c r="D220" s="46">
        <f t="shared" si="9"/>
        <v>-3.8012963267421984E-3</v>
      </c>
      <c r="E220">
        <v>19423.61</v>
      </c>
      <c r="F220">
        <v>7.7816000000000001</v>
      </c>
      <c r="G220" s="14">
        <f t="shared" si="10"/>
        <v>2496.0946334943969</v>
      </c>
      <c r="H220">
        <f t="shared" si="11"/>
        <v>-8.9921903786006618E-3</v>
      </c>
      <c r="I220"/>
      <c r="K220" s="38"/>
    </row>
    <row r="221" spans="1:11" x14ac:dyDescent="0.3">
      <c r="A221" s="16">
        <v>219</v>
      </c>
      <c r="B221" s="3">
        <v>45625</v>
      </c>
      <c r="C221" s="40">
        <v>6032.38</v>
      </c>
      <c r="D221" s="46">
        <f t="shared" si="9"/>
        <v>5.6078443139726541E-3</v>
      </c>
      <c r="E221">
        <v>19550.29</v>
      </c>
      <c r="F221">
        <v>7.7817999999999996</v>
      </c>
      <c r="G221" s="14">
        <f t="shared" si="10"/>
        <v>2512.3094913773166</v>
      </c>
      <c r="H221">
        <f t="shared" si="11"/>
        <v>6.496090999650761E-3</v>
      </c>
      <c r="I221"/>
      <c r="K221" s="38"/>
    </row>
    <row r="222" spans="1:11" x14ac:dyDescent="0.3">
      <c r="A222" s="16">
        <v>220</v>
      </c>
      <c r="B222" s="3">
        <v>45628</v>
      </c>
      <c r="C222" s="40">
        <v>6047.15</v>
      </c>
      <c r="D222" s="46">
        <f t="shared" si="9"/>
        <v>2.4484531809998433E-3</v>
      </c>
      <c r="E222">
        <v>19746.32</v>
      </c>
      <c r="F222">
        <v>7.7815000000000003</v>
      </c>
      <c r="G222" s="14">
        <f t="shared" si="10"/>
        <v>2537.5981494570456</v>
      </c>
      <c r="H222">
        <f t="shared" si="11"/>
        <v>1.0065900784327786E-2</v>
      </c>
      <c r="I222"/>
      <c r="K222" s="38"/>
    </row>
    <row r="223" spans="1:11" x14ac:dyDescent="0.3">
      <c r="A223" s="16">
        <v>221</v>
      </c>
      <c r="B223" s="3">
        <v>45629</v>
      </c>
      <c r="C223" s="40">
        <v>6049.88</v>
      </c>
      <c r="D223" s="46">
        <f t="shared" si="9"/>
        <v>4.5145233705135013E-4</v>
      </c>
      <c r="E223">
        <v>19742.46</v>
      </c>
      <c r="F223">
        <v>7.7827000000000002</v>
      </c>
      <c r="G223" s="14">
        <f t="shared" si="10"/>
        <v>2536.7109100954681</v>
      </c>
      <c r="H223">
        <f t="shared" si="11"/>
        <v>-3.4963745609895014E-4</v>
      </c>
      <c r="I223"/>
      <c r="K223" s="38"/>
    </row>
    <row r="224" spans="1:11" x14ac:dyDescent="0.3">
      <c r="A224" s="16">
        <v>222</v>
      </c>
      <c r="B224" s="3">
        <v>45630</v>
      </c>
      <c r="C224" s="40">
        <v>6086.49</v>
      </c>
      <c r="D224" s="46">
        <f t="shared" si="9"/>
        <v>6.0513596963907013E-3</v>
      </c>
      <c r="E224">
        <v>19560.439999999999</v>
      </c>
      <c r="F224">
        <v>7.7843999999999998</v>
      </c>
      <c r="G224" s="14">
        <f t="shared" si="10"/>
        <v>2512.774266481681</v>
      </c>
      <c r="H224">
        <f t="shared" si="11"/>
        <v>-9.4360944002429559E-3</v>
      </c>
      <c r="I224"/>
      <c r="K224" s="38"/>
    </row>
    <row r="225" spans="1:11" x14ac:dyDescent="0.3">
      <c r="A225" s="16">
        <v>223</v>
      </c>
      <c r="B225" s="3">
        <v>45631</v>
      </c>
      <c r="C225" s="40">
        <v>6075.11</v>
      </c>
      <c r="D225" s="46">
        <f t="shared" si="9"/>
        <v>-1.8697147288503357E-3</v>
      </c>
      <c r="E225">
        <v>19865.849999999999</v>
      </c>
      <c r="F225">
        <v>7.7820999999999998</v>
      </c>
      <c r="G225" s="14">
        <f t="shared" si="10"/>
        <v>2552.7621079143159</v>
      </c>
      <c r="H225">
        <f t="shared" si="11"/>
        <v>1.591382161383903E-2</v>
      </c>
      <c r="I225"/>
      <c r="K225" s="38"/>
    </row>
    <row r="226" spans="1:11" x14ac:dyDescent="0.3">
      <c r="A226" s="16">
        <v>224</v>
      </c>
      <c r="B226" s="3">
        <v>45632</v>
      </c>
      <c r="C226" s="40">
        <v>6090.27</v>
      </c>
      <c r="D226" s="46">
        <f t="shared" si="9"/>
        <v>2.4954280663231909E-3</v>
      </c>
      <c r="E226">
        <v>20414.09</v>
      </c>
      <c r="F226">
        <v>7.7790999999999997</v>
      </c>
      <c r="G226" s="14">
        <f t="shared" si="10"/>
        <v>2624.2225964443187</v>
      </c>
      <c r="H226">
        <f t="shared" si="11"/>
        <v>2.7993399114023987E-2</v>
      </c>
      <c r="I226"/>
      <c r="K226" s="38"/>
    </row>
    <row r="227" spans="1:11" x14ac:dyDescent="0.3">
      <c r="A227" s="16">
        <v>225</v>
      </c>
      <c r="B227" s="3">
        <v>45635</v>
      </c>
      <c r="C227" s="40">
        <v>6052.85</v>
      </c>
      <c r="D227" s="46">
        <f t="shared" si="9"/>
        <v>-6.1442267748391677E-3</v>
      </c>
      <c r="E227">
        <v>20311.28</v>
      </c>
      <c r="F227">
        <v>7.7742000000000004</v>
      </c>
      <c r="G227" s="14">
        <f t="shared" si="10"/>
        <v>2612.6521056828997</v>
      </c>
      <c r="H227">
        <f t="shared" si="11"/>
        <v>-4.4091117792737222E-3</v>
      </c>
      <c r="I227"/>
      <c r="K227" s="38"/>
    </row>
    <row r="228" spans="1:11" x14ac:dyDescent="0.3">
      <c r="A228" s="16">
        <v>226</v>
      </c>
      <c r="B228" s="3">
        <v>45636</v>
      </c>
      <c r="C228" s="40">
        <v>6034.91</v>
      </c>
      <c r="D228" s="46">
        <f t="shared" si="9"/>
        <v>-2.9638930421207466E-3</v>
      </c>
      <c r="E228">
        <v>20155.05</v>
      </c>
      <c r="F228">
        <v>7.7740999999999998</v>
      </c>
      <c r="G228" s="14">
        <f t="shared" si="10"/>
        <v>2592.5894958901995</v>
      </c>
      <c r="H228">
        <f t="shared" si="11"/>
        <v>-7.6790207732062576E-3</v>
      </c>
      <c r="I228"/>
      <c r="K228" s="38"/>
    </row>
    <row r="229" spans="1:11" x14ac:dyDescent="0.3">
      <c r="A229" s="16">
        <v>227</v>
      </c>
      <c r="B229" s="3">
        <v>45637</v>
      </c>
      <c r="C229" s="40">
        <v>6084.19</v>
      </c>
      <c r="D229" s="46">
        <f t="shared" si="9"/>
        <v>8.1658218598121834E-3</v>
      </c>
      <c r="E229">
        <v>20397.05</v>
      </c>
      <c r="F229">
        <v>7.7746000000000004</v>
      </c>
      <c r="G229" s="14">
        <f t="shared" si="10"/>
        <v>2623.5497646181152</v>
      </c>
      <c r="H229">
        <f t="shared" si="11"/>
        <v>1.1941832201740388E-2</v>
      </c>
      <c r="I229"/>
      <c r="K229" s="38"/>
    </row>
    <row r="230" spans="1:11" x14ac:dyDescent="0.3">
      <c r="A230" s="16">
        <v>228</v>
      </c>
      <c r="B230" s="3">
        <v>45638</v>
      </c>
      <c r="C230" s="40">
        <v>6051.25</v>
      </c>
      <c r="D230" s="46">
        <f t="shared" si="9"/>
        <v>-5.4140321061636465E-3</v>
      </c>
      <c r="E230">
        <v>19971.240000000002</v>
      </c>
      <c r="F230">
        <v>7.7746000000000004</v>
      </c>
      <c r="G230" s="14">
        <f t="shared" si="10"/>
        <v>2568.7803874154297</v>
      </c>
      <c r="H230">
        <f t="shared" si="11"/>
        <v>-2.0876058057415103E-2</v>
      </c>
      <c r="I230"/>
      <c r="K230" s="38"/>
    </row>
    <row r="231" spans="1:11" x14ac:dyDescent="0.3">
      <c r="A231" s="16">
        <v>229</v>
      </c>
      <c r="B231" s="3">
        <v>45639</v>
      </c>
      <c r="C231" s="40">
        <v>6051.09</v>
      </c>
      <c r="D231" s="46">
        <f t="shared" si="9"/>
        <v>-2.6440818012729572E-5</v>
      </c>
      <c r="E231">
        <v>19795.490000000002</v>
      </c>
      <c r="F231">
        <v>7.7751000000000001</v>
      </c>
      <c r="G231" s="14">
        <f t="shared" si="10"/>
        <v>2546.0109837815594</v>
      </c>
      <c r="H231">
        <f t="shared" si="11"/>
        <v>-8.8638965578445861E-3</v>
      </c>
      <c r="I231"/>
      <c r="K231" s="38"/>
    </row>
    <row r="232" spans="1:11" x14ac:dyDescent="0.3">
      <c r="A232" s="16">
        <v>230</v>
      </c>
      <c r="B232" s="3">
        <v>45642</v>
      </c>
      <c r="C232" s="40">
        <v>6074.08</v>
      </c>
      <c r="D232" s="46">
        <f t="shared" si="9"/>
        <v>3.7993154952247199E-3</v>
      </c>
      <c r="E232">
        <v>19700.48</v>
      </c>
      <c r="F232">
        <v>7.774</v>
      </c>
      <c r="G232" s="14">
        <f t="shared" si="10"/>
        <v>2534.1497298687932</v>
      </c>
      <c r="H232">
        <f t="shared" si="11"/>
        <v>-4.6587599143617098E-3</v>
      </c>
      <c r="I232"/>
      <c r="K232" s="38"/>
    </row>
    <row r="233" spans="1:11" x14ac:dyDescent="0.3">
      <c r="A233" s="16">
        <v>231</v>
      </c>
      <c r="B233" s="3">
        <v>45643</v>
      </c>
      <c r="C233" s="40">
        <v>6050.61</v>
      </c>
      <c r="D233" s="46">
        <f t="shared" si="9"/>
        <v>-3.8639596449174807E-3</v>
      </c>
      <c r="E233">
        <v>19864.55</v>
      </c>
      <c r="F233">
        <v>7.7691999999999997</v>
      </c>
      <c r="G233" s="14">
        <f t="shared" si="10"/>
        <v>2556.8333933995777</v>
      </c>
      <c r="H233">
        <f t="shared" si="11"/>
        <v>8.9511930820120877E-3</v>
      </c>
      <c r="I233"/>
      <c r="K233" s="38"/>
    </row>
    <row r="234" spans="1:11" x14ac:dyDescent="0.3">
      <c r="A234" s="16">
        <v>232</v>
      </c>
      <c r="B234" s="3">
        <v>45644</v>
      </c>
      <c r="C234" s="40">
        <v>5872.16</v>
      </c>
      <c r="D234" s="46">
        <f t="shared" si="9"/>
        <v>-2.9492894104891865E-2</v>
      </c>
      <c r="E234">
        <v>19752.509999999998</v>
      </c>
      <c r="F234">
        <v>7.7704000000000004</v>
      </c>
      <c r="G234" s="14">
        <f t="shared" si="10"/>
        <v>2542.019715844744</v>
      </c>
      <c r="H234">
        <f t="shared" si="11"/>
        <v>-5.7937594186132646E-3</v>
      </c>
      <c r="I234"/>
      <c r="K234" s="38"/>
    </row>
    <row r="235" spans="1:11" x14ac:dyDescent="0.3">
      <c r="A235" s="16">
        <v>233</v>
      </c>
      <c r="B235" s="3">
        <v>45645</v>
      </c>
      <c r="C235" s="40">
        <v>5867.08</v>
      </c>
      <c r="D235" s="46">
        <f t="shared" si="9"/>
        <v>-8.6509904362275236E-4</v>
      </c>
      <c r="E235">
        <v>19720.7</v>
      </c>
      <c r="F235">
        <v>7.7694999999999999</v>
      </c>
      <c r="G235" s="14">
        <f t="shared" si="10"/>
        <v>2538.219962674561</v>
      </c>
      <c r="H235">
        <f t="shared" si="11"/>
        <v>-1.4947772224183087E-3</v>
      </c>
      <c r="I235"/>
      <c r="K235" s="38"/>
    </row>
    <row r="236" spans="1:11" x14ac:dyDescent="0.3">
      <c r="A236" s="16">
        <v>234</v>
      </c>
      <c r="B236" s="3">
        <v>45646</v>
      </c>
      <c r="C236" s="40">
        <v>5930.85</v>
      </c>
      <c r="D236" s="46">
        <f t="shared" si="9"/>
        <v>1.0869120584686254E-2</v>
      </c>
      <c r="E236">
        <v>19883.13</v>
      </c>
      <c r="F236">
        <v>7.7750000000000004</v>
      </c>
      <c r="G236" s="14">
        <f t="shared" si="10"/>
        <v>2557.3157556270098</v>
      </c>
      <c r="H236">
        <f t="shared" si="11"/>
        <v>7.5233010665975986E-3</v>
      </c>
      <c r="I236"/>
      <c r="K236" s="38"/>
    </row>
    <row r="237" spans="1:11" x14ac:dyDescent="0.3">
      <c r="A237" s="16">
        <v>235</v>
      </c>
      <c r="B237" s="3">
        <v>45649</v>
      </c>
      <c r="C237" s="40">
        <v>5974.07</v>
      </c>
      <c r="D237" s="46">
        <f t="shared" si="9"/>
        <v>7.2873196927927264E-3</v>
      </c>
      <c r="E237">
        <v>20098.29</v>
      </c>
      <c r="F237">
        <v>7.7698999999999998</v>
      </c>
      <c r="G237" s="14">
        <f t="shared" si="10"/>
        <v>2586.6858003320508</v>
      </c>
      <c r="H237">
        <f t="shared" si="11"/>
        <v>1.1484715815955227E-2</v>
      </c>
      <c r="I237"/>
      <c r="K237" s="38"/>
    </row>
    <row r="238" spans="1:11" x14ac:dyDescent="0.3">
      <c r="A238" s="16">
        <v>236</v>
      </c>
      <c r="B238" s="3">
        <v>45650</v>
      </c>
      <c r="C238" s="40">
        <v>6040.04</v>
      </c>
      <c r="D238" s="46">
        <f t="shared" si="9"/>
        <v>1.1042722967758989E-2</v>
      </c>
      <c r="E238">
        <v>20090.46</v>
      </c>
      <c r="F238">
        <v>7.7672999999999996</v>
      </c>
      <c r="G238" s="14">
        <f t="shared" si="10"/>
        <v>2586.5435865744853</v>
      </c>
      <c r="H238">
        <f t="shared" si="11"/>
        <v>-5.4979138767952129E-5</v>
      </c>
      <c r="I238"/>
      <c r="K238" s="38"/>
    </row>
    <row r="239" spans="1:11" x14ac:dyDescent="0.3">
      <c r="A239" s="16">
        <v>237</v>
      </c>
      <c r="B239" s="3">
        <v>45652</v>
      </c>
      <c r="C239" s="40">
        <v>6037.59</v>
      </c>
      <c r="D239" s="46">
        <f t="shared" si="9"/>
        <v>-4.0562645280495246E-4</v>
      </c>
      <c r="E239">
        <v>20041.419999999998</v>
      </c>
      <c r="F239">
        <v>7.7618</v>
      </c>
      <c r="G239" s="14">
        <f t="shared" si="10"/>
        <v>2582.0582854492513</v>
      </c>
      <c r="H239">
        <f t="shared" si="11"/>
        <v>-1.7340906793587019E-3</v>
      </c>
      <c r="I239"/>
      <c r="K239" s="38"/>
    </row>
    <row r="240" spans="1:11" x14ac:dyDescent="0.3">
      <c r="A240" s="16">
        <v>238</v>
      </c>
      <c r="B240" s="3">
        <v>45653</v>
      </c>
      <c r="C240" s="40">
        <v>5970.84</v>
      </c>
      <c r="D240" s="46">
        <f t="shared" si="9"/>
        <v>-1.1055735815118317E-2</v>
      </c>
      <c r="E240">
        <v>20059.95</v>
      </c>
      <c r="F240">
        <v>7.7663000000000002</v>
      </c>
      <c r="G240" s="14">
        <f t="shared" si="10"/>
        <v>2582.9481220143439</v>
      </c>
      <c r="H240">
        <f t="shared" si="11"/>
        <v>3.4462295839987611E-4</v>
      </c>
      <c r="I240"/>
      <c r="K240" s="38"/>
    </row>
    <row r="241" spans="1:11" x14ac:dyDescent="0.3">
      <c r="A241" s="16">
        <v>239</v>
      </c>
      <c r="B241" s="3">
        <v>45656</v>
      </c>
      <c r="C241" s="40">
        <v>5906.94</v>
      </c>
      <c r="D241" s="46">
        <f t="shared" si="9"/>
        <v>-1.0702011777237508E-2</v>
      </c>
      <c r="E241">
        <v>19623.32</v>
      </c>
      <c r="F241">
        <v>7.7676999999999996</v>
      </c>
      <c r="G241" s="14">
        <f t="shared" si="10"/>
        <v>2526.27161193146</v>
      </c>
      <c r="H241">
        <f t="shared" si="11"/>
        <v>-2.1942566170738309E-2</v>
      </c>
      <c r="I241"/>
      <c r="K241" s="38"/>
    </row>
    <row r="242" spans="1:11" x14ac:dyDescent="0.3">
      <c r="A242" s="16">
        <v>240</v>
      </c>
      <c r="B242" s="3">
        <v>45657</v>
      </c>
      <c r="C242" s="40">
        <v>5881.63</v>
      </c>
      <c r="D242" s="46">
        <f t="shared" si="9"/>
        <v>-4.2847904329482711E-3</v>
      </c>
      <c r="E242">
        <v>19760.27</v>
      </c>
      <c r="F242">
        <v>7.7766999999999999</v>
      </c>
      <c r="G242" s="14">
        <f t="shared" si="10"/>
        <v>2540.9582470713799</v>
      </c>
      <c r="H242">
        <f t="shared" si="11"/>
        <v>5.8135614043064443E-3</v>
      </c>
      <c r="I242"/>
      <c r="K242" s="38"/>
    </row>
    <row r="243" spans="1:11" x14ac:dyDescent="0.3">
      <c r="A243" s="16">
        <v>241</v>
      </c>
      <c r="B243" s="3">
        <v>45659</v>
      </c>
      <c r="C243" s="40">
        <v>5868.55</v>
      </c>
      <c r="D243" s="46">
        <f t="shared" si="9"/>
        <v>-2.2238733140302891E-3</v>
      </c>
      <c r="E243">
        <v>19688.29</v>
      </c>
      <c r="F243">
        <v>7.7778999999999998</v>
      </c>
      <c r="G243" s="14">
        <f t="shared" si="10"/>
        <v>2531.311793671814</v>
      </c>
      <c r="H243">
        <f t="shared" si="11"/>
        <v>-3.7963840652179837E-3</v>
      </c>
      <c r="I243"/>
      <c r="K243" s="38"/>
    </row>
    <row r="244" spans="1:11" x14ac:dyDescent="0.3">
      <c r="A244" s="16">
        <v>242</v>
      </c>
      <c r="B244" s="3">
        <v>45660</v>
      </c>
      <c r="C244" s="40">
        <v>5942.47</v>
      </c>
      <c r="D244" s="46">
        <f t="shared" si="9"/>
        <v>1.2595956411720177E-2</v>
      </c>
      <c r="E244">
        <v>19447.580000000002</v>
      </c>
      <c r="F244">
        <v>7.7752999999999997</v>
      </c>
      <c r="G244" s="14">
        <f t="shared" si="10"/>
        <v>2501.1999536995359</v>
      </c>
      <c r="H244">
        <f t="shared" si="11"/>
        <v>-1.1895745141928704E-2</v>
      </c>
      <c r="I244"/>
      <c r="K244" s="38"/>
    </row>
    <row r="245" spans="1:11" x14ac:dyDescent="0.3">
      <c r="A245" s="16">
        <v>243</v>
      </c>
      <c r="B245" s="3">
        <v>45663</v>
      </c>
      <c r="C245" s="40">
        <v>5975.38</v>
      </c>
      <c r="D245" s="46">
        <f t="shared" si="9"/>
        <v>5.5381011599553442E-3</v>
      </c>
      <c r="E245">
        <v>19279.84</v>
      </c>
      <c r="F245">
        <v>7.7766999999999999</v>
      </c>
      <c r="G245" s="14">
        <f t="shared" si="10"/>
        <v>2479.1801149587873</v>
      </c>
      <c r="H245">
        <f t="shared" si="11"/>
        <v>-8.8037098786040158E-3</v>
      </c>
      <c r="I245"/>
      <c r="K245" s="38"/>
    </row>
    <row r="246" spans="1:11" x14ac:dyDescent="0.3">
      <c r="A246" s="16">
        <v>244</v>
      </c>
      <c r="B246" s="3">
        <v>45664</v>
      </c>
      <c r="C246" s="40">
        <v>5909.03</v>
      </c>
      <c r="D246" s="46">
        <f t="shared" si="9"/>
        <v>-1.1103896321238205E-2</v>
      </c>
      <c r="E246">
        <v>19240.89</v>
      </c>
      <c r="F246">
        <v>7.7781000000000002</v>
      </c>
      <c r="G246" s="14">
        <f t="shared" si="10"/>
        <v>2473.7262313418441</v>
      </c>
      <c r="H246">
        <f t="shared" si="11"/>
        <v>-2.1998738954204233E-3</v>
      </c>
      <c r="I246"/>
      <c r="K246" s="38"/>
    </row>
    <row r="247" spans="1:11" x14ac:dyDescent="0.3">
      <c r="A247" s="16">
        <v>245</v>
      </c>
      <c r="B247" s="3">
        <v>45665</v>
      </c>
      <c r="C247" s="40">
        <v>5918.25</v>
      </c>
      <c r="D247" s="46">
        <f t="shared" si="9"/>
        <v>1.5603237756451893E-3</v>
      </c>
      <c r="E247">
        <v>19064.29</v>
      </c>
      <c r="F247">
        <v>7.7824999999999998</v>
      </c>
      <c r="G247" s="14">
        <f t="shared" si="10"/>
        <v>2449.6357211692903</v>
      </c>
      <c r="H247">
        <f t="shared" si="11"/>
        <v>-9.7385514481471702E-3</v>
      </c>
      <c r="I247"/>
      <c r="K247" s="38"/>
    </row>
    <row r="248" spans="1:11" x14ac:dyDescent="0.3">
      <c r="A248" s="16">
        <v>246</v>
      </c>
      <c r="B248" s="3">
        <v>45667</v>
      </c>
      <c r="C248" s="40">
        <v>5827.04</v>
      </c>
      <c r="D248" s="46">
        <f t="shared" si="9"/>
        <v>-1.5411650403413191E-2</v>
      </c>
      <c r="E248">
        <v>18874.14</v>
      </c>
      <c r="F248">
        <v>7.7873000000000001</v>
      </c>
      <c r="G248" s="14">
        <f t="shared" si="10"/>
        <v>2423.7078319828438</v>
      </c>
      <c r="H248">
        <f t="shared" si="11"/>
        <v>-1.0584385654725081E-2</v>
      </c>
      <c r="I248"/>
      <c r="K248" s="38"/>
    </row>
    <row r="249" spans="1:11" x14ac:dyDescent="0.3">
      <c r="A249" s="16">
        <v>247</v>
      </c>
      <c r="B249" s="3">
        <v>45670</v>
      </c>
      <c r="C249" s="40">
        <v>5836.22</v>
      </c>
      <c r="D249" s="46">
        <f t="shared" si="9"/>
        <v>1.5754139322881056E-3</v>
      </c>
      <c r="E249">
        <v>19219.78</v>
      </c>
      <c r="F249">
        <v>7.7858000000000001</v>
      </c>
      <c r="G249" s="14">
        <f t="shared" si="10"/>
        <v>2468.5684194302448</v>
      </c>
      <c r="H249">
        <f t="shared" si="11"/>
        <v>1.8509073930210729E-2</v>
      </c>
      <c r="I249"/>
      <c r="K249" s="38"/>
    </row>
    <row r="250" spans="1:11" x14ac:dyDescent="0.3">
      <c r="A250" s="16">
        <v>248</v>
      </c>
      <c r="B250" s="3">
        <v>45671</v>
      </c>
      <c r="C250" s="40">
        <v>5842.91</v>
      </c>
      <c r="D250" s="46">
        <f t="shared" si="9"/>
        <v>1.146289893115604E-3</v>
      </c>
      <c r="E250">
        <v>19286.07</v>
      </c>
      <c r="F250">
        <v>7.7866</v>
      </c>
      <c r="G250" s="14">
        <f t="shared" si="10"/>
        <v>2476.828140651889</v>
      </c>
      <c r="H250">
        <f t="shared" si="11"/>
        <v>3.3459559624240409E-3</v>
      </c>
      <c r="I250"/>
      <c r="K250" s="38"/>
    </row>
    <row r="251" spans="1:11" x14ac:dyDescent="0.3">
      <c r="A251" s="16">
        <v>249</v>
      </c>
      <c r="B251" s="3">
        <v>45672</v>
      </c>
      <c r="C251" s="40">
        <v>5949.91</v>
      </c>
      <c r="D251" s="46">
        <f t="shared" si="9"/>
        <v>1.8312792769356268E-2</v>
      </c>
      <c r="E251">
        <v>19522.89</v>
      </c>
      <c r="F251">
        <v>7.7866999999999997</v>
      </c>
      <c r="G251" s="14">
        <f t="shared" si="10"/>
        <v>2507.2097294104051</v>
      </c>
      <c r="H251">
        <f t="shared" si="11"/>
        <v>1.2266328963187467E-2</v>
      </c>
      <c r="I251"/>
      <c r="K251" s="38"/>
    </row>
    <row r="252" spans="1:11" x14ac:dyDescent="0.3">
      <c r="A252" s="16">
        <v>250</v>
      </c>
      <c r="B252" s="3">
        <v>45673</v>
      </c>
      <c r="C252" s="40">
        <v>5937.34</v>
      </c>
      <c r="D252" s="46">
        <f t="shared" si="9"/>
        <v>-2.112636997870454E-3</v>
      </c>
      <c r="E252">
        <v>19584.060000000001</v>
      </c>
      <c r="F252">
        <v>7.7869999999999999</v>
      </c>
      <c r="G252" s="14">
        <f t="shared" si="10"/>
        <v>2514.9685373057664</v>
      </c>
      <c r="H252">
        <f t="shared" si="11"/>
        <v>3.0945986705253059E-3</v>
      </c>
      <c r="I252"/>
      <c r="K252" s="38"/>
    </row>
    <row r="253" spans="1:11" x14ac:dyDescent="0.3">
      <c r="A253" s="16">
        <v>251</v>
      </c>
      <c r="B253" s="3">
        <v>45674</v>
      </c>
      <c r="C253" s="40">
        <v>5996.66</v>
      </c>
      <c r="D253" s="46">
        <f t="shared" si="9"/>
        <v>9.9910060734267336E-3</v>
      </c>
      <c r="E253">
        <v>20106.55</v>
      </c>
      <c r="F253">
        <v>7.7858999999999998</v>
      </c>
      <c r="G253" s="14">
        <f t="shared" si="10"/>
        <v>2582.4310612774375</v>
      </c>
      <c r="H253">
        <f t="shared" si="11"/>
        <v>2.6824400771209067E-2</v>
      </c>
      <c r="I253"/>
      <c r="K253" s="38"/>
    </row>
    <row r="254" spans="1:11" x14ac:dyDescent="0.3">
      <c r="A254" s="16">
        <v>252</v>
      </c>
      <c r="B254" s="3">
        <v>45678</v>
      </c>
      <c r="C254" s="40">
        <v>6049.24</v>
      </c>
      <c r="D254" s="46">
        <f t="shared" si="9"/>
        <v>8.7682143059637507E-3</v>
      </c>
      <c r="E254">
        <v>19778.77</v>
      </c>
      <c r="F254">
        <v>7.7850999999999999</v>
      </c>
      <c r="G254" s="14">
        <f t="shared" si="10"/>
        <v>2540.5929275153821</v>
      </c>
      <c r="H254">
        <f t="shared" si="11"/>
        <v>-1.6201065108533586E-2</v>
      </c>
      <c r="I254"/>
      <c r="K254" s="38"/>
    </row>
    <row r="255" spans="1:11" x14ac:dyDescent="0.3">
      <c r="A255" s="16">
        <v>253</v>
      </c>
      <c r="B255" s="3">
        <v>45679</v>
      </c>
      <c r="C255" s="40">
        <v>6086.37</v>
      </c>
      <c r="D255" s="46">
        <f t="shared" si="9"/>
        <v>6.1379611323075789E-3</v>
      </c>
      <c r="E255">
        <v>19700.560000000001</v>
      </c>
      <c r="F255">
        <v>7.7884000000000002</v>
      </c>
      <c r="G255" s="14">
        <f t="shared" si="10"/>
        <v>2529.4746032561247</v>
      </c>
      <c r="H255">
        <f t="shared" si="11"/>
        <v>-4.3762714360268129E-3</v>
      </c>
      <c r="I255"/>
      <c r="K255" s="38"/>
    </row>
    <row r="256" spans="1:11" x14ac:dyDescent="0.3">
      <c r="A256" s="16">
        <v>254</v>
      </c>
      <c r="B256" s="3">
        <v>45680</v>
      </c>
      <c r="C256" s="40">
        <v>6118.71</v>
      </c>
      <c r="D256" s="46">
        <f t="shared" si="9"/>
        <v>5.31351199483443E-3</v>
      </c>
      <c r="E256">
        <v>20066.189999999999</v>
      </c>
      <c r="F256">
        <v>7.7892000000000001</v>
      </c>
      <c r="G256" s="14">
        <f t="shared" si="10"/>
        <v>2576.1554460021566</v>
      </c>
      <c r="H256">
        <f t="shared" si="11"/>
        <v>1.8454758425303419E-2</v>
      </c>
      <c r="I256"/>
      <c r="K256" s="38"/>
    </row>
    <row r="257" spans="1:11" x14ac:dyDescent="0.3">
      <c r="A257" s="16">
        <v>255</v>
      </c>
      <c r="B257" s="3">
        <v>45681</v>
      </c>
      <c r="C257" s="40">
        <v>6101.24</v>
      </c>
      <c r="D257" s="46">
        <f t="shared" si="9"/>
        <v>-2.8551769899211044E-3</v>
      </c>
      <c r="E257">
        <v>20197.77</v>
      </c>
      <c r="F257">
        <v>7.7869000000000002</v>
      </c>
      <c r="G257" s="14">
        <f t="shared" si="10"/>
        <v>2593.8139696156363</v>
      </c>
      <c r="H257">
        <f t="shared" si="11"/>
        <v>6.8546032968948012E-3</v>
      </c>
      <c r="I257"/>
      <c r="K257" s="38"/>
    </row>
    <row r="258" spans="1:11" x14ac:dyDescent="0.3">
      <c r="A258" s="16">
        <v>256</v>
      </c>
      <c r="B258" s="3">
        <v>45684</v>
      </c>
      <c r="C258" s="40">
        <v>6012.28</v>
      </c>
      <c r="D258" s="46">
        <f t="shared" si="9"/>
        <v>-1.45806426234667E-2</v>
      </c>
      <c r="E258">
        <v>20225.11</v>
      </c>
      <c r="F258">
        <v>7.7881</v>
      </c>
      <c r="G258" s="14">
        <f t="shared" si="10"/>
        <v>2596.9247955213723</v>
      </c>
      <c r="H258">
        <f t="shared" si="11"/>
        <v>1.1993249871335987E-3</v>
      </c>
      <c r="I258"/>
      <c r="K258" s="38"/>
    </row>
    <row r="259" spans="1:11" x14ac:dyDescent="0.3">
      <c r="A259" s="16">
        <v>257</v>
      </c>
      <c r="B259" s="3">
        <v>45691</v>
      </c>
      <c r="C259" s="40">
        <v>5994.57</v>
      </c>
      <c r="D259" s="46">
        <f t="shared" si="9"/>
        <v>-2.945637927707967E-3</v>
      </c>
      <c r="E259">
        <v>20217.259999999998</v>
      </c>
      <c r="F259">
        <v>7.7927</v>
      </c>
      <c r="G259" s="14">
        <f t="shared" si="10"/>
        <v>2594.3844880465049</v>
      </c>
      <c r="H259">
        <f t="shared" si="11"/>
        <v>-9.7819832104817372E-4</v>
      </c>
      <c r="I259"/>
      <c r="K259" s="38"/>
    </row>
    <row r="260" spans="1:11" x14ac:dyDescent="0.3">
      <c r="A260" s="16">
        <v>258</v>
      </c>
      <c r="B260" s="3">
        <v>45692</v>
      </c>
      <c r="C260" s="40">
        <v>6037.88</v>
      </c>
      <c r="D260" s="46">
        <f t="shared" ref="D260:D317" si="12">$C260/$C259-1</f>
        <v>7.2248718423506553E-3</v>
      </c>
      <c r="E260">
        <v>20789.96</v>
      </c>
      <c r="F260">
        <v>7.7869000000000002</v>
      </c>
      <c r="G260" s="14">
        <f t="shared" ref="G260:G317" si="13">E260/F260</f>
        <v>2669.8634886797054</v>
      </c>
      <c r="H260">
        <f t="shared" ref="H260:H317" si="14">$G260/$G259-1</f>
        <v>2.9093220754659255E-2</v>
      </c>
      <c r="I260"/>
      <c r="K260" s="38"/>
    </row>
    <row r="261" spans="1:11" x14ac:dyDescent="0.3">
      <c r="A261" s="16">
        <v>259</v>
      </c>
      <c r="B261" s="3">
        <v>45693</v>
      </c>
      <c r="C261" s="40">
        <v>6061.48</v>
      </c>
      <c r="D261" s="46">
        <f t="shared" si="12"/>
        <v>3.9086566808217427E-3</v>
      </c>
      <c r="E261">
        <v>20597.09</v>
      </c>
      <c r="F261">
        <v>7.7864000000000004</v>
      </c>
      <c r="G261" s="14">
        <f t="shared" si="13"/>
        <v>2645.2648207130378</v>
      </c>
      <c r="H261">
        <f t="shared" si="14"/>
        <v>-9.2134553212052106E-3</v>
      </c>
      <c r="I261"/>
      <c r="K261" s="38"/>
    </row>
    <row r="262" spans="1:11" x14ac:dyDescent="0.3">
      <c r="A262" s="16">
        <v>260</v>
      </c>
      <c r="B262" s="3">
        <v>45694</v>
      </c>
      <c r="C262" s="40">
        <v>6083.57</v>
      </c>
      <c r="D262" s="46">
        <f t="shared" si="12"/>
        <v>3.64432448840879E-3</v>
      </c>
      <c r="E262">
        <v>20891.62</v>
      </c>
      <c r="F262">
        <v>7.7862999999999998</v>
      </c>
      <c r="G262" s="14">
        <f t="shared" si="13"/>
        <v>2683.1254896420637</v>
      </c>
      <c r="H262">
        <f t="shared" si="14"/>
        <v>1.4312619527756976E-2</v>
      </c>
      <c r="I262"/>
      <c r="K262" s="38"/>
    </row>
    <row r="263" spans="1:11" x14ac:dyDescent="0.3">
      <c r="A263" s="16">
        <v>261</v>
      </c>
      <c r="B263" s="3">
        <v>45695</v>
      </c>
      <c r="C263" s="40">
        <v>6025.99</v>
      </c>
      <c r="D263" s="46">
        <f t="shared" si="12"/>
        <v>-9.464837258386094E-3</v>
      </c>
      <c r="E263">
        <v>21133.54</v>
      </c>
      <c r="F263">
        <v>7.7906000000000004</v>
      </c>
      <c r="G263" s="14">
        <f t="shared" si="13"/>
        <v>2712.6973532205479</v>
      </c>
      <c r="H263">
        <f t="shared" si="14"/>
        <v>1.1021423967176869E-2</v>
      </c>
      <c r="I263"/>
      <c r="K263" s="38"/>
    </row>
    <row r="264" spans="1:11" x14ac:dyDescent="0.3">
      <c r="A264" s="16">
        <v>262</v>
      </c>
      <c r="B264" s="3">
        <v>45698</v>
      </c>
      <c r="C264" s="40">
        <v>6066.44</v>
      </c>
      <c r="D264" s="46">
        <f t="shared" si="12"/>
        <v>6.712589964470439E-3</v>
      </c>
      <c r="E264">
        <v>21521.98</v>
      </c>
      <c r="F264">
        <v>7.7885999999999997</v>
      </c>
      <c r="G264" s="14">
        <f t="shared" si="13"/>
        <v>2763.2668258737131</v>
      </c>
      <c r="H264">
        <f t="shared" si="14"/>
        <v>1.8641767240686891E-2</v>
      </c>
      <c r="I264"/>
      <c r="K264" s="38"/>
    </row>
    <row r="265" spans="1:11" x14ac:dyDescent="0.3">
      <c r="A265" s="16">
        <v>263</v>
      </c>
      <c r="B265" s="3">
        <v>45699</v>
      </c>
      <c r="C265" s="40">
        <v>6068.5</v>
      </c>
      <c r="D265" s="46">
        <f t="shared" si="12"/>
        <v>3.3957312690802155E-4</v>
      </c>
      <c r="E265">
        <v>21294.86</v>
      </c>
      <c r="F265">
        <v>7.7916999999999996</v>
      </c>
      <c r="G265" s="14">
        <f t="shared" si="13"/>
        <v>2733.0184683701891</v>
      </c>
      <c r="H265">
        <f t="shared" si="14"/>
        <v>-1.0946593076099242E-2</v>
      </c>
      <c r="I265"/>
      <c r="K265" s="38"/>
    </row>
    <row r="266" spans="1:11" x14ac:dyDescent="0.3">
      <c r="A266" s="16">
        <v>264</v>
      </c>
      <c r="B266" s="3">
        <v>45700</v>
      </c>
      <c r="C266" s="40">
        <v>6051.97</v>
      </c>
      <c r="D266" s="46">
        <f t="shared" si="12"/>
        <v>-2.7239021174919609E-3</v>
      </c>
      <c r="E266">
        <v>21857.919999999998</v>
      </c>
      <c r="F266">
        <v>7.7896999999999998</v>
      </c>
      <c r="G266" s="14">
        <f t="shared" si="13"/>
        <v>2806.0027985673387</v>
      </c>
      <c r="H266">
        <f t="shared" si="14"/>
        <v>2.6704660448442885E-2</v>
      </c>
      <c r="I266"/>
      <c r="K266" s="38"/>
    </row>
    <row r="267" spans="1:11" x14ac:dyDescent="0.3">
      <c r="A267" s="16">
        <v>265</v>
      </c>
      <c r="B267" s="3">
        <v>45701</v>
      </c>
      <c r="C267" s="40">
        <v>6115.07</v>
      </c>
      <c r="D267" s="46">
        <f t="shared" si="12"/>
        <v>1.0426357037460532E-2</v>
      </c>
      <c r="E267">
        <v>21814.37</v>
      </c>
      <c r="F267">
        <v>7.7881999999999998</v>
      </c>
      <c r="G267" s="14">
        <f t="shared" si="13"/>
        <v>2800.9514393569757</v>
      </c>
      <c r="H267">
        <f t="shared" si="14"/>
        <v>-1.8001974955057509E-3</v>
      </c>
      <c r="I267"/>
      <c r="K267" s="38"/>
    </row>
    <row r="268" spans="1:11" x14ac:dyDescent="0.3">
      <c r="A268" s="16">
        <v>266</v>
      </c>
      <c r="B268" s="3">
        <v>45702</v>
      </c>
      <c r="C268" s="40">
        <v>6114.63</v>
      </c>
      <c r="D268" s="46">
        <f t="shared" si="12"/>
        <v>-7.195338728738232E-5</v>
      </c>
      <c r="E268">
        <v>22620.33</v>
      </c>
      <c r="F268">
        <v>7.7842000000000002</v>
      </c>
      <c r="G268" s="14">
        <f t="shared" si="13"/>
        <v>2905.9286760360733</v>
      </c>
      <c r="H268">
        <f t="shared" si="14"/>
        <v>3.7479134841122974E-2</v>
      </c>
      <c r="I268"/>
      <c r="K268" s="38"/>
    </row>
    <row r="269" spans="1:11" x14ac:dyDescent="0.3">
      <c r="A269" s="16">
        <v>267</v>
      </c>
      <c r="B269" s="3">
        <v>45706</v>
      </c>
      <c r="C269" s="40">
        <v>6129.58</v>
      </c>
      <c r="D269" s="46">
        <f t="shared" si="12"/>
        <v>2.4449557863681637E-3</v>
      </c>
      <c r="E269">
        <v>22976.81</v>
      </c>
      <c r="F269">
        <v>7.7744999999999997</v>
      </c>
      <c r="G269" s="14">
        <f t="shared" si="13"/>
        <v>2955.4067785709694</v>
      </c>
      <c r="H269">
        <f t="shared" si="14"/>
        <v>1.7026605966939501E-2</v>
      </c>
      <c r="I269"/>
      <c r="K269" s="38"/>
    </row>
    <row r="270" spans="1:11" x14ac:dyDescent="0.3">
      <c r="A270" s="16">
        <v>268</v>
      </c>
      <c r="B270" s="3">
        <v>45707</v>
      </c>
      <c r="C270" s="40">
        <v>6144.15</v>
      </c>
      <c r="D270" s="46">
        <f t="shared" si="12"/>
        <v>2.3769980977488281E-3</v>
      </c>
      <c r="E270">
        <v>22944.240000000002</v>
      </c>
      <c r="F270">
        <v>7.7770000000000001</v>
      </c>
      <c r="G270" s="14">
        <f t="shared" si="13"/>
        <v>2950.2687411598304</v>
      </c>
      <c r="H270">
        <f t="shared" si="14"/>
        <v>-1.7385212243519188E-3</v>
      </c>
      <c r="I270"/>
      <c r="K270" s="38"/>
    </row>
    <row r="271" spans="1:11" x14ac:dyDescent="0.3">
      <c r="A271" s="16">
        <v>269</v>
      </c>
      <c r="B271" s="3">
        <v>45708</v>
      </c>
      <c r="C271" s="40">
        <v>6117.52</v>
      </c>
      <c r="D271" s="46">
        <f t="shared" si="12"/>
        <v>-4.3342040803039383E-3</v>
      </c>
      <c r="E271">
        <v>22576.98</v>
      </c>
      <c r="F271">
        <v>7.7763</v>
      </c>
      <c r="G271" s="14">
        <f t="shared" si="13"/>
        <v>2903.3061996064966</v>
      </c>
      <c r="H271">
        <f t="shared" si="14"/>
        <v>-1.5918055497165184E-2</v>
      </c>
      <c r="I271"/>
      <c r="K271" s="38"/>
    </row>
    <row r="272" spans="1:11" x14ac:dyDescent="0.3">
      <c r="A272" s="16">
        <v>270</v>
      </c>
      <c r="B272" s="3">
        <v>45709</v>
      </c>
      <c r="C272" s="40">
        <v>6013.13</v>
      </c>
      <c r="D272" s="46">
        <f t="shared" si="12"/>
        <v>-1.70641044083224E-2</v>
      </c>
      <c r="E272">
        <v>23477.919999999998</v>
      </c>
      <c r="F272">
        <v>7.7694999999999999</v>
      </c>
      <c r="G272" s="14">
        <f t="shared" si="13"/>
        <v>3021.8057790076582</v>
      </c>
      <c r="H272">
        <f t="shared" si="14"/>
        <v>4.0815391575722337E-2</v>
      </c>
      <c r="I272"/>
      <c r="K272" s="38"/>
    </row>
    <row r="273" spans="1:11" x14ac:dyDescent="0.3">
      <c r="A273" s="16">
        <v>271</v>
      </c>
      <c r="B273" s="3">
        <v>45712</v>
      </c>
      <c r="C273" s="40">
        <v>5983.25</v>
      </c>
      <c r="D273" s="46">
        <f t="shared" si="12"/>
        <v>-4.9691258961639395E-3</v>
      </c>
      <c r="E273">
        <v>23341.61</v>
      </c>
      <c r="F273">
        <v>7.7748999999999997</v>
      </c>
      <c r="G273" s="14">
        <f t="shared" si="13"/>
        <v>3002.1749475877505</v>
      </c>
      <c r="H273">
        <f t="shared" si="14"/>
        <v>-6.4963908522123193E-3</v>
      </c>
      <c r="I273"/>
      <c r="K273" s="38"/>
    </row>
    <row r="274" spans="1:11" x14ac:dyDescent="0.3">
      <c r="A274" s="16">
        <v>272</v>
      </c>
      <c r="B274" s="3">
        <v>45713</v>
      </c>
      <c r="C274" s="40">
        <v>5955.25</v>
      </c>
      <c r="D274" s="46">
        <f t="shared" si="12"/>
        <v>-4.6797309154723576E-3</v>
      </c>
      <c r="E274">
        <v>23034.02</v>
      </c>
      <c r="F274">
        <v>7.7736999999999998</v>
      </c>
      <c r="G274" s="14">
        <f t="shared" si="13"/>
        <v>2963.0703525991485</v>
      </c>
      <c r="H274">
        <f t="shared" si="14"/>
        <v>-1.302542179296462E-2</v>
      </c>
      <c r="I274"/>
      <c r="K274" s="38"/>
    </row>
    <row r="275" spans="1:11" x14ac:dyDescent="0.3">
      <c r="A275" s="16">
        <v>273</v>
      </c>
      <c r="B275" s="3">
        <v>45714</v>
      </c>
      <c r="C275" s="40">
        <v>5956.06</v>
      </c>
      <c r="D275" s="46">
        <f t="shared" si="12"/>
        <v>1.3601444103938931E-4</v>
      </c>
      <c r="E275">
        <v>23787.93</v>
      </c>
      <c r="F275">
        <v>7.7739000000000003</v>
      </c>
      <c r="G275" s="14">
        <f t="shared" si="13"/>
        <v>3059.973758345232</v>
      </c>
      <c r="H275">
        <f t="shared" si="14"/>
        <v>3.2703714125815964E-2</v>
      </c>
      <c r="I275"/>
      <c r="K275" s="38"/>
    </row>
    <row r="276" spans="1:11" x14ac:dyDescent="0.3">
      <c r="A276" s="16">
        <v>274</v>
      </c>
      <c r="B276" s="3">
        <v>45715</v>
      </c>
      <c r="C276" s="40">
        <v>5861.57</v>
      </c>
      <c r="D276" s="46">
        <f t="shared" si="12"/>
        <v>-1.586451446090209E-2</v>
      </c>
      <c r="E276">
        <v>23718.29</v>
      </c>
      <c r="F276">
        <v>7.7774000000000001</v>
      </c>
      <c r="G276" s="14">
        <f t="shared" si="13"/>
        <v>3049.642554066912</v>
      </c>
      <c r="H276">
        <f t="shared" si="14"/>
        <v>-3.3762395021017522E-3</v>
      </c>
      <c r="I276"/>
      <c r="K276" s="38"/>
    </row>
    <row r="277" spans="1:11" x14ac:dyDescent="0.3">
      <c r="A277" s="16">
        <v>275</v>
      </c>
      <c r="B277" s="3">
        <v>45716</v>
      </c>
      <c r="C277" s="40">
        <v>5954.5</v>
      </c>
      <c r="D277" s="46">
        <f t="shared" si="12"/>
        <v>1.5854114170776867E-2</v>
      </c>
      <c r="E277">
        <v>22941.32</v>
      </c>
      <c r="F277">
        <v>7.7782999999999998</v>
      </c>
      <c r="G277" s="14">
        <f t="shared" si="13"/>
        <v>2949.4002545543372</v>
      </c>
      <c r="H277">
        <f t="shared" si="14"/>
        <v>-3.2870179942529609E-2</v>
      </c>
      <c r="I277"/>
      <c r="K277" s="38"/>
    </row>
    <row r="278" spans="1:11" x14ac:dyDescent="0.3">
      <c r="A278" s="16">
        <v>276</v>
      </c>
      <c r="B278" s="3">
        <v>45719</v>
      </c>
      <c r="C278" s="40">
        <v>5849.72</v>
      </c>
      <c r="D278" s="46">
        <f t="shared" si="12"/>
        <v>-1.7596775547904953E-2</v>
      </c>
      <c r="E278">
        <v>23006.27</v>
      </c>
      <c r="F278">
        <v>7.7767999999999997</v>
      </c>
      <c r="G278" s="14">
        <f t="shared" si="13"/>
        <v>2958.3209031992596</v>
      </c>
      <c r="H278">
        <f t="shared" si="14"/>
        <v>3.0245635976831053E-3</v>
      </c>
      <c r="I278"/>
      <c r="K278" s="38"/>
    </row>
    <row r="279" spans="1:11" x14ac:dyDescent="0.3">
      <c r="A279" s="16">
        <v>277</v>
      </c>
      <c r="B279" s="3">
        <v>45720</v>
      </c>
      <c r="C279" s="40">
        <v>5778.15</v>
      </c>
      <c r="D279" s="46">
        <f t="shared" si="12"/>
        <v>-1.2234773630190987E-2</v>
      </c>
      <c r="E279">
        <v>22941.77</v>
      </c>
      <c r="F279">
        <v>7.7713999999999999</v>
      </c>
      <c r="G279" s="14">
        <f t="shared" si="13"/>
        <v>2952.0768458707571</v>
      </c>
      <c r="H279">
        <f t="shared" si="14"/>
        <v>-2.1106761344754643E-3</v>
      </c>
      <c r="I279"/>
      <c r="K279" s="38"/>
    </row>
    <row r="280" spans="1:11" x14ac:dyDescent="0.3">
      <c r="A280" s="16">
        <v>278</v>
      </c>
      <c r="B280" s="3">
        <v>45721</v>
      </c>
      <c r="C280" s="40">
        <v>5842.63</v>
      </c>
      <c r="D280" s="46">
        <f t="shared" si="12"/>
        <v>1.1159281084776262E-2</v>
      </c>
      <c r="E280">
        <v>23594.21</v>
      </c>
      <c r="F280">
        <v>7.7706999999999997</v>
      </c>
      <c r="G280" s="14">
        <f t="shared" si="13"/>
        <v>3036.3043226478953</v>
      </c>
      <c r="H280">
        <f t="shared" si="14"/>
        <v>2.853160035279978E-2</v>
      </c>
      <c r="I280"/>
      <c r="K280" s="38"/>
    </row>
    <row r="281" spans="1:11" x14ac:dyDescent="0.3">
      <c r="A281" s="16">
        <v>279</v>
      </c>
      <c r="B281" s="3">
        <v>45722</v>
      </c>
      <c r="C281" s="40">
        <v>5738.52</v>
      </c>
      <c r="D281" s="46">
        <f t="shared" si="12"/>
        <v>-1.7819030128555013E-2</v>
      </c>
      <c r="E281">
        <v>24369.71</v>
      </c>
      <c r="F281">
        <v>7.7718999999999996</v>
      </c>
      <c r="G281" s="14">
        <f t="shared" si="13"/>
        <v>3135.6180599338645</v>
      </c>
      <c r="H281">
        <f t="shared" si="14"/>
        <v>3.2708756018026586E-2</v>
      </c>
      <c r="I281"/>
      <c r="K281" s="38"/>
    </row>
    <row r="282" spans="1:11" x14ac:dyDescent="0.3">
      <c r="A282" s="16">
        <v>280</v>
      </c>
      <c r="B282" s="3">
        <v>45723</v>
      </c>
      <c r="C282" s="40">
        <v>5770.2</v>
      </c>
      <c r="D282" s="46">
        <f t="shared" si="12"/>
        <v>5.5205871897281433E-3</v>
      </c>
      <c r="E282">
        <v>24231.3</v>
      </c>
      <c r="F282">
        <v>7.7701000000000002</v>
      </c>
      <c r="G282" s="14">
        <f t="shared" si="13"/>
        <v>3118.5312930335517</v>
      </c>
      <c r="H282">
        <f t="shared" si="14"/>
        <v>-5.4492500597069782E-3</v>
      </c>
      <c r="I282"/>
      <c r="K282" s="38"/>
    </row>
    <row r="283" spans="1:11" x14ac:dyDescent="0.3">
      <c r="A283" s="16">
        <v>281</v>
      </c>
      <c r="B283" s="3">
        <v>45726</v>
      </c>
      <c r="C283" s="40">
        <v>5614.56</v>
      </c>
      <c r="D283" s="46">
        <f t="shared" si="12"/>
        <v>-2.6973068524487775E-2</v>
      </c>
      <c r="E283">
        <v>23783.49</v>
      </c>
      <c r="F283">
        <v>7.7683999999999997</v>
      </c>
      <c r="G283" s="14">
        <f t="shared" si="13"/>
        <v>3061.5686627877044</v>
      </c>
      <c r="H283">
        <f t="shared" si="14"/>
        <v>-1.8265851740239203E-2</v>
      </c>
      <c r="I283"/>
      <c r="K283" s="38"/>
    </row>
    <row r="284" spans="1:11" x14ac:dyDescent="0.3">
      <c r="A284" s="16">
        <v>282</v>
      </c>
      <c r="B284" s="3">
        <v>45727</v>
      </c>
      <c r="C284" s="40">
        <v>5572.07</v>
      </c>
      <c r="D284" s="46">
        <f t="shared" si="12"/>
        <v>-7.5678236584880709E-3</v>
      </c>
      <c r="E284">
        <v>23782.14</v>
      </c>
      <c r="F284">
        <v>7.7704000000000004</v>
      </c>
      <c r="G284" s="14">
        <f t="shared" si="13"/>
        <v>3060.6069185627507</v>
      </c>
      <c r="H284">
        <f t="shared" si="14"/>
        <v>-3.1413446206296491E-4</v>
      </c>
      <c r="I284"/>
      <c r="K284" s="38"/>
    </row>
    <row r="285" spans="1:11" x14ac:dyDescent="0.3">
      <c r="A285" s="16">
        <v>283</v>
      </c>
      <c r="B285" s="3">
        <v>45728</v>
      </c>
      <c r="C285" s="40">
        <v>5599.3</v>
      </c>
      <c r="D285" s="46">
        <f t="shared" si="12"/>
        <v>4.8868732804865367E-3</v>
      </c>
      <c r="E285">
        <v>23600.31</v>
      </c>
      <c r="F285">
        <v>7.7690999999999999</v>
      </c>
      <c r="G285" s="14">
        <f t="shared" si="13"/>
        <v>3037.714793219292</v>
      </c>
      <c r="H285">
        <f t="shared" si="14"/>
        <v>-7.4796032135380219E-3</v>
      </c>
      <c r="I285"/>
      <c r="K285" s="38"/>
    </row>
    <row r="286" spans="1:11" x14ac:dyDescent="0.3">
      <c r="A286" s="16">
        <v>284</v>
      </c>
      <c r="B286" s="3">
        <v>45729</v>
      </c>
      <c r="C286" s="40">
        <v>5521.52</v>
      </c>
      <c r="D286" s="46">
        <f t="shared" si="12"/>
        <v>-1.3891022092047178E-2</v>
      </c>
      <c r="E286">
        <v>23462.65</v>
      </c>
      <c r="F286">
        <v>7.7717000000000001</v>
      </c>
      <c r="G286" s="14">
        <f t="shared" si="13"/>
        <v>3018.9855501370357</v>
      </c>
      <c r="H286">
        <f t="shared" si="14"/>
        <v>-6.16556996201989E-3</v>
      </c>
      <c r="I286"/>
      <c r="K286" s="38"/>
    </row>
    <row r="287" spans="1:11" x14ac:dyDescent="0.3">
      <c r="A287" s="16">
        <v>285</v>
      </c>
      <c r="B287" s="3">
        <v>45730</v>
      </c>
      <c r="C287" s="40">
        <v>5638.94</v>
      </c>
      <c r="D287" s="46">
        <f t="shared" si="12"/>
        <v>2.1265883307494793E-2</v>
      </c>
      <c r="E287">
        <v>23959.98</v>
      </c>
      <c r="F287">
        <v>7.7728000000000002</v>
      </c>
      <c r="G287" s="14">
        <f t="shared" si="13"/>
        <v>3082.5416838205019</v>
      </c>
      <c r="H287">
        <f t="shared" si="14"/>
        <v>2.1052149017600108E-2</v>
      </c>
      <c r="I287"/>
      <c r="K287" s="38"/>
    </row>
    <row r="288" spans="1:11" x14ac:dyDescent="0.3">
      <c r="A288" s="16">
        <v>286</v>
      </c>
      <c r="B288" s="3">
        <v>45733</v>
      </c>
      <c r="C288" s="40">
        <v>5675.12</v>
      </c>
      <c r="D288" s="46">
        <f t="shared" si="12"/>
        <v>6.4160994796895743E-3</v>
      </c>
      <c r="E288">
        <v>24145.57</v>
      </c>
      <c r="F288">
        <v>7.7694999999999999</v>
      </c>
      <c r="G288" s="14">
        <f t="shared" si="13"/>
        <v>3107.7379496750114</v>
      </c>
      <c r="H288">
        <f t="shared" si="14"/>
        <v>8.1738605472096992E-3</v>
      </c>
      <c r="I288"/>
      <c r="K288" s="38"/>
    </row>
    <row r="289" spans="1:11" x14ac:dyDescent="0.3">
      <c r="A289" s="16">
        <v>287</v>
      </c>
      <c r="B289" s="3">
        <v>45734</v>
      </c>
      <c r="C289" s="40">
        <v>5614.66</v>
      </c>
      <c r="D289" s="46">
        <f t="shared" si="12"/>
        <v>-1.0653519220738983E-2</v>
      </c>
      <c r="E289">
        <v>24740.57</v>
      </c>
      <c r="F289">
        <v>7.7690999999999999</v>
      </c>
      <c r="G289" s="14">
        <f t="shared" si="13"/>
        <v>3184.4834021958786</v>
      </c>
      <c r="H289">
        <f t="shared" si="14"/>
        <v>2.4694956191172013E-2</v>
      </c>
      <c r="I289"/>
      <c r="K289" s="38"/>
    </row>
    <row r="290" spans="1:11" x14ac:dyDescent="0.3">
      <c r="A290" s="16">
        <v>288</v>
      </c>
      <c r="B290" s="3">
        <v>45735</v>
      </c>
      <c r="C290" s="40">
        <v>5675.29</v>
      </c>
      <c r="D290" s="46">
        <f t="shared" si="12"/>
        <v>1.0798516740105457E-2</v>
      </c>
      <c r="E290">
        <v>24771.14</v>
      </c>
      <c r="F290">
        <v>7.7706999999999997</v>
      </c>
      <c r="G290" s="14">
        <f t="shared" si="13"/>
        <v>3187.7617203083378</v>
      </c>
      <c r="H290">
        <f t="shared" si="14"/>
        <v>1.029466226829312E-3</v>
      </c>
      <c r="I290"/>
      <c r="K290" s="38"/>
    </row>
    <row r="291" spans="1:11" x14ac:dyDescent="0.3">
      <c r="A291" s="16">
        <v>289</v>
      </c>
      <c r="B291" s="3">
        <v>45736</v>
      </c>
      <c r="C291" s="40">
        <v>5662.89</v>
      </c>
      <c r="D291" s="46">
        <f t="shared" si="12"/>
        <v>-2.1849103746239829E-3</v>
      </c>
      <c r="E291">
        <v>24219.95</v>
      </c>
      <c r="F291">
        <v>7.7725999999999997</v>
      </c>
      <c r="G291" s="14">
        <f t="shared" si="13"/>
        <v>3116.067982399712</v>
      </c>
      <c r="H291">
        <f t="shared" si="14"/>
        <v>-2.2490306427825235E-2</v>
      </c>
      <c r="I291"/>
      <c r="K291" s="38"/>
    </row>
    <row r="292" spans="1:11" x14ac:dyDescent="0.3">
      <c r="A292" s="16">
        <v>290</v>
      </c>
      <c r="B292" s="3">
        <v>45737</v>
      </c>
      <c r="C292" s="40">
        <v>5667.56</v>
      </c>
      <c r="D292" s="46">
        <f t="shared" si="12"/>
        <v>8.2466726353502828E-4</v>
      </c>
      <c r="E292">
        <v>23689.72</v>
      </c>
      <c r="F292">
        <v>7.7732999999999999</v>
      </c>
      <c r="G292" s="14">
        <f t="shared" si="13"/>
        <v>3047.575675710445</v>
      </c>
      <c r="H292">
        <f t="shared" si="14"/>
        <v>-2.1980363418297566E-2</v>
      </c>
      <c r="I292"/>
      <c r="K292" s="38"/>
    </row>
    <row r="293" spans="1:11" x14ac:dyDescent="0.3">
      <c r="A293" s="16">
        <v>291</v>
      </c>
      <c r="B293" s="3">
        <v>45740</v>
      </c>
      <c r="C293" s="40">
        <v>5767.57</v>
      </c>
      <c r="D293" s="46">
        <f t="shared" si="12"/>
        <v>1.7646041682840563E-2</v>
      </c>
      <c r="E293">
        <v>23905.56</v>
      </c>
      <c r="F293">
        <v>7.7742000000000004</v>
      </c>
      <c r="G293" s="14">
        <f t="shared" si="13"/>
        <v>3074.9864937871421</v>
      </c>
      <c r="H293">
        <f t="shared" si="14"/>
        <v>8.9943026830030526E-3</v>
      </c>
      <c r="I293"/>
      <c r="K293" s="38"/>
    </row>
    <row r="294" spans="1:11" x14ac:dyDescent="0.3">
      <c r="A294" s="16">
        <v>292</v>
      </c>
      <c r="B294" s="3">
        <v>45741</v>
      </c>
      <c r="C294" s="40">
        <v>5776.65</v>
      </c>
      <c r="D294" s="46">
        <f t="shared" si="12"/>
        <v>1.5743198608773046E-3</v>
      </c>
      <c r="E294">
        <v>23344.25</v>
      </c>
      <c r="F294">
        <v>7.7747000000000002</v>
      </c>
      <c r="G294" s="14">
        <f t="shared" si="13"/>
        <v>3002.5917398742072</v>
      </c>
      <c r="H294">
        <f t="shared" si="14"/>
        <v>-2.354311281015542E-2</v>
      </c>
      <c r="I294"/>
      <c r="K294" s="38"/>
    </row>
    <row r="295" spans="1:11" x14ac:dyDescent="0.3">
      <c r="A295" s="16">
        <v>293</v>
      </c>
      <c r="B295" s="3">
        <v>45742</v>
      </c>
      <c r="C295" s="40">
        <v>5712.2</v>
      </c>
      <c r="D295" s="46">
        <f t="shared" si="12"/>
        <v>-1.115698545004451E-2</v>
      </c>
      <c r="E295">
        <v>23483.32</v>
      </c>
      <c r="F295">
        <v>7.7760999999999996</v>
      </c>
      <c r="G295" s="14">
        <f t="shared" si="13"/>
        <v>3019.9354432170371</v>
      </c>
      <c r="H295">
        <f t="shared" si="14"/>
        <v>5.7762442734077268E-3</v>
      </c>
      <c r="I295"/>
      <c r="K295" s="38"/>
    </row>
    <row r="296" spans="1:11" x14ac:dyDescent="0.3">
      <c r="A296" s="16">
        <v>294</v>
      </c>
      <c r="B296" s="3">
        <v>45743</v>
      </c>
      <c r="C296" s="40">
        <v>5693.31</v>
      </c>
      <c r="D296" s="46">
        <f t="shared" si="12"/>
        <v>-3.3069570393192693E-3</v>
      </c>
      <c r="E296">
        <v>23578.799999999999</v>
      </c>
      <c r="F296">
        <v>7.7754000000000003</v>
      </c>
      <c r="G296" s="14">
        <f t="shared" si="13"/>
        <v>3032.4870746199549</v>
      </c>
      <c r="H296">
        <f t="shared" si="14"/>
        <v>4.1562581846275037E-3</v>
      </c>
      <c r="I296"/>
      <c r="K296" s="38"/>
    </row>
    <row r="297" spans="1:11" x14ac:dyDescent="0.3">
      <c r="A297" s="16">
        <v>295</v>
      </c>
      <c r="B297" s="3">
        <v>45744</v>
      </c>
      <c r="C297" s="40">
        <v>5580.94</v>
      </c>
      <c r="D297" s="46">
        <f t="shared" si="12"/>
        <v>-1.9737200328104554E-2</v>
      </c>
      <c r="E297">
        <v>23426.6</v>
      </c>
      <c r="F297">
        <v>7.7778</v>
      </c>
      <c r="G297" s="14">
        <f t="shared" si="13"/>
        <v>3011.98282290622</v>
      </c>
      <c r="H297">
        <f t="shared" si="14"/>
        <v>-6.7615297968927068E-3</v>
      </c>
      <c r="I297"/>
      <c r="K297" s="38"/>
    </row>
    <row r="298" spans="1:11" x14ac:dyDescent="0.3">
      <c r="A298" s="16">
        <v>296</v>
      </c>
      <c r="B298" s="3">
        <v>45747</v>
      </c>
      <c r="C298" s="40">
        <v>5611.85</v>
      </c>
      <c r="D298" s="46">
        <f t="shared" si="12"/>
        <v>5.5384935154294546E-3</v>
      </c>
      <c r="E298">
        <v>23119.58</v>
      </c>
      <c r="F298">
        <v>7.7801999999999998</v>
      </c>
      <c r="G298" s="14">
        <f t="shared" si="13"/>
        <v>2971.5919899231385</v>
      </c>
      <c r="H298">
        <f t="shared" si="14"/>
        <v>-1.3410047585898588E-2</v>
      </c>
      <c r="I298"/>
      <c r="K298" s="38"/>
    </row>
    <row r="299" spans="1:11" x14ac:dyDescent="0.3">
      <c r="A299" s="16">
        <v>297</v>
      </c>
      <c r="B299" s="3">
        <v>45748</v>
      </c>
      <c r="C299" s="40">
        <v>5633.07</v>
      </c>
      <c r="D299" s="46">
        <f t="shared" si="12"/>
        <v>3.7812842467277452E-3</v>
      </c>
      <c r="E299">
        <v>23206.84</v>
      </c>
      <c r="F299">
        <v>7.7808999999999999</v>
      </c>
      <c r="G299" s="14">
        <f t="shared" si="13"/>
        <v>2982.5392949401739</v>
      </c>
      <c r="H299">
        <f t="shared" si="14"/>
        <v>3.6839865816566952E-3</v>
      </c>
      <c r="I299"/>
      <c r="K299" s="38"/>
    </row>
    <row r="300" spans="1:11" x14ac:dyDescent="0.3">
      <c r="A300" s="16">
        <v>298</v>
      </c>
      <c r="B300" s="3">
        <v>45749</v>
      </c>
      <c r="C300" s="40">
        <v>5670.97</v>
      </c>
      <c r="D300" s="46">
        <f t="shared" si="12"/>
        <v>6.7281251608803938E-3</v>
      </c>
      <c r="E300">
        <v>23202.53</v>
      </c>
      <c r="F300">
        <v>7.7820999999999998</v>
      </c>
      <c r="G300" s="14">
        <f t="shared" si="13"/>
        <v>2981.5255522288326</v>
      </c>
      <c r="H300">
        <f t="shared" si="14"/>
        <v>-3.398924912946244E-4</v>
      </c>
      <c r="I300"/>
      <c r="K300" s="38"/>
    </row>
    <row r="301" spans="1:11" x14ac:dyDescent="0.3">
      <c r="A301" s="16">
        <v>299</v>
      </c>
      <c r="B301" s="3">
        <v>45750</v>
      </c>
      <c r="C301" s="40">
        <v>5396.52</v>
      </c>
      <c r="D301" s="46">
        <f t="shared" si="12"/>
        <v>-4.839560075260485E-2</v>
      </c>
      <c r="E301">
        <v>22849.81</v>
      </c>
      <c r="F301">
        <v>7.7779999999999996</v>
      </c>
      <c r="G301" s="14">
        <f t="shared" si="13"/>
        <v>2937.7487786063257</v>
      </c>
      <c r="H301">
        <f t="shared" si="14"/>
        <v>-1.4682675984373672E-2</v>
      </c>
      <c r="I301"/>
      <c r="K301" s="38"/>
    </row>
    <row r="302" spans="1:11" x14ac:dyDescent="0.3">
      <c r="A302" s="16">
        <v>300</v>
      </c>
      <c r="B302" s="3">
        <v>45754</v>
      </c>
      <c r="C302" s="40">
        <v>5062.25</v>
      </c>
      <c r="D302" s="46">
        <f t="shared" si="12"/>
        <v>-6.1941769881331044E-2</v>
      </c>
      <c r="E302">
        <v>19828.3</v>
      </c>
      <c r="F302">
        <v>7.7675999999999998</v>
      </c>
      <c r="G302" s="14">
        <f t="shared" si="13"/>
        <v>2552.6932385807713</v>
      </c>
      <c r="H302">
        <f t="shared" si="14"/>
        <v>-0.13107163649582909</v>
      </c>
      <c r="I302"/>
      <c r="K302" s="38"/>
    </row>
    <row r="303" spans="1:11" x14ac:dyDescent="0.3">
      <c r="A303" s="16">
        <v>301</v>
      </c>
      <c r="B303" s="3">
        <v>45755</v>
      </c>
      <c r="C303" s="40">
        <v>4982.7700000000004</v>
      </c>
      <c r="D303" s="46">
        <f t="shared" si="12"/>
        <v>-1.5700528421156545E-2</v>
      </c>
      <c r="E303">
        <v>20127.68</v>
      </c>
      <c r="F303">
        <v>7.7708000000000004</v>
      </c>
      <c r="G303" s="14">
        <f t="shared" si="13"/>
        <v>2590.1683224378439</v>
      </c>
      <c r="H303">
        <f t="shared" si="14"/>
        <v>1.4680606071533875E-2</v>
      </c>
      <c r="I303"/>
      <c r="K303" s="38"/>
    </row>
    <row r="304" spans="1:11" x14ac:dyDescent="0.3">
      <c r="A304" s="16">
        <v>302</v>
      </c>
      <c r="B304" s="3">
        <v>45756</v>
      </c>
      <c r="C304" s="40">
        <v>5456.9</v>
      </c>
      <c r="D304" s="46">
        <f t="shared" si="12"/>
        <v>9.5153900340573472E-2</v>
      </c>
      <c r="E304">
        <v>20264.490000000002</v>
      </c>
      <c r="F304">
        <v>7.7607999999999997</v>
      </c>
      <c r="G304" s="14">
        <f t="shared" si="13"/>
        <v>2611.1341614266576</v>
      </c>
      <c r="H304">
        <f t="shared" si="14"/>
        <v>8.0943924791267996E-3</v>
      </c>
      <c r="I304"/>
      <c r="K304" s="38"/>
    </row>
    <row r="305" spans="1:11" x14ac:dyDescent="0.3">
      <c r="A305" s="16">
        <v>303</v>
      </c>
      <c r="B305" s="3">
        <v>45757</v>
      </c>
      <c r="C305" s="40">
        <v>5268.05</v>
      </c>
      <c r="D305" s="46">
        <f t="shared" si="12"/>
        <v>-3.4607561069471604E-2</v>
      </c>
      <c r="E305">
        <v>20681.78</v>
      </c>
      <c r="F305">
        <v>7.7586000000000004</v>
      </c>
      <c r="G305" s="14">
        <f t="shared" si="13"/>
        <v>2665.6587528677851</v>
      </c>
      <c r="H305">
        <f t="shared" si="14"/>
        <v>2.0881574086310639E-2</v>
      </c>
      <c r="I305"/>
      <c r="K305" s="38"/>
    </row>
    <row r="306" spans="1:11" x14ac:dyDescent="0.3">
      <c r="A306" s="16">
        <v>304</v>
      </c>
      <c r="B306" s="3">
        <v>45758</v>
      </c>
      <c r="C306" s="40">
        <v>5363.36</v>
      </c>
      <c r="D306" s="46">
        <f t="shared" si="12"/>
        <v>1.8092083408471682E-2</v>
      </c>
      <c r="E306">
        <v>20914.689999999999</v>
      </c>
      <c r="F306">
        <v>7.7534000000000001</v>
      </c>
      <c r="G306" s="14">
        <f t="shared" si="13"/>
        <v>2697.4862640905922</v>
      </c>
      <c r="H306">
        <f t="shared" si="14"/>
        <v>1.1939829578173189E-2</v>
      </c>
      <c r="I306"/>
      <c r="K306" s="38"/>
    </row>
    <row r="307" spans="1:11" x14ac:dyDescent="0.3">
      <c r="A307" s="16">
        <v>305</v>
      </c>
      <c r="B307" s="3">
        <v>45761</v>
      </c>
      <c r="C307" s="40">
        <v>5405.97</v>
      </c>
      <c r="D307" s="46">
        <f t="shared" si="12"/>
        <v>7.9446466394201831E-3</v>
      </c>
      <c r="E307">
        <v>21417.4</v>
      </c>
      <c r="F307">
        <v>7.7561</v>
      </c>
      <c r="G307" s="14">
        <f t="shared" si="13"/>
        <v>2761.3620247289232</v>
      </c>
      <c r="H307">
        <f t="shared" si="14"/>
        <v>2.3679735273782976E-2</v>
      </c>
      <c r="I307"/>
      <c r="K307" s="38"/>
    </row>
    <row r="308" spans="1:11" x14ac:dyDescent="0.3">
      <c r="A308" s="16">
        <v>306</v>
      </c>
      <c r="B308" s="3">
        <v>45762</v>
      </c>
      <c r="C308" s="40">
        <v>5396.63</v>
      </c>
      <c r="D308" s="46">
        <f t="shared" si="12"/>
        <v>-1.7277195396940837E-3</v>
      </c>
      <c r="E308">
        <v>21466.27</v>
      </c>
      <c r="F308">
        <v>7.7573999999999996</v>
      </c>
      <c r="G308" s="14">
        <f t="shared" si="13"/>
        <v>2767.1990615412383</v>
      </c>
      <c r="H308">
        <f t="shared" si="14"/>
        <v>2.113825264504321E-3</v>
      </c>
      <c r="I308"/>
      <c r="K308" s="38"/>
    </row>
    <row r="309" spans="1:11" x14ac:dyDescent="0.3">
      <c r="A309" s="16">
        <v>307</v>
      </c>
      <c r="B309" s="3">
        <v>45763</v>
      </c>
      <c r="C309" s="40">
        <v>5275.7</v>
      </c>
      <c r="D309" s="46">
        <f t="shared" si="12"/>
        <v>-2.2408428964001637E-2</v>
      </c>
      <c r="E309">
        <v>21056.98</v>
      </c>
      <c r="F309">
        <v>7.7622999999999998</v>
      </c>
      <c r="G309" s="14">
        <f t="shared" si="13"/>
        <v>2712.7243213995853</v>
      </c>
      <c r="H309">
        <f t="shared" si="14"/>
        <v>-1.9685876921088696E-2</v>
      </c>
      <c r="I309"/>
      <c r="K309" s="38"/>
    </row>
    <row r="310" spans="1:11" x14ac:dyDescent="0.3">
      <c r="A310" s="16">
        <v>308</v>
      </c>
      <c r="B310" s="3">
        <v>45764</v>
      </c>
      <c r="C310" s="40">
        <v>5282.7</v>
      </c>
      <c r="D310" s="46">
        <f t="shared" si="12"/>
        <v>1.3268381447011368E-3</v>
      </c>
      <c r="E310">
        <v>21395.14</v>
      </c>
      <c r="F310">
        <v>7.7638999999999996</v>
      </c>
      <c r="G310" s="14">
        <f t="shared" si="13"/>
        <v>2755.7207073764475</v>
      </c>
      <c r="H310">
        <f t="shared" si="14"/>
        <v>1.584989143116422E-2</v>
      </c>
      <c r="I310"/>
      <c r="K310" s="38"/>
    </row>
    <row r="311" spans="1:11" x14ac:dyDescent="0.3">
      <c r="A311" s="16">
        <v>309</v>
      </c>
      <c r="B311" s="3">
        <v>45769</v>
      </c>
      <c r="C311" s="40">
        <v>5287.76</v>
      </c>
      <c r="D311" s="46">
        <f t="shared" si="12"/>
        <v>9.5784352698435882E-4</v>
      </c>
      <c r="E311">
        <v>21562.32</v>
      </c>
      <c r="F311">
        <v>7.7580999999999998</v>
      </c>
      <c r="G311" s="14">
        <f t="shared" si="13"/>
        <v>2779.3299905904796</v>
      </c>
      <c r="H311">
        <f t="shared" si="14"/>
        <v>8.567371559401904E-3</v>
      </c>
      <c r="I311"/>
      <c r="K311" s="38"/>
    </row>
    <row r="312" spans="1:11" x14ac:dyDescent="0.3">
      <c r="A312" s="16">
        <v>310</v>
      </c>
      <c r="B312" s="3">
        <v>45770</v>
      </c>
      <c r="C312" s="40">
        <v>5375.86</v>
      </c>
      <c r="D312" s="46">
        <f t="shared" si="12"/>
        <v>1.6661119264111734E-2</v>
      </c>
      <c r="E312">
        <v>22072.62</v>
      </c>
      <c r="F312">
        <v>7.7601000000000004</v>
      </c>
      <c r="G312" s="14">
        <f t="shared" si="13"/>
        <v>2844.3731395213977</v>
      </c>
      <c r="H312">
        <f t="shared" si="14"/>
        <v>2.3402456401767413E-2</v>
      </c>
      <c r="I312"/>
      <c r="K312" s="38"/>
    </row>
    <row r="313" spans="1:11" x14ac:dyDescent="0.3">
      <c r="A313" s="16">
        <v>311</v>
      </c>
      <c r="B313" s="3">
        <v>45771</v>
      </c>
      <c r="C313" s="40">
        <v>5484.77</v>
      </c>
      <c r="D313" s="46">
        <f t="shared" si="12"/>
        <v>2.025908412793509E-2</v>
      </c>
      <c r="E313">
        <v>21909.759999999998</v>
      </c>
      <c r="F313">
        <v>7.7587999999999999</v>
      </c>
      <c r="G313" s="14">
        <f t="shared" si="13"/>
        <v>2823.8593596947981</v>
      </c>
      <c r="H313">
        <f t="shared" si="14"/>
        <v>-7.2120565131097436E-3</v>
      </c>
      <c r="I313"/>
      <c r="K313" s="38"/>
    </row>
    <row r="314" spans="1:11" x14ac:dyDescent="0.3">
      <c r="A314" s="16">
        <v>312</v>
      </c>
      <c r="B314" s="3">
        <v>45772</v>
      </c>
      <c r="C314" s="40">
        <v>5525.21</v>
      </c>
      <c r="D314" s="46">
        <f t="shared" si="12"/>
        <v>7.3731441792452834E-3</v>
      </c>
      <c r="E314">
        <v>21980.74</v>
      </c>
      <c r="F314">
        <v>7.7573999999999996</v>
      </c>
      <c r="G314" s="14">
        <f t="shared" si="13"/>
        <v>2833.5189625389953</v>
      </c>
      <c r="H314">
        <f t="shared" si="14"/>
        <v>3.4207096083005428E-3</v>
      </c>
      <c r="I314"/>
      <c r="K314" s="38"/>
    </row>
    <row r="315" spans="1:11" x14ac:dyDescent="0.3">
      <c r="A315" s="16">
        <v>313</v>
      </c>
      <c r="B315" s="3">
        <v>45775</v>
      </c>
      <c r="C315" s="40">
        <v>5528.75</v>
      </c>
      <c r="D315" s="46">
        <f t="shared" si="12"/>
        <v>6.4069962951629478E-4</v>
      </c>
      <c r="E315">
        <v>21971.96</v>
      </c>
      <c r="F315">
        <v>7.7567000000000004</v>
      </c>
      <c r="G315" s="14">
        <f t="shared" si="13"/>
        <v>2832.6427475601736</v>
      </c>
      <c r="H315">
        <f t="shared" si="14"/>
        <v>-3.09232085758393E-4</v>
      </c>
      <c r="I315"/>
      <c r="K315" s="38"/>
    </row>
    <row r="316" spans="1:11" x14ac:dyDescent="0.3">
      <c r="A316" s="16">
        <v>314</v>
      </c>
      <c r="B316" s="3">
        <v>45776</v>
      </c>
      <c r="C316" s="40">
        <v>5560.83</v>
      </c>
      <c r="D316" s="46">
        <f t="shared" si="12"/>
        <v>5.8023965634184105E-3</v>
      </c>
      <c r="E316">
        <v>22008.11</v>
      </c>
      <c r="F316">
        <v>7.7588999999999997</v>
      </c>
      <c r="G316" s="14">
        <f t="shared" si="13"/>
        <v>2836.498730490147</v>
      </c>
      <c r="H316">
        <f t="shared" si="14"/>
        <v>1.3612669417260026E-3</v>
      </c>
      <c r="I316"/>
      <c r="K316" s="38"/>
    </row>
    <row r="317" spans="1:11" x14ac:dyDescent="0.3">
      <c r="A317" s="16">
        <v>315</v>
      </c>
      <c r="B317" s="3">
        <v>45777</v>
      </c>
      <c r="C317" s="40">
        <v>5569.06</v>
      </c>
      <c r="D317" s="46">
        <f t="shared" si="12"/>
        <v>1.4799948928487794E-3</v>
      </c>
      <c r="E317">
        <v>22119.41</v>
      </c>
      <c r="F317">
        <v>7.7556000000000003</v>
      </c>
      <c r="G317" s="14">
        <f t="shared" si="13"/>
        <v>2852.0565784723294</v>
      </c>
      <c r="H317">
        <f t="shared" si="14"/>
        <v>5.4848774705757997E-3</v>
      </c>
      <c r="I317"/>
      <c r="K317" s="38"/>
    </row>
    <row r="318" spans="1:11" x14ac:dyDescent="0.3">
      <c r="B318" s="3"/>
      <c r="C318" s="40"/>
      <c r="D318" s="19"/>
      <c r="E318" s="19"/>
      <c r="F318"/>
      <c r="H318"/>
      <c r="I318"/>
      <c r="K318" s="38"/>
    </row>
    <row r="319" spans="1:11" x14ac:dyDescent="0.3">
      <c r="B319" s="3"/>
      <c r="C319" s="40"/>
      <c r="D319" s="19"/>
      <c r="E319" s="19"/>
      <c r="F319"/>
      <c r="H319"/>
      <c r="I319"/>
      <c r="K319" s="38"/>
    </row>
    <row r="320" spans="1:11" x14ac:dyDescent="0.3">
      <c r="B320" s="3"/>
      <c r="C320" s="40"/>
      <c r="D320" s="19"/>
      <c r="E320" s="19"/>
      <c r="F320"/>
      <c r="H320"/>
      <c r="I320"/>
      <c r="K320" s="38"/>
    </row>
    <row r="321" spans="2:11" x14ac:dyDescent="0.3">
      <c r="B321" s="3"/>
      <c r="C321" s="40"/>
      <c r="D321" s="19"/>
      <c r="E321" s="19"/>
      <c r="F321"/>
      <c r="H321"/>
      <c r="I321"/>
      <c r="K321" s="38"/>
    </row>
    <row r="322" spans="2:11" x14ac:dyDescent="0.3">
      <c r="B322" s="3"/>
      <c r="C322" s="40"/>
      <c r="D322" s="19"/>
      <c r="E322" s="19"/>
      <c r="F322"/>
      <c r="H322"/>
      <c r="I322"/>
      <c r="K322" s="38"/>
    </row>
    <row r="323" spans="2:11" x14ac:dyDescent="0.3">
      <c r="B323" s="3"/>
      <c r="C323" s="40"/>
      <c r="D323" s="19"/>
      <c r="E323" s="19"/>
      <c r="F323"/>
      <c r="H323"/>
      <c r="I323"/>
      <c r="K323" s="38"/>
    </row>
    <row r="324" spans="2:11" x14ac:dyDescent="0.3">
      <c r="B324" s="3"/>
      <c r="C324" s="40"/>
      <c r="D324" s="19"/>
      <c r="E324" s="19"/>
      <c r="F324"/>
      <c r="H324"/>
      <c r="I324"/>
      <c r="K324" s="38"/>
    </row>
    <row r="325" spans="2:11" x14ac:dyDescent="0.3">
      <c r="B325" s="3"/>
      <c r="C325" s="40"/>
      <c r="D325" s="19"/>
      <c r="E325" s="19"/>
      <c r="F325"/>
      <c r="H325"/>
      <c r="I325"/>
      <c r="K325" s="38"/>
    </row>
    <row r="326" spans="2:11" x14ac:dyDescent="0.3">
      <c r="B326" s="3"/>
      <c r="C326" s="40"/>
      <c r="D326" s="19"/>
      <c r="E326" s="19"/>
      <c r="F326"/>
      <c r="H326"/>
      <c r="I326"/>
      <c r="K326" s="38"/>
    </row>
    <row r="327" spans="2:11" x14ac:dyDescent="0.3">
      <c r="B327" s="3"/>
      <c r="C327" s="40"/>
      <c r="D327" s="19"/>
      <c r="E327"/>
      <c r="F327"/>
      <c r="H327"/>
      <c r="I327"/>
      <c r="K327" s="38"/>
    </row>
    <row r="328" spans="2:11" x14ac:dyDescent="0.3">
      <c r="B328" s="3"/>
      <c r="C328" s="40"/>
      <c r="D328" s="19"/>
      <c r="E328"/>
      <c r="F328"/>
      <c r="H328"/>
      <c r="I328"/>
      <c r="K328" s="38"/>
    </row>
    <row r="329" spans="2:11" x14ac:dyDescent="0.3">
      <c r="B329" s="3"/>
      <c r="C329" s="40"/>
      <c r="D329" s="19"/>
      <c r="E329"/>
      <c r="F329"/>
      <c r="H329"/>
      <c r="I329"/>
      <c r="K329" s="38"/>
    </row>
    <row r="330" spans="2:11" x14ac:dyDescent="0.3">
      <c r="B330" s="3"/>
      <c r="C330" s="40"/>
      <c r="D330" s="19"/>
      <c r="E330"/>
      <c r="F330"/>
      <c r="H330"/>
      <c r="I330"/>
      <c r="K330" s="38"/>
    </row>
    <row r="331" spans="2:11" x14ac:dyDescent="0.3">
      <c r="B331" s="3"/>
      <c r="C331" s="40"/>
      <c r="D331" s="19"/>
      <c r="E331"/>
      <c r="F331"/>
      <c r="H331"/>
      <c r="I331"/>
      <c r="K331" s="38"/>
    </row>
    <row r="332" spans="2:11" x14ac:dyDescent="0.3">
      <c r="B332" s="3"/>
      <c r="C332" s="40"/>
      <c r="D332" s="19"/>
      <c r="E332"/>
      <c r="F332"/>
      <c r="H332"/>
      <c r="I332"/>
      <c r="K332" s="38"/>
    </row>
    <row r="333" spans="2:11" x14ac:dyDescent="0.3">
      <c r="B333" s="3"/>
      <c r="C333" s="40"/>
      <c r="D333" s="19"/>
      <c r="E333"/>
      <c r="F333"/>
      <c r="H333"/>
      <c r="I333"/>
      <c r="K333" s="38"/>
    </row>
    <row r="334" spans="2:11" x14ac:dyDescent="0.3">
      <c r="B334" s="3"/>
      <c r="C334" s="40"/>
      <c r="D334" s="19"/>
      <c r="E334"/>
      <c r="F334"/>
      <c r="H334"/>
      <c r="I334"/>
      <c r="K334" s="38"/>
    </row>
    <row r="335" spans="2:11" x14ac:dyDescent="0.3">
      <c r="B335" s="3"/>
      <c r="C335" s="23"/>
      <c r="D335"/>
      <c r="E335"/>
      <c r="F335"/>
      <c r="H335"/>
      <c r="I335"/>
      <c r="K335" s="38"/>
    </row>
    <row r="336" spans="2:11" x14ac:dyDescent="0.3">
      <c r="B336" s="3"/>
      <c r="C336" s="23"/>
      <c r="D336"/>
      <c r="E336"/>
      <c r="F336"/>
      <c r="H336"/>
      <c r="I336"/>
      <c r="K336" s="38"/>
    </row>
    <row r="337" spans="2:11" x14ac:dyDescent="0.3">
      <c r="B337" s="3"/>
      <c r="C337" s="23"/>
      <c r="D337"/>
      <c r="E337"/>
      <c r="F337"/>
      <c r="H337"/>
      <c r="I337"/>
      <c r="K337" s="38"/>
    </row>
    <row r="338" spans="2:11" x14ac:dyDescent="0.3">
      <c r="B338" s="3"/>
      <c r="C338" s="23"/>
      <c r="D338"/>
      <c r="E338"/>
      <c r="F338"/>
      <c r="H338"/>
      <c r="I338"/>
      <c r="K338" s="38"/>
    </row>
    <row r="339" spans="2:11" x14ac:dyDescent="0.3">
      <c r="B339" s="3"/>
      <c r="C339" s="23"/>
      <c r="D339"/>
      <c r="E339"/>
      <c r="F339"/>
      <c r="H339"/>
      <c r="I339"/>
      <c r="K339" s="38"/>
    </row>
    <row r="340" spans="2:11" x14ac:dyDescent="0.3">
      <c r="B340" s="3"/>
      <c r="C340" s="23"/>
      <c r="D340"/>
      <c r="E340"/>
      <c r="F340"/>
      <c r="H340"/>
      <c r="I340"/>
      <c r="K340" s="38"/>
    </row>
    <row r="341" spans="2:11" x14ac:dyDescent="0.3">
      <c r="B341" s="3"/>
      <c r="C341" s="23"/>
      <c r="D341"/>
      <c r="E341"/>
      <c r="F341"/>
      <c r="H341"/>
      <c r="I341"/>
      <c r="K341" s="38"/>
    </row>
    <row r="342" spans="2:11" x14ac:dyDescent="0.3">
      <c r="B342" s="3"/>
      <c r="C342" s="23"/>
      <c r="D342"/>
      <c r="E342"/>
      <c r="F342"/>
      <c r="H342"/>
      <c r="I342"/>
      <c r="K342" s="38"/>
    </row>
    <row r="343" spans="2:11" x14ac:dyDescent="0.3">
      <c r="B343" s="3"/>
      <c r="C343" s="23"/>
      <c r="D343"/>
      <c r="E343"/>
      <c r="F343"/>
      <c r="H343"/>
      <c r="I343"/>
      <c r="K343" s="38"/>
    </row>
    <row r="344" spans="2:11" x14ac:dyDescent="0.3">
      <c r="B344" s="3"/>
      <c r="C344" s="23"/>
      <c r="D344"/>
      <c r="E344"/>
      <c r="F344"/>
      <c r="H344"/>
      <c r="I344"/>
      <c r="K344" s="38"/>
    </row>
    <row r="345" spans="2:11" x14ac:dyDescent="0.3">
      <c r="B345" s="3"/>
      <c r="C345" s="23"/>
      <c r="D345"/>
      <c r="E345"/>
      <c r="F345"/>
      <c r="H345"/>
      <c r="I345"/>
      <c r="K345" s="38"/>
    </row>
    <row r="346" spans="2:11" x14ac:dyDescent="0.3">
      <c r="B346" s="3"/>
      <c r="C346" s="23"/>
      <c r="D346"/>
      <c r="E346"/>
      <c r="F346"/>
      <c r="H346"/>
      <c r="I346"/>
      <c r="K346" s="38"/>
    </row>
    <row r="347" spans="2:11" x14ac:dyDescent="0.3">
      <c r="B347" s="3"/>
      <c r="C347" s="23"/>
      <c r="D347"/>
      <c r="E347"/>
      <c r="F347"/>
      <c r="H347"/>
      <c r="I347"/>
      <c r="K347" s="38"/>
    </row>
    <row r="348" spans="2:11" x14ac:dyDescent="0.3">
      <c r="B348" s="3"/>
      <c r="C348" s="23"/>
      <c r="D348"/>
      <c r="E348"/>
      <c r="F348"/>
      <c r="H348"/>
      <c r="I348"/>
      <c r="K348" s="38"/>
    </row>
    <row r="349" spans="2:11" x14ac:dyDescent="0.3">
      <c r="B349" s="3"/>
      <c r="C349" s="23"/>
      <c r="D349"/>
      <c r="E349"/>
      <c r="F349"/>
      <c r="H349"/>
      <c r="I349"/>
      <c r="K349" s="38"/>
    </row>
    <row r="350" spans="2:11" x14ac:dyDescent="0.3">
      <c r="B350" s="3"/>
      <c r="C350" s="23"/>
      <c r="D350"/>
      <c r="E350"/>
      <c r="F350" s="11"/>
      <c r="H350"/>
      <c r="I350"/>
      <c r="K350" s="38"/>
    </row>
    <row r="351" spans="2:11" x14ac:dyDescent="0.3">
      <c r="B351" s="3"/>
      <c r="C351" s="23"/>
      <c r="D351"/>
      <c r="E351"/>
      <c r="F351" s="11"/>
      <c r="H351"/>
      <c r="I351"/>
      <c r="K351" s="38"/>
    </row>
    <row r="352" spans="2:11" x14ac:dyDescent="0.3">
      <c r="B352" s="3"/>
      <c r="C352" s="23"/>
      <c r="D352"/>
      <c r="E352"/>
      <c r="F352" s="11"/>
      <c r="H352"/>
      <c r="I352"/>
      <c r="K352" s="38"/>
    </row>
    <row r="353" spans="2:11" x14ac:dyDescent="0.3">
      <c r="B353" s="3"/>
      <c r="C353" s="23"/>
      <c r="D353"/>
      <c r="E353"/>
      <c r="F353" s="11"/>
      <c r="H353"/>
      <c r="I353"/>
      <c r="K353" s="38"/>
    </row>
    <row r="354" spans="2:11" x14ac:dyDescent="0.3">
      <c r="B354" s="3"/>
      <c r="C354" s="23"/>
      <c r="D354"/>
      <c r="E354"/>
      <c r="F354" s="11"/>
      <c r="H354"/>
      <c r="I354"/>
      <c r="K354" s="38"/>
    </row>
    <row r="355" spans="2:11" x14ac:dyDescent="0.3">
      <c r="B355" s="3"/>
      <c r="C355" s="23"/>
      <c r="D355"/>
      <c r="E355"/>
      <c r="F355" s="11"/>
      <c r="H355"/>
      <c r="I355"/>
      <c r="K355" s="38"/>
    </row>
    <row r="356" spans="2:11" x14ac:dyDescent="0.3">
      <c r="B356" s="3"/>
      <c r="C356" s="23"/>
      <c r="D356"/>
      <c r="E356"/>
      <c r="F356" s="11"/>
      <c r="H356"/>
      <c r="I356"/>
      <c r="K356" s="38"/>
    </row>
    <row r="357" spans="2:11" x14ac:dyDescent="0.3">
      <c r="B357" s="3"/>
      <c r="C357" s="23"/>
      <c r="D357"/>
      <c r="E357"/>
      <c r="F357" s="11"/>
      <c r="H357"/>
      <c r="I357"/>
      <c r="K357" s="38"/>
    </row>
    <row r="358" spans="2:11" x14ac:dyDescent="0.3">
      <c r="B358" s="3"/>
      <c r="C358" s="23"/>
      <c r="D358"/>
      <c r="E358"/>
      <c r="F358" s="11"/>
      <c r="H358"/>
      <c r="I358"/>
      <c r="K358" s="38"/>
    </row>
    <row r="359" spans="2:11" x14ac:dyDescent="0.3">
      <c r="B359" s="3"/>
      <c r="C359" s="23"/>
      <c r="D359"/>
      <c r="E359"/>
      <c r="F359" s="11"/>
      <c r="H359"/>
      <c r="I359"/>
      <c r="K359" s="38"/>
    </row>
    <row r="360" spans="2:11" x14ac:dyDescent="0.3">
      <c r="B360" s="3"/>
      <c r="C360" s="23"/>
      <c r="D360"/>
      <c r="E360"/>
      <c r="F360" s="11"/>
      <c r="H360"/>
      <c r="I360"/>
      <c r="K360" s="38"/>
    </row>
    <row r="361" spans="2:11" x14ac:dyDescent="0.3">
      <c r="B361" s="3"/>
      <c r="C361" s="23"/>
      <c r="D361"/>
      <c r="E361"/>
      <c r="F361" s="11"/>
      <c r="H361"/>
      <c r="I361"/>
      <c r="K361" s="38"/>
    </row>
    <row r="362" spans="2:11" x14ac:dyDescent="0.3">
      <c r="B362" s="3"/>
      <c r="C362" s="40"/>
      <c r="D362" s="19"/>
      <c r="E362" s="39"/>
      <c r="F362" s="11"/>
      <c r="H362"/>
      <c r="I362"/>
      <c r="K362" s="38"/>
    </row>
    <row r="363" spans="2:11" x14ac:dyDescent="0.3">
      <c r="B363" s="3"/>
      <c r="C363" s="40"/>
      <c r="D363" s="19"/>
      <c r="E363" s="39"/>
      <c r="F363" s="11"/>
      <c r="H363"/>
      <c r="I363"/>
      <c r="K363" s="38"/>
    </row>
    <row r="364" spans="2:11" x14ac:dyDescent="0.3">
      <c r="B364" s="3"/>
      <c r="C364" s="40"/>
      <c r="D364" s="19"/>
      <c r="E364" s="39"/>
      <c r="F364" s="11"/>
      <c r="H364"/>
      <c r="I364"/>
      <c r="K364" s="38"/>
    </row>
    <row r="365" spans="2:11" x14ac:dyDescent="0.3">
      <c r="C365" s="40"/>
      <c r="D365" s="19"/>
      <c r="E365" s="39"/>
      <c r="F365" s="11"/>
      <c r="H365"/>
      <c r="I365"/>
      <c r="K365" s="38"/>
    </row>
    <row r="366" spans="2:11" x14ac:dyDescent="0.3">
      <c r="C366" s="40"/>
      <c r="D366" s="19"/>
      <c r="E366" s="39"/>
      <c r="F366" s="11"/>
      <c r="H366"/>
      <c r="I366"/>
      <c r="K366" s="38"/>
    </row>
    <row r="367" spans="2:11" x14ac:dyDescent="0.3">
      <c r="C367" s="40"/>
      <c r="D367" s="19"/>
      <c r="E367" s="39"/>
      <c r="F367" s="11"/>
      <c r="H367"/>
      <c r="I367"/>
      <c r="K367" s="38"/>
    </row>
    <row r="368" spans="2:11" x14ac:dyDescent="0.3">
      <c r="C368" s="40"/>
      <c r="D368" s="19"/>
      <c r="E368" s="39"/>
      <c r="F368" s="11"/>
      <c r="H368"/>
      <c r="I368"/>
      <c r="K368" s="38"/>
    </row>
    <row r="369" spans="2:11" x14ac:dyDescent="0.3">
      <c r="C369" s="40"/>
      <c r="D369" s="19"/>
      <c r="E369" s="39"/>
      <c r="F369" s="11"/>
      <c r="H369"/>
      <c r="I369"/>
      <c r="K369" s="38"/>
    </row>
    <row r="370" spans="2:11" x14ac:dyDescent="0.3">
      <c r="C370" s="40"/>
      <c r="D370" s="19"/>
      <c r="E370" s="39"/>
      <c r="F370" s="11"/>
      <c r="H370"/>
      <c r="I370"/>
      <c r="K370" s="38"/>
    </row>
    <row r="371" spans="2:11" x14ac:dyDescent="0.3">
      <c r="C371" s="40"/>
      <c r="D371" s="19"/>
      <c r="E371" s="39"/>
      <c r="F371" s="11"/>
      <c r="H371"/>
      <c r="I371"/>
      <c r="K371" s="38"/>
    </row>
    <row r="372" spans="2:11" x14ac:dyDescent="0.3">
      <c r="C372" s="40"/>
      <c r="D372" s="19"/>
      <c r="E372" s="39"/>
      <c r="F372" s="11"/>
      <c r="H372"/>
      <c r="I372"/>
      <c r="K372" s="38"/>
    </row>
    <row r="373" spans="2:11" x14ac:dyDescent="0.3">
      <c r="C373" s="40"/>
      <c r="D373" s="19"/>
      <c r="E373" s="39"/>
      <c r="F373" s="11"/>
      <c r="H373"/>
      <c r="I373"/>
      <c r="K373" s="38"/>
    </row>
    <row r="374" spans="2:11" x14ac:dyDescent="0.3">
      <c r="C374" s="40"/>
      <c r="D374" s="19"/>
      <c r="E374" s="39"/>
      <c r="F374" s="11"/>
      <c r="H374"/>
      <c r="I374"/>
      <c r="K374" s="38"/>
    </row>
    <row r="375" spans="2:11" x14ac:dyDescent="0.3">
      <c r="C375" s="40"/>
      <c r="D375" s="19"/>
      <c r="E375" s="39"/>
      <c r="F375" s="11"/>
      <c r="H375"/>
      <c r="I375"/>
      <c r="K375" s="38"/>
    </row>
    <row r="376" spans="2:11" x14ac:dyDescent="0.3">
      <c r="B376" s="38"/>
      <c r="C376" s="40"/>
      <c r="D376" s="19"/>
      <c r="E376" s="39"/>
      <c r="F376" s="12"/>
      <c r="H376"/>
      <c r="I376"/>
      <c r="K376" s="38"/>
    </row>
    <row r="377" spans="2:11" x14ac:dyDescent="0.3">
      <c r="B377" s="38"/>
      <c r="C377" s="40"/>
      <c r="D377" s="19"/>
      <c r="E377" s="39"/>
      <c r="F377" s="12"/>
      <c r="H377"/>
      <c r="I377"/>
      <c r="K377" s="38"/>
    </row>
    <row r="378" spans="2:11" x14ac:dyDescent="0.3">
      <c r="B378" s="38"/>
      <c r="C378" s="40"/>
      <c r="D378" s="19"/>
      <c r="E378" s="39"/>
      <c r="F378" s="12"/>
      <c r="H378"/>
      <c r="I378"/>
      <c r="K378" s="38"/>
    </row>
    <row r="379" spans="2:11" x14ac:dyDescent="0.3">
      <c r="B379" s="38"/>
      <c r="C379" s="40"/>
      <c r="D379" s="19"/>
      <c r="E379" s="39"/>
      <c r="F379" s="12"/>
      <c r="H379"/>
      <c r="I379"/>
      <c r="K379" s="38"/>
    </row>
    <row r="380" spans="2:11" x14ac:dyDescent="0.3">
      <c r="B380" s="38"/>
      <c r="C380" s="40"/>
      <c r="D380" s="19"/>
      <c r="E380" s="39"/>
      <c r="F380" s="12"/>
      <c r="H380"/>
      <c r="I380"/>
      <c r="K380" s="38"/>
    </row>
    <row r="381" spans="2:11" x14ac:dyDescent="0.3">
      <c r="B381" s="38"/>
      <c r="C381" s="40"/>
      <c r="D381" s="19"/>
      <c r="E381" s="39"/>
      <c r="F381" s="12"/>
      <c r="H381"/>
      <c r="I381"/>
      <c r="K381" s="38"/>
    </row>
    <row r="382" spans="2:11" x14ac:dyDescent="0.3">
      <c r="B382" s="38"/>
      <c r="C382" s="40"/>
      <c r="D382" s="19"/>
      <c r="E382" s="39"/>
      <c r="F382" s="12"/>
      <c r="H382"/>
      <c r="I382"/>
      <c r="K382" s="38"/>
    </row>
    <row r="383" spans="2:11" x14ac:dyDescent="0.3">
      <c r="B383" s="38"/>
      <c r="C383" s="40"/>
      <c r="D383" s="19"/>
      <c r="E383" s="39"/>
      <c r="F383" s="12"/>
      <c r="H383"/>
      <c r="I383"/>
      <c r="K383" s="38"/>
    </row>
    <row r="384" spans="2:11" x14ac:dyDescent="0.3">
      <c r="B384" s="38"/>
      <c r="C384" s="40"/>
      <c r="D384" s="19"/>
      <c r="E384" s="39"/>
      <c r="F384" s="12"/>
      <c r="H384"/>
      <c r="I384"/>
      <c r="K384" s="38"/>
    </row>
    <row r="385" spans="2:11" x14ac:dyDescent="0.3">
      <c r="B385" s="38"/>
      <c r="C385" s="40"/>
      <c r="D385" s="19"/>
      <c r="E385" s="39"/>
      <c r="F385" s="12"/>
      <c r="H385"/>
      <c r="I385"/>
      <c r="K385" s="38"/>
    </row>
    <row r="386" spans="2:11" x14ac:dyDescent="0.3">
      <c r="B386" s="38"/>
      <c r="C386" s="40"/>
      <c r="D386" s="19"/>
      <c r="E386" s="39"/>
      <c r="F386" s="12"/>
      <c r="H386"/>
      <c r="I386"/>
      <c r="K386" s="38"/>
    </row>
    <row r="387" spans="2:11" x14ac:dyDescent="0.3">
      <c r="B387" s="38"/>
      <c r="C387" s="40"/>
      <c r="D387" s="19"/>
      <c r="E387" s="39"/>
      <c r="F387" s="12"/>
      <c r="H387"/>
      <c r="I387"/>
      <c r="K387" s="38"/>
    </row>
    <row r="388" spans="2:11" x14ac:dyDescent="0.3">
      <c r="B388" s="38"/>
      <c r="C388" s="40"/>
      <c r="D388" s="19"/>
      <c r="E388" s="39"/>
      <c r="F388" s="12"/>
      <c r="H388"/>
      <c r="I388"/>
      <c r="K388" s="38"/>
    </row>
    <row r="389" spans="2:11" x14ac:dyDescent="0.3">
      <c r="B389" s="38"/>
      <c r="C389" s="40"/>
      <c r="D389" s="19"/>
      <c r="E389" s="39"/>
      <c r="F389" s="12"/>
      <c r="H389"/>
      <c r="I389"/>
      <c r="K389" s="38"/>
    </row>
    <row r="390" spans="2:11" x14ac:dyDescent="0.3">
      <c r="B390" s="38"/>
      <c r="C390" s="40"/>
      <c r="D390" s="19"/>
      <c r="E390" s="39"/>
      <c r="F390" s="12"/>
      <c r="H390"/>
      <c r="I390"/>
      <c r="K390" s="38"/>
    </row>
    <row r="391" spans="2:11" x14ac:dyDescent="0.3">
      <c r="B391" s="38"/>
      <c r="C391" s="40"/>
      <c r="D391" s="19"/>
      <c r="E391" s="39"/>
      <c r="F391" s="12"/>
      <c r="H391"/>
      <c r="I391"/>
      <c r="K391" s="38"/>
    </row>
    <row r="392" spans="2:11" x14ac:dyDescent="0.3">
      <c r="B392" s="38"/>
      <c r="C392" s="40"/>
      <c r="D392" s="19"/>
      <c r="E392" s="39"/>
      <c r="F392" s="12"/>
      <c r="H392"/>
      <c r="I392"/>
      <c r="K392" s="38"/>
    </row>
    <row r="393" spans="2:11" x14ac:dyDescent="0.3">
      <c r="B393" s="38"/>
      <c r="C393" s="40"/>
      <c r="D393" s="19"/>
      <c r="E393" s="39"/>
      <c r="F393" s="12"/>
      <c r="H393"/>
      <c r="I393"/>
      <c r="K393" s="38"/>
    </row>
    <row r="394" spans="2:11" x14ac:dyDescent="0.3">
      <c r="B394" s="38"/>
      <c r="C394" s="40"/>
      <c r="D394" s="19"/>
      <c r="E394" s="39"/>
      <c r="F394" s="12"/>
      <c r="H394"/>
      <c r="I394"/>
      <c r="K394" s="38"/>
    </row>
    <row r="395" spans="2:11" x14ac:dyDescent="0.3">
      <c r="B395" s="38"/>
      <c r="C395" s="40"/>
      <c r="D395" s="19"/>
      <c r="E395" s="39"/>
      <c r="F395" s="12"/>
      <c r="H395"/>
      <c r="I395"/>
      <c r="K395" s="38"/>
    </row>
    <row r="396" spans="2:11" x14ac:dyDescent="0.3">
      <c r="B396" s="38"/>
      <c r="C396" s="40"/>
      <c r="D396" s="19"/>
      <c r="E396" s="39"/>
      <c r="F396" s="12"/>
      <c r="H396"/>
      <c r="I396"/>
      <c r="K396" s="38"/>
    </row>
    <row r="397" spans="2:11" x14ac:dyDescent="0.3">
      <c r="B397" s="38"/>
      <c r="C397" s="40"/>
      <c r="D397" s="19"/>
      <c r="E397" s="39"/>
      <c r="F397" s="12"/>
      <c r="H397"/>
      <c r="I397"/>
      <c r="K397" s="38"/>
    </row>
    <row r="398" spans="2:11" x14ac:dyDescent="0.3">
      <c r="B398" s="38"/>
      <c r="C398" s="40"/>
      <c r="D398" s="19"/>
      <c r="E398" s="39"/>
      <c r="F398" s="12"/>
      <c r="H398"/>
      <c r="I398"/>
      <c r="K398" s="38"/>
    </row>
    <row r="399" spans="2:11" x14ac:dyDescent="0.3">
      <c r="B399" s="38"/>
      <c r="C399" s="40"/>
      <c r="D399" s="19"/>
      <c r="E399" s="39"/>
      <c r="F399" s="12"/>
      <c r="H399"/>
      <c r="I399"/>
      <c r="K399" s="38"/>
    </row>
    <row r="400" spans="2:11" x14ac:dyDescent="0.3">
      <c r="B400" s="38"/>
      <c r="C400" s="40"/>
      <c r="D400" s="19"/>
      <c r="E400" s="39"/>
      <c r="F400" s="12"/>
      <c r="H400"/>
      <c r="I400"/>
      <c r="K400" s="38"/>
    </row>
    <row r="401" spans="2:11" x14ac:dyDescent="0.3">
      <c r="B401" s="38"/>
      <c r="C401" s="40"/>
      <c r="D401" s="19"/>
      <c r="E401" s="39"/>
      <c r="F401" s="12"/>
      <c r="H401"/>
      <c r="I401"/>
      <c r="K401" s="38"/>
    </row>
    <row r="402" spans="2:11" x14ac:dyDescent="0.3">
      <c r="B402" s="38"/>
      <c r="C402" s="40"/>
      <c r="D402" s="19"/>
      <c r="E402" s="39"/>
      <c r="F402" s="12"/>
      <c r="H402"/>
      <c r="I402"/>
      <c r="K402" s="38"/>
    </row>
    <row r="403" spans="2:11" x14ac:dyDescent="0.3">
      <c r="B403" s="38"/>
      <c r="C403" s="40"/>
      <c r="D403" s="19"/>
      <c r="E403" s="39"/>
      <c r="F403" s="12"/>
      <c r="H403"/>
      <c r="I403"/>
      <c r="K403" s="38"/>
    </row>
    <row r="404" spans="2:11" x14ac:dyDescent="0.3">
      <c r="B404" s="38"/>
      <c r="C404" s="40"/>
      <c r="D404" s="19"/>
      <c r="E404" s="39"/>
      <c r="F404" s="12"/>
      <c r="H404"/>
      <c r="I404"/>
    </row>
    <row r="405" spans="2:11" x14ac:dyDescent="0.3">
      <c r="B405" s="38"/>
      <c r="C405" s="40"/>
      <c r="D405" s="19"/>
      <c r="E405" s="39"/>
      <c r="F405" s="12"/>
      <c r="H405"/>
      <c r="I405"/>
    </row>
    <row r="406" spans="2:11" x14ac:dyDescent="0.3">
      <c r="B406" s="38"/>
      <c r="C406" s="40"/>
      <c r="D406" s="19"/>
      <c r="E406" s="39"/>
      <c r="F406" s="12"/>
      <c r="H406"/>
      <c r="I406"/>
    </row>
    <row r="407" spans="2:11" x14ac:dyDescent="0.3">
      <c r="B407" s="38"/>
      <c r="C407" s="40"/>
      <c r="D407" s="19"/>
      <c r="E407" s="39"/>
      <c r="F407" s="12"/>
      <c r="H407"/>
      <c r="I407"/>
    </row>
    <row r="408" spans="2:11" x14ac:dyDescent="0.3">
      <c r="B408" s="38"/>
      <c r="C408" s="40"/>
      <c r="D408" s="19"/>
      <c r="E408" s="39"/>
      <c r="F408" s="12"/>
      <c r="H408"/>
      <c r="I408"/>
    </row>
    <row r="409" spans="2:11" x14ac:dyDescent="0.3">
      <c r="B409" s="38"/>
      <c r="C409" s="40"/>
      <c r="D409" s="19"/>
      <c r="E409" s="39"/>
      <c r="F409" s="12"/>
      <c r="H409"/>
      <c r="I409"/>
    </row>
    <row r="410" spans="2:11" x14ac:dyDescent="0.3">
      <c r="B410" s="38"/>
      <c r="C410" s="40"/>
      <c r="D410" s="19"/>
      <c r="E410" s="39"/>
      <c r="F410" s="12"/>
      <c r="H410"/>
      <c r="I410"/>
    </row>
    <row r="411" spans="2:11" x14ac:dyDescent="0.3">
      <c r="B411" s="38"/>
      <c r="C411" s="40"/>
      <c r="D411" s="19"/>
      <c r="E411" s="39"/>
      <c r="F411" s="12"/>
      <c r="H411"/>
      <c r="I411"/>
    </row>
    <row r="412" spans="2:11" x14ac:dyDescent="0.3">
      <c r="B412" s="38"/>
      <c r="C412" s="40"/>
      <c r="D412" s="19"/>
      <c r="E412" s="39"/>
      <c r="F412" s="12"/>
      <c r="H412"/>
      <c r="I412"/>
    </row>
    <row r="413" spans="2:11" x14ac:dyDescent="0.3">
      <c r="B413" s="38"/>
      <c r="C413" s="40"/>
      <c r="D413" s="19"/>
      <c r="E413" s="39"/>
      <c r="F413" s="12"/>
      <c r="H413"/>
      <c r="I413"/>
    </row>
    <row r="414" spans="2:11" x14ac:dyDescent="0.3">
      <c r="B414" s="38"/>
      <c r="C414" s="40"/>
      <c r="D414" s="19"/>
      <c r="E414" s="39"/>
      <c r="F414" s="12"/>
      <c r="H414"/>
      <c r="I414"/>
    </row>
    <row r="415" spans="2:11" x14ac:dyDescent="0.3">
      <c r="B415" s="38"/>
      <c r="C415" s="40"/>
      <c r="D415" s="19"/>
      <c r="E415" s="39"/>
      <c r="F415" s="12"/>
      <c r="H415"/>
      <c r="I415"/>
    </row>
    <row r="416" spans="2:11" x14ac:dyDescent="0.3">
      <c r="B416" s="38"/>
      <c r="C416" s="40"/>
      <c r="D416" s="19"/>
      <c r="E416" s="39"/>
      <c r="F416" s="12"/>
      <c r="H416"/>
      <c r="I416"/>
    </row>
    <row r="417" spans="2:9" x14ac:dyDescent="0.3">
      <c r="B417" s="38"/>
      <c r="C417" s="40"/>
      <c r="D417" s="19"/>
      <c r="E417" s="39"/>
      <c r="F417" s="12"/>
      <c r="H417"/>
      <c r="I417"/>
    </row>
    <row r="418" spans="2:9" x14ac:dyDescent="0.3">
      <c r="B418" s="38"/>
      <c r="C418" s="40"/>
      <c r="D418" s="19"/>
      <c r="E418" s="39"/>
      <c r="F418" s="12"/>
      <c r="H418"/>
      <c r="I418"/>
    </row>
    <row r="419" spans="2:9" x14ac:dyDescent="0.3">
      <c r="B419" s="38"/>
      <c r="C419" s="40"/>
      <c r="D419" s="19"/>
      <c r="E419" s="39"/>
      <c r="F419" s="12"/>
      <c r="H419"/>
      <c r="I419"/>
    </row>
    <row r="420" spans="2:9" x14ac:dyDescent="0.3">
      <c r="B420" s="38"/>
      <c r="C420" s="40"/>
      <c r="D420" s="19"/>
      <c r="E420" s="39"/>
      <c r="F420" s="12"/>
      <c r="H420"/>
      <c r="I420"/>
    </row>
    <row r="421" spans="2:9" x14ac:dyDescent="0.3">
      <c r="B421" s="38"/>
      <c r="C421" s="40"/>
      <c r="D421" s="19"/>
      <c r="E421" s="39"/>
      <c r="F421" s="12"/>
      <c r="H421"/>
      <c r="I421"/>
    </row>
    <row r="422" spans="2:9" x14ac:dyDescent="0.3">
      <c r="B422" s="38"/>
      <c r="C422" s="40"/>
      <c r="D422" s="19"/>
      <c r="E422" s="39"/>
      <c r="F422" s="12"/>
      <c r="H422"/>
      <c r="I422"/>
    </row>
    <row r="423" spans="2:9" x14ac:dyDescent="0.3">
      <c r="B423" s="38"/>
      <c r="C423" s="40"/>
      <c r="D423" s="19"/>
      <c r="E423" s="39"/>
      <c r="F423" s="12"/>
      <c r="H423"/>
      <c r="I423"/>
    </row>
    <row r="424" spans="2:9" x14ac:dyDescent="0.3">
      <c r="B424" s="38"/>
      <c r="C424" s="40"/>
      <c r="D424" s="19"/>
      <c r="E424" s="39"/>
      <c r="F424" s="12"/>
      <c r="H424"/>
      <c r="I424"/>
    </row>
    <row r="425" spans="2:9" x14ac:dyDescent="0.3">
      <c r="B425" s="38"/>
      <c r="C425" s="40"/>
      <c r="D425" s="19"/>
      <c r="E425" s="39"/>
      <c r="F425" s="12"/>
      <c r="H425"/>
      <c r="I425"/>
    </row>
    <row r="426" spans="2:9" x14ac:dyDescent="0.3">
      <c r="B426" s="38"/>
      <c r="C426" s="40"/>
      <c r="D426" s="19"/>
      <c r="E426" s="39"/>
      <c r="F426" s="12"/>
      <c r="H426"/>
      <c r="I426"/>
    </row>
    <row r="427" spans="2:9" x14ac:dyDescent="0.3">
      <c r="B427" s="38"/>
      <c r="C427" s="40"/>
      <c r="D427" s="19"/>
      <c r="E427" s="39"/>
      <c r="F427" s="12"/>
      <c r="H427"/>
      <c r="I427"/>
    </row>
    <row r="428" spans="2:9" x14ac:dyDescent="0.3">
      <c r="B428" s="38"/>
      <c r="C428" s="40"/>
      <c r="D428" s="19"/>
      <c r="E428" s="39"/>
      <c r="F428" s="12"/>
      <c r="H428"/>
      <c r="I428"/>
    </row>
    <row r="429" spans="2:9" x14ac:dyDescent="0.3">
      <c r="B429" s="38"/>
      <c r="C429" s="40"/>
      <c r="D429" s="19"/>
      <c r="E429" s="39"/>
      <c r="F429" s="12"/>
      <c r="H429"/>
      <c r="I429"/>
    </row>
    <row r="430" spans="2:9" x14ac:dyDescent="0.3">
      <c r="B430" s="38"/>
      <c r="C430" s="40"/>
      <c r="D430" s="19"/>
      <c r="E430" s="39"/>
      <c r="F430" s="12"/>
      <c r="H430"/>
      <c r="I430"/>
    </row>
    <row r="431" spans="2:9" x14ac:dyDescent="0.3">
      <c r="B431" s="38"/>
      <c r="C431" s="40"/>
      <c r="D431" s="19"/>
      <c r="E431" s="39"/>
      <c r="F431" s="12"/>
      <c r="H431"/>
      <c r="I431"/>
    </row>
    <row r="432" spans="2:9" x14ac:dyDescent="0.3">
      <c r="B432" s="38"/>
      <c r="C432" s="40"/>
      <c r="D432" s="19"/>
      <c r="E432" s="39"/>
      <c r="F432" s="12"/>
      <c r="H432"/>
      <c r="I432"/>
    </row>
    <row r="433" spans="2:11" x14ac:dyDescent="0.3">
      <c r="B433" s="38"/>
      <c r="C433" s="40"/>
      <c r="D433" s="19"/>
      <c r="E433" s="39"/>
      <c r="F433" s="12"/>
      <c r="H433"/>
      <c r="I433"/>
    </row>
    <row r="434" spans="2:11" x14ac:dyDescent="0.3">
      <c r="B434" s="38"/>
      <c r="C434" s="40"/>
      <c r="D434" s="19"/>
      <c r="E434" s="39"/>
      <c r="F434" s="12"/>
      <c r="H434"/>
      <c r="I434"/>
    </row>
    <row r="435" spans="2:11" x14ac:dyDescent="0.3">
      <c r="B435" s="38"/>
      <c r="C435" s="40"/>
      <c r="D435" s="19"/>
      <c r="E435" s="39"/>
      <c r="F435" s="12"/>
      <c r="H435"/>
      <c r="I435"/>
    </row>
    <row r="436" spans="2:11" x14ac:dyDescent="0.3">
      <c r="B436" s="38"/>
      <c r="C436" s="40"/>
      <c r="D436" s="19"/>
      <c r="E436" s="39"/>
      <c r="F436" s="12"/>
      <c r="H436"/>
      <c r="I436"/>
    </row>
    <row r="437" spans="2:11" x14ac:dyDescent="0.3">
      <c r="B437" s="38"/>
      <c r="C437" s="40"/>
      <c r="D437" s="19"/>
      <c r="E437" s="39"/>
      <c r="F437" s="12"/>
      <c r="H437"/>
      <c r="I437"/>
    </row>
    <row r="438" spans="2:11" x14ac:dyDescent="0.3">
      <c r="B438" s="38"/>
      <c r="C438" s="40"/>
      <c r="D438" s="19"/>
      <c r="E438" s="39"/>
      <c r="F438" s="12"/>
      <c r="H438"/>
      <c r="I438"/>
    </row>
    <row r="439" spans="2:11" x14ac:dyDescent="0.3">
      <c r="B439" s="38"/>
      <c r="C439" s="40"/>
      <c r="D439" s="19"/>
      <c r="E439" s="39"/>
      <c r="F439" s="12"/>
      <c r="H439"/>
      <c r="I439"/>
    </row>
    <row r="440" spans="2:11" x14ac:dyDescent="0.3">
      <c r="B440" s="38"/>
      <c r="C440" s="40"/>
      <c r="D440" s="19"/>
      <c r="E440" s="39"/>
      <c r="F440" s="12"/>
      <c r="H440"/>
      <c r="I440"/>
    </row>
    <row r="441" spans="2:11" x14ac:dyDescent="0.3">
      <c r="B441" s="38"/>
      <c r="C441" s="40"/>
      <c r="D441" s="19"/>
      <c r="E441" s="39"/>
      <c r="F441" s="12"/>
      <c r="H441"/>
      <c r="I441"/>
    </row>
    <row r="442" spans="2:11" x14ac:dyDescent="0.3">
      <c r="B442" s="38"/>
      <c r="C442" s="40"/>
      <c r="D442" s="19"/>
      <c r="E442" s="39"/>
      <c r="F442" s="12"/>
      <c r="H442"/>
      <c r="I442"/>
    </row>
    <row r="443" spans="2:11" x14ac:dyDescent="0.3">
      <c r="B443" s="38"/>
      <c r="C443" s="40"/>
      <c r="D443" s="19"/>
      <c r="E443" s="39"/>
      <c r="F443" s="12"/>
      <c r="H443"/>
      <c r="I443"/>
    </row>
    <row r="444" spans="2:11" x14ac:dyDescent="0.3">
      <c r="B444" s="38"/>
      <c r="C444" s="40"/>
      <c r="D444" s="19"/>
      <c r="E444" s="39"/>
      <c r="F444" s="12"/>
      <c r="H444"/>
      <c r="I444"/>
    </row>
    <row r="445" spans="2:11" x14ac:dyDescent="0.3">
      <c r="B445" s="38"/>
      <c r="C445" s="40"/>
      <c r="D445" s="19"/>
      <c r="E445" s="39"/>
      <c r="F445" s="12"/>
      <c r="H445"/>
      <c r="I445"/>
    </row>
    <row r="446" spans="2:11" x14ac:dyDescent="0.3">
      <c r="B446" s="38"/>
      <c r="C446" s="40"/>
      <c r="D446" s="19"/>
      <c r="E446" s="39"/>
      <c r="F446" s="12"/>
      <c r="H446"/>
      <c r="I446"/>
    </row>
    <row r="447" spans="2:11" x14ac:dyDescent="0.3">
      <c r="B447" s="38"/>
      <c r="C447" s="40"/>
      <c r="D447" s="19"/>
      <c r="E447" s="39"/>
      <c r="F447" s="12"/>
      <c r="H447"/>
      <c r="I447"/>
      <c r="K447" s="38"/>
    </row>
    <row r="448" spans="2:11" x14ac:dyDescent="0.3">
      <c r="B448" s="38"/>
      <c r="C448" s="40"/>
      <c r="D448" s="19"/>
      <c r="E448" s="39"/>
      <c r="F448" s="12"/>
      <c r="H448"/>
      <c r="I448"/>
      <c r="K448" s="38"/>
    </row>
    <row r="449" spans="2:11" x14ac:dyDescent="0.3">
      <c r="B449" s="38"/>
      <c r="C449" s="40"/>
      <c r="D449" s="19"/>
      <c r="E449" s="39"/>
      <c r="F449" s="12"/>
      <c r="H449"/>
      <c r="I449"/>
      <c r="K449" s="38"/>
    </row>
    <row r="450" spans="2:11" x14ac:dyDescent="0.3">
      <c r="B450" s="38"/>
      <c r="C450" s="40"/>
      <c r="D450" s="19"/>
      <c r="E450" s="39"/>
      <c r="F450" s="12"/>
      <c r="H450"/>
      <c r="I450"/>
      <c r="K450" s="38"/>
    </row>
    <row r="451" spans="2:11" x14ac:dyDescent="0.3">
      <c r="B451" s="38"/>
      <c r="C451" s="40"/>
      <c r="D451" s="19"/>
      <c r="E451" s="39"/>
      <c r="F451" s="12"/>
      <c r="H451"/>
      <c r="I451"/>
      <c r="K451" s="38"/>
    </row>
    <row r="452" spans="2:11" x14ac:dyDescent="0.3">
      <c r="B452" s="38"/>
      <c r="C452" s="40"/>
      <c r="D452" s="19"/>
      <c r="E452" s="39"/>
      <c r="F452" s="12"/>
      <c r="H452"/>
      <c r="I452"/>
      <c r="K452" s="38"/>
    </row>
    <row r="453" spans="2:11" x14ac:dyDescent="0.3">
      <c r="B453" s="38"/>
      <c r="C453" s="40"/>
      <c r="D453" s="19"/>
      <c r="E453" s="39"/>
      <c r="F453" s="12"/>
      <c r="H453"/>
      <c r="I453"/>
      <c r="K453" s="38"/>
    </row>
    <row r="454" spans="2:11" x14ac:dyDescent="0.3">
      <c r="B454" s="38"/>
      <c r="C454" s="40"/>
      <c r="D454" s="19"/>
      <c r="E454" s="39"/>
      <c r="F454" s="12"/>
      <c r="H454"/>
      <c r="I454"/>
      <c r="K454" s="38"/>
    </row>
    <row r="455" spans="2:11" x14ac:dyDescent="0.3">
      <c r="B455" s="38"/>
      <c r="C455" s="40"/>
      <c r="D455" s="19"/>
      <c r="E455" s="39"/>
      <c r="F455" s="12"/>
      <c r="H455"/>
      <c r="I455"/>
      <c r="K455" s="38"/>
    </row>
    <row r="456" spans="2:11" x14ac:dyDescent="0.3">
      <c r="B456" s="38"/>
      <c r="C456" s="40"/>
      <c r="D456" s="19"/>
      <c r="E456" s="39"/>
      <c r="F456" s="12"/>
      <c r="H456"/>
      <c r="I456"/>
      <c r="K456" s="38"/>
    </row>
    <row r="457" spans="2:11" x14ac:dyDescent="0.3">
      <c r="B457" s="38"/>
      <c r="C457" s="40"/>
      <c r="D457" s="19"/>
      <c r="E457" s="39"/>
      <c r="F457" s="12"/>
      <c r="H457"/>
      <c r="I457"/>
      <c r="K457" s="38"/>
    </row>
    <row r="458" spans="2:11" x14ac:dyDescent="0.3">
      <c r="B458" s="38"/>
      <c r="C458" s="40"/>
      <c r="D458" s="19"/>
      <c r="E458" s="39"/>
      <c r="F458" s="12"/>
      <c r="H458"/>
      <c r="I458"/>
      <c r="K458" s="38"/>
    </row>
    <row r="459" spans="2:11" x14ac:dyDescent="0.3">
      <c r="B459" s="38"/>
      <c r="C459" s="40"/>
      <c r="D459" s="19"/>
      <c r="E459" s="39"/>
      <c r="F459" s="12"/>
      <c r="H459"/>
      <c r="I459"/>
      <c r="K459" s="38"/>
    </row>
    <row r="460" spans="2:11" x14ac:dyDescent="0.3">
      <c r="B460" s="38"/>
      <c r="C460" s="40"/>
      <c r="D460" s="19"/>
      <c r="E460" s="39"/>
      <c r="F460" s="12"/>
      <c r="H460"/>
      <c r="I460"/>
      <c r="K460" s="38"/>
    </row>
    <row r="461" spans="2:11" x14ac:dyDescent="0.3">
      <c r="B461" s="38"/>
      <c r="C461" s="40"/>
      <c r="D461" s="19"/>
      <c r="E461" s="39"/>
      <c r="F461" s="12"/>
      <c r="H461"/>
      <c r="I461"/>
      <c r="K461" s="38"/>
    </row>
    <row r="462" spans="2:11" x14ac:dyDescent="0.3">
      <c r="B462" s="38"/>
      <c r="C462" s="40"/>
      <c r="D462" s="19"/>
      <c r="E462" s="39"/>
      <c r="F462" s="12"/>
      <c r="H462"/>
      <c r="I462"/>
      <c r="K462" s="38"/>
    </row>
    <row r="463" spans="2:11" x14ac:dyDescent="0.3">
      <c r="B463" s="38"/>
      <c r="C463" s="40"/>
      <c r="D463" s="19"/>
      <c r="E463" s="39"/>
      <c r="F463" s="12"/>
      <c r="H463"/>
      <c r="I463"/>
      <c r="K463" s="38"/>
    </row>
    <row r="464" spans="2:11" x14ac:dyDescent="0.3">
      <c r="B464" s="38"/>
      <c r="C464" s="40"/>
      <c r="D464" s="19"/>
      <c r="E464" s="39"/>
      <c r="F464" s="12"/>
      <c r="H464"/>
      <c r="I464"/>
      <c r="K464" s="38"/>
    </row>
    <row r="465" spans="2:11" x14ac:dyDescent="0.3">
      <c r="B465" s="38"/>
      <c r="C465" s="40"/>
      <c r="D465" s="19"/>
      <c r="E465" s="39"/>
      <c r="F465" s="12"/>
      <c r="H465"/>
      <c r="I465"/>
      <c r="K465" s="38"/>
    </row>
    <row r="466" spans="2:11" x14ac:dyDescent="0.3">
      <c r="B466" s="38"/>
      <c r="C466" s="40"/>
      <c r="D466" s="19"/>
      <c r="E466" s="39"/>
      <c r="F466" s="12"/>
      <c r="H466"/>
      <c r="I466"/>
      <c r="K466" s="38"/>
    </row>
    <row r="467" spans="2:11" x14ac:dyDescent="0.3">
      <c r="B467" s="38"/>
      <c r="C467" s="40"/>
      <c r="D467" s="19"/>
      <c r="E467" s="39"/>
      <c r="F467" s="12"/>
      <c r="H467"/>
      <c r="I467"/>
      <c r="K467" s="38"/>
    </row>
    <row r="468" spans="2:11" x14ac:dyDescent="0.3">
      <c r="B468" s="38"/>
      <c r="C468" s="40"/>
      <c r="D468" s="19"/>
      <c r="E468" s="39"/>
      <c r="F468" s="12"/>
      <c r="H468"/>
      <c r="I468"/>
      <c r="K468" s="38"/>
    </row>
    <row r="469" spans="2:11" x14ac:dyDescent="0.3">
      <c r="B469" s="38"/>
      <c r="C469" s="40"/>
      <c r="D469" s="19"/>
      <c r="E469" s="39"/>
      <c r="F469" s="12"/>
      <c r="H469"/>
      <c r="I469"/>
      <c r="K469" s="38"/>
    </row>
    <row r="470" spans="2:11" x14ac:dyDescent="0.3">
      <c r="B470" s="38"/>
      <c r="C470" s="40"/>
      <c r="D470" s="19"/>
      <c r="E470" s="39"/>
      <c r="F470" s="12"/>
      <c r="H470"/>
      <c r="I470"/>
      <c r="K470" s="38"/>
    </row>
    <row r="471" spans="2:11" x14ac:dyDescent="0.3">
      <c r="B471" s="38"/>
      <c r="C471" s="40"/>
      <c r="D471" s="19"/>
      <c r="E471" s="39"/>
      <c r="F471" s="12"/>
      <c r="H471"/>
      <c r="I471"/>
      <c r="K471" s="38"/>
    </row>
    <row r="472" spans="2:11" x14ac:dyDescent="0.3">
      <c r="B472" s="38"/>
      <c r="C472" s="40"/>
      <c r="D472" s="19"/>
      <c r="E472" s="39"/>
      <c r="F472" s="12"/>
      <c r="H472"/>
      <c r="I472"/>
      <c r="K472" s="38"/>
    </row>
    <row r="473" spans="2:11" x14ac:dyDescent="0.3">
      <c r="B473" s="38"/>
      <c r="C473" s="40"/>
      <c r="D473" s="19"/>
      <c r="E473" s="39"/>
      <c r="F473" s="12"/>
      <c r="H473"/>
      <c r="I473"/>
      <c r="K473" s="38"/>
    </row>
    <row r="474" spans="2:11" x14ac:dyDescent="0.3">
      <c r="B474" s="38"/>
      <c r="C474" s="40"/>
      <c r="D474" s="19"/>
      <c r="E474" s="39"/>
      <c r="F474" s="12"/>
      <c r="H474"/>
      <c r="I474"/>
      <c r="K474" s="38"/>
    </row>
    <row r="475" spans="2:11" x14ac:dyDescent="0.3">
      <c r="B475" s="38"/>
      <c r="C475" s="40"/>
      <c r="D475" s="19"/>
      <c r="E475" s="39"/>
      <c r="F475" s="12"/>
      <c r="H475"/>
      <c r="I475"/>
      <c r="K475" s="38"/>
    </row>
    <row r="476" spans="2:11" x14ac:dyDescent="0.3">
      <c r="B476" s="38"/>
      <c r="C476" s="40"/>
      <c r="D476" s="19"/>
      <c r="E476" s="39"/>
      <c r="F476" s="12"/>
      <c r="H476"/>
      <c r="I476"/>
      <c r="K476" s="38"/>
    </row>
    <row r="477" spans="2:11" x14ac:dyDescent="0.3">
      <c r="B477" s="38"/>
      <c r="C477" s="40"/>
      <c r="D477" s="19"/>
      <c r="E477" s="39"/>
      <c r="F477" s="12"/>
      <c r="H477"/>
      <c r="I477"/>
      <c r="K477" s="38"/>
    </row>
    <row r="478" spans="2:11" x14ac:dyDescent="0.3">
      <c r="B478" s="38"/>
      <c r="C478" s="40"/>
      <c r="D478" s="19"/>
      <c r="E478" s="39"/>
      <c r="F478" s="12"/>
      <c r="H478"/>
      <c r="I478"/>
      <c r="K478" s="38"/>
    </row>
    <row r="479" spans="2:11" x14ac:dyDescent="0.3">
      <c r="B479" s="38"/>
      <c r="C479" s="40"/>
      <c r="D479" s="19"/>
      <c r="E479" s="39"/>
      <c r="F479" s="12"/>
      <c r="H479"/>
      <c r="I479"/>
      <c r="K479" s="38"/>
    </row>
    <row r="480" spans="2:11" x14ac:dyDescent="0.3">
      <c r="B480" s="38"/>
      <c r="C480" s="40"/>
      <c r="D480" s="19"/>
      <c r="E480" s="39"/>
      <c r="F480" s="12"/>
      <c r="H480"/>
      <c r="I480"/>
      <c r="K480" s="38"/>
    </row>
    <row r="481" spans="2:11" x14ac:dyDescent="0.3">
      <c r="B481" s="38"/>
      <c r="C481" s="40"/>
      <c r="D481" s="19"/>
      <c r="E481" s="39"/>
      <c r="F481" s="12"/>
      <c r="H481"/>
      <c r="I481"/>
      <c r="K481" s="38"/>
    </row>
    <row r="482" spans="2:11" x14ac:dyDescent="0.3">
      <c r="B482" s="38"/>
      <c r="C482" s="40"/>
      <c r="D482" s="19"/>
      <c r="E482" s="39"/>
      <c r="F482" s="12"/>
      <c r="H482"/>
      <c r="I482"/>
      <c r="K482" s="38"/>
    </row>
    <row r="483" spans="2:11" x14ac:dyDescent="0.3">
      <c r="B483" s="38"/>
      <c r="C483" s="40"/>
      <c r="D483" s="19"/>
      <c r="E483" s="39"/>
      <c r="F483" s="12"/>
      <c r="H483"/>
      <c r="I483"/>
      <c r="K483" s="38"/>
    </row>
    <row r="484" spans="2:11" x14ac:dyDescent="0.3">
      <c r="B484" s="38"/>
      <c r="C484" s="40"/>
      <c r="D484" s="19"/>
      <c r="E484" s="39"/>
      <c r="F484" s="12"/>
      <c r="H484"/>
      <c r="I484"/>
      <c r="K484" s="38"/>
    </row>
    <row r="485" spans="2:11" x14ac:dyDescent="0.3">
      <c r="B485" s="38"/>
      <c r="C485" s="40"/>
      <c r="D485" s="19"/>
      <c r="E485" s="39"/>
      <c r="F485" s="12"/>
      <c r="H485"/>
      <c r="I485"/>
      <c r="K485" s="38"/>
    </row>
    <row r="486" spans="2:11" x14ac:dyDescent="0.3">
      <c r="B486" s="38"/>
      <c r="C486" s="40"/>
      <c r="D486" s="19"/>
      <c r="E486" s="39"/>
      <c r="F486" s="12"/>
      <c r="H486"/>
      <c r="I486"/>
      <c r="K486" s="38"/>
    </row>
    <row r="487" spans="2:11" x14ac:dyDescent="0.3">
      <c r="B487" s="38"/>
      <c r="C487" s="40"/>
      <c r="D487" s="19"/>
      <c r="E487" s="39"/>
      <c r="F487" s="12"/>
      <c r="H487"/>
      <c r="I487"/>
      <c r="K487" s="38"/>
    </row>
    <row r="488" spans="2:11" x14ac:dyDescent="0.3">
      <c r="B488" s="38"/>
      <c r="C488" s="40"/>
      <c r="D488" s="19"/>
      <c r="E488" s="39"/>
      <c r="F488" s="12"/>
      <c r="H488"/>
      <c r="I488"/>
      <c r="K488" s="38"/>
    </row>
    <row r="489" spans="2:11" x14ac:dyDescent="0.3">
      <c r="B489" s="38"/>
      <c r="C489" s="40"/>
      <c r="D489" s="19"/>
      <c r="E489" s="39"/>
      <c r="F489" s="12"/>
      <c r="H489"/>
      <c r="I489"/>
      <c r="K489" s="38"/>
    </row>
    <row r="490" spans="2:11" x14ac:dyDescent="0.3">
      <c r="B490" s="38"/>
      <c r="C490" s="40"/>
      <c r="D490" s="19"/>
      <c r="E490" s="39"/>
      <c r="F490" s="12"/>
      <c r="H490"/>
      <c r="I490"/>
      <c r="K490" s="38"/>
    </row>
    <row r="491" spans="2:11" x14ac:dyDescent="0.3">
      <c r="B491" s="38"/>
      <c r="C491" s="40"/>
      <c r="D491" s="19"/>
      <c r="E491" s="39"/>
      <c r="F491" s="12"/>
      <c r="H491"/>
      <c r="I491"/>
      <c r="K491" s="38"/>
    </row>
    <row r="492" spans="2:11" x14ac:dyDescent="0.3">
      <c r="B492" s="38"/>
      <c r="C492" s="40"/>
      <c r="D492" s="19"/>
      <c r="E492" s="39"/>
      <c r="F492" s="12"/>
      <c r="H492"/>
      <c r="I492"/>
    </row>
    <row r="493" spans="2:11" x14ac:dyDescent="0.3">
      <c r="B493" s="38"/>
      <c r="C493" s="40"/>
      <c r="D493" s="19"/>
      <c r="E493" s="39"/>
      <c r="F493" s="12"/>
      <c r="H493"/>
      <c r="I493"/>
    </row>
    <row r="494" spans="2:11" x14ac:dyDescent="0.3">
      <c r="B494" s="38"/>
      <c r="C494" s="40"/>
      <c r="D494" s="19"/>
      <c r="E494" s="39"/>
      <c r="F494" s="12"/>
      <c r="H494"/>
      <c r="I494"/>
      <c r="K494" s="38"/>
    </row>
    <row r="495" spans="2:11" x14ac:dyDescent="0.3">
      <c r="B495" s="38"/>
      <c r="C495" s="40"/>
      <c r="D495" s="19"/>
      <c r="E495" s="39"/>
      <c r="F495" s="12"/>
      <c r="H495"/>
      <c r="I495"/>
      <c r="K495" s="38"/>
    </row>
    <row r="496" spans="2:11" x14ac:dyDescent="0.3">
      <c r="B496" s="38"/>
      <c r="C496" s="40"/>
      <c r="D496" s="19"/>
      <c r="E496" s="39"/>
      <c r="F496" s="12"/>
      <c r="H496"/>
      <c r="I496"/>
      <c r="K496" s="38"/>
    </row>
    <row r="497" spans="2:12" x14ac:dyDescent="0.3">
      <c r="B497" s="38"/>
      <c r="C497" s="40"/>
      <c r="D497" s="19"/>
      <c r="E497" s="39"/>
      <c r="F497" s="12"/>
      <c r="H497"/>
      <c r="I497"/>
      <c r="K497" s="38"/>
    </row>
    <row r="498" spans="2:12" x14ac:dyDescent="0.3">
      <c r="B498" s="38"/>
      <c r="C498" s="40"/>
      <c r="D498" s="19"/>
      <c r="E498" s="39"/>
      <c r="F498" s="12"/>
      <c r="H498"/>
      <c r="I498"/>
      <c r="K498" s="38"/>
    </row>
    <row r="499" spans="2:12" x14ac:dyDescent="0.3">
      <c r="B499" s="38"/>
      <c r="C499" s="40"/>
      <c r="D499" s="19"/>
      <c r="E499" s="39"/>
      <c r="F499" s="12"/>
      <c r="H499"/>
      <c r="I499"/>
      <c r="K499" s="38"/>
    </row>
    <row r="500" spans="2:12" x14ac:dyDescent="0.3">
      <c r="B500" s="38"/>
      <c r="C500" s="40"/>
      <c r="D500" s="19"/>
      <c r="E500" s="39"/>
      <c r="F500" s="12"/>
      <c r="H500"/>
      <c r="I500"/>
      <c r="K500" s="38"/>
    </row>
    <row r="501" spans="2:12" x14ac:dyDescent="0.3">
      <c r="B501" s="38"/>
      <c r="C501" s="40"/>
      <c r="D501" s="19"/>
      <c r="E501" s="39"/>
      <c r="F501" s="12"/>
      <c r="H501"/>
      <c r="I501"/>
      <c r="K501" s="38"/>
    </row>
    <row r="502" spans="2:12" x14ac:dyDescent="0.3">
      <c r="B502" s="38"/>
      <c r="C502" s="40"/>
      <c r="D502" s="19"/>
      <c r="E502" s="39"/>
      <c r="F502" s="12"/>
      <c r="H502"/>
      <c r="I502"/>
      <c r="K502" s="38"/>
      <c r="L502" s="39"/>
    </row>
    <row r="503" spans="2:12" x14ac:dyDescent="0.3">
      <c r="B503" s="38"/>
      <c r="C503" s="40"/>
      <c r="D503" s="19"/>
      <c r="E503" s="39"/>
      <c r="F503" s="12"/>
      <c r="H503"/>
      <c r="I503"/>
      <c r="K503" s="38"/>
      <c r="L503" s="39"/>
    </row>
    <row r="504" spans="2:12" x14ac:dyDescent="0.3">
      <c r="B504" s="38"/>
      <c r="C504" s="40"/>
      <c r="D504" s="19"/>
      <c r="E504" s="39"/>
      <c r="F504" s="12"/>
      <c r="H504"/>
      <c r="I504"/>
      <c r="K504" s="38"/>
      <c r="L504" s="39"/>
    </row>
    <row r="505" spans="2:12" x14ac:dyDescent="0.3">
      <c r="B505" s="38"/>
      <c r="C505" s="40"/>
      <c r="D505" s="19"/>
      <c r="E505" s="39"/>
      <c r="F505" s="12"/>
      <c r="H505"/>
      <c r="I505"/>
      <c r="K505" s="38"/>
      <c r="L505" s="39"/>
    </row>
    <row r="506" spans="2:12" x14ac:dyDescent="0.3">
      <c r="B506" s="38"/>
      <c r="C506" s="40"/>
      <c r="D506" s="19"/>
      <c r="E506" s="39"/>
      <c r="F506" s="12"/>
      <c r="H506"/>
      <c r="I506"/>
      <c r="K506" s="38"/>
      <c r="L506" s="39"/>
    </row>
    <row r="507" spans="2:12" x14ac:dyDescent="0.3">
      <c r="C507" s="40"/>
      <c r="D507" s="19"/>
      <c r="E507" s="39"/>
      <c r="F507" s="11"/>
      <c r="H507"/>
      <c r="I507"/>
      <c r="K507" s="38"/>
    </row>
    <row r="508" spans="2:12" x14ac:dyDescent="0.3">
      <c r="C508" s="40"/>
      <c r="D508" s="19"/>
      <c r="E508" s="39"/>
      <c r="F508" s="11"/>
      <c r="H508"/>
      <c r="I508"/>
      <c r="K508" s="38"/>
      <c r="L508" s="39"/>
    </row>
    <row r="509" spans="2:12" x14ac:dyDescent="0.3">
      <c r="C509" s="40"/>
      <c r="D509" s="19"/>
      <c r="E509" s="39"/>
      <c r="F509" s="11"/>
      <c r="H509"/>
      <c r="I509"/>
      <c r="K509" s="38"/>
      <c r="L509" s="39"/>
    </row>
    <row r="510" spans="2:12" x14ac:dyDescent="0.3">
      <c r="C510" s="40"/>
      <c r="D510" s="19"/>
      <c r="E510" s="39"/>
      <c r="F510" s="11"/>
      <c r="H510"/>
      <c r="I510"/>
      <c r="K510" s="38"/>
      <c r="L510" s="39"/>
    </row>
    <row r="511" spans="2:12" x14ac:dyDescent="0.3">
      <c r="C511" s="40"/>
      <c r="D511" s="19"/>
      <c r="E511" s="39"/>
      <c r="F511" s="11"/>
      <c r="H511"/>
      <c r="I511"/>
      <c r="K511" s="38"/>
      <c r="L511" s="39"/>
    </row>
    <row r="512" spans="2:12" x14ac:dyDescent="0.3">
      <c r="C512" s="40"/>
      <c r="D512" s="19"/>
      <c r="E512" s="39"/>
      <c r="F512" s="11"/>
      <c r="H512"/>
      <c r="I512"/>
      <c r="K512" s="38"/>
      <c r="L512" s="39"/>
    </row>
    <row r="513" spans="2:24" x14ac:dyDescent="0.3">
      <c r="C513" s="40"/>
      <c r="D513" s="19"/>
      <c r="E513" s="39"/>
      <c r="F513" s="11"/>
      <c r="H513"/>
      <c r="I513"/>
      <c r="K513" s="38"/>
      <c r="L513" s="39"/>
    </row>
    <row r="514" spans="2:24" x14ac:dyDescent="0.3">
      <c r="C514" s="40"/>
      <c r="D514" s="19"/>
      <c r="E514" s="39"/>
      <c r="F514" s="11"/>
      <c r="H514"/>
      <c r="I514"/>
      <c r="K514" s="38"/>
      <c r="L514" s="39"/>
    </row>
    <row r="515" spans="2:24" x14ac:dyDescent="0.3">
      <c r="B515" s="38"/>
      <c r="C515" s="40"/>
      <c r="D515" s="19"/>
      <c r="E515" s="39"/>
      <c r="F515" s="12"/>
      <c r="H515"/>
      <c r="I515"/>
      <c r="K515" s="38"/>
      <c r="L515" s="39"/>
      <c r="M515" s="38"/>
      <c r="N515" s="39"/>
      <c r="O515" s="38"/>
      <c r="Q515" s="38"/>
      <c r="R515" s="39"/>
      <c r="S515" s="39"/>
      <c r="T515" s="38"/>
      <c r="V515" s="38"/>
      <c r="W515" s="39"/>
      <c r="X515" s="38"/>
    </row>
    <row r="516" spans="2:24" x14ac:dyDescent="0.3">
      <c r="B516" s="38"/>
      <c r="C516" s="40"/>
      <c r="D516" s="19"/>
      <c r="E516" s="39"/>
      <c r="F516" s="12"/>
      <c r="H516"/>
      <c r="I516"/>
      <c r="K516" s="38"/>
      <c r="L516" s="39"/>
      <c r="M516" s="38"/>
      <c r="N516" s="39"/>
      <c r="O516" s="38"/>
      <c r="Q516" s="38"/>
      <c r="R516" s="39"/>
      <c r="S516" s="39"/>
      <c r="T516" s="38"/>
      <c r="V516" s="38"/>
      <c r="W516" s="39"/>
      <c r="X516" s="38"/>
    </row>
    <row r="517" spans="2:24" x14ac:dyDescent="0.3">
      <c r="B517" s="38"/>
      <c r="C517" s="40"/>
      <c r="D517" s="19"/>
      <c r="E517" s="39"/>
      <c r="F517" s="12"/>
      <c r="H517"/>
      <c r="I517"/>
      <c r="K517" s="38"/>
      <c r="L517" s="39"/>
      <c r="M517" s="38"/>
      <c r="N517" s="39"/>
      <c r="O517" s="38"/>
      <c r="Q517" s="38"/>
      <c r="R517" s="39"/>
      <c r="S517" s="39"/>
      <c r="T517" s="38"/>
      <c r="V517" s="38"/>
      <c r="W517" s="39"/>
      <c r="X517" s="38"/>
    </row>
    <row r="518" spans="2:24" x14ac:dyDescent="0.3">
      <c r="B518" s="38"/>
      <c r="C518" s="40"/>
      <c r="D518" s="19"/>
      <c r="E518" s="39"/>
      <c r="F518" s="12"/>
      <c r="H518"/>
      <c r="I518"/>
      <c r="K518" s="38"/>
      <c r="L518" s="39"/>
      <c r="M518" s="38"/>
      <c r="N518" s="39"/>
      <c r="O518" s="38"/>
      <c r="Q518" s="38"/>
      <c r="R518" s="39"/>
      <c r="S518" s="39"/>
      <c r="T518" s="38"/>
      <c r="V518" s="38"/>
      <c r="W518" s="39"/>
      <c r="X518" s="38"/>
    </row>
    <row r="519" spans="2:24" x14ac:dyDescent="0.3">
      <c r="B519" s="38"/>
      <c r="C519" s="40"/>
      <c r="D519" s="19"/>
      <c r="E519" s="39"/>
      <c r="F519" s="12"/>
      <c r="H519"/>
      <c r="I519"/>
      <c r="K519" s="38"/>
      <c r="L519" s="39"/>
      <c r="M519" s="38"/>
      <c r="N519" s="39"/>
      <c r="O519" s="38"/>
      <c r="Q519" s="38"/>
      <c r="R519" s="39"/>
      <c r="S519" s="39"/>
      <c r="T519" s="38"/>
      <c r="V519" s="38"/>
      <c r="W519" s="39"/>
      <c r="X519" s="38"/>
    </row>
    <row r="520" spans="2:24" x14ac:dyDescent="0.3">
      <c r="B520" s="38"/>
      <c r="C520" s="40"/>
      <c r="D520" s="19"/>
      <c r="E520" s="39"/>
      <c r="F520" s="12"/>
      <c r="H520"/>
      <c r="I520"/>
      <c r="K520" s="38"/>
      <c r="L520" s="39"/>
      <c r="M520" s="38"/>
      <c r="N520" s="39"/>
      <c r="O520" s="38"/>
      <c r="Q520" s="38"/>
      <c r="R520" s="39"/>
      <c r="S520" s="39"/>
      <c r="T520" s="38"/>
      <c r="V520" s="38"/>
      <c r="W520" s="39"/>
      <c r="X520" s="38"/>
    </row>
    <row r="521" spans="2:24" x14ac:dyDescent="0.3">
      <c r="B521" s="38"/>
      <c r="C521" s="40"/>
      <c r="D521" s="19"/>
      <c r="E521" s="39"/>
      <c r="F521" s="12"/>
      <c r="H521"/>
      <c r="I521"/>
      <c r="K521" s="38"/>
      <c r="L521" s="39"/>
      <c r="M521" s="38"/>
      <c r="N521" s="39"/>
      <c r="O521" s="38"/>
      <c r="Q521" s="38"/>
      <c r="R521" s="39"/>
      <c r="S521" s="39"/>
      <c r="T521" s="38"/>
      <c r="V521" s="38"/>
      <c r="W521" s="39"/>
      <c r="X521" s="38"/>
    </row>
    <row r="522" spans="2:24" x14ac:dyDescent="0.3">
      <c r="B522" s="38"/>
      <c r="C522" s="40"/>
      <c r="D522" s="19"/>
      <c r="E522" s="39"/>
      <c r="F522" s="12"/>
      <c r="H522"/>
      <c r="I522"/>
      <c r="K522" s="38"/>
      <c r="L522" s="39"/>
      <c r="M522" s="38"/>
      <c r="N522" s="39"/>
      <c r="O522" s="38"/>
      <c r="Q522" s="38"/>
      <c r="R522" s="39"/>
      <c r="S522" s="39"/>
      <c r="T522" s="38"/>
      <c r="V522" s="38"/>
      <c r="W522" s="39"/>
      <c r="X522" s="38"/>
    </row>
    <row r="523" spans="2:24" x14ac:dyDescent="0.3">
      <c r="B523" s="38"/>
      <c r="C523" s="40"/>
      <c r="D523" s="19"/>
      <c r="E523" s="39"/>
      <c r="F523" s="12"/>
      <c r="H523"/>
      <c r="I523"/>
      <c r="K523" s="38"/>
      <c r="L523" s="39"/>
      <c r="M523" s="38"/>
      <c r="N523" s="39"/>
      <c r="O523" s="38"/>
      <c r="Q523" s="38"/>
      <c r="R523" s="39"/>
      <c r="S523" s="39"/>
      <c r="T523" s="38"/>
      <c r="V523" s="38"/>
      <c r="W523" s="39"/>
      <c r="X523" s="38"/>
    </row>
    <row r="524" spans="2:24" x14ac:dyDescent="0.3">
      <c r="B524" s="38"/>
      <c r="C524" s="40"/>
      <c r="D524" s="19"/>
      <c r="E524" s="39"/>
      <c r="F524" s="12"/>
      <c r="H524"/>
      <c r="I524"/>
      <c r="K524" s="38"/>
      <c r="L524" s="39"/>
      <c r="M524" s="38"/>
      <c r="N524" s="39"/>
      <c r="O524" s="38"/>
      <c r="Q524" s="38"/>
      <c r="R524" s="39"/>
      <c r="S524" s="39"/>
      <c r="T524" s="38"/>
      <c r="V524" s="38"/>
      <c r="W524" s="39"/>
      <c r="X524" s="38"/>
    </row>
    <row r="525" spans="2:24" x14ac:dyDescent="0.3">
      <c r="B525" s="38"/>
      <c r="C525" s="40"/>
      <c r="D525" s="19"/>
      <c r="E525" s="39"/>
      <c r="F525" s="12"/>
      <c r="H525"/>
      <c r="I525"/>
      <c r="K525" s="38"/>
      <c r="L525" s="39"/>
      <c r="M525" s="38"/>
      <c r="N525" s="39"/>
      <c r="O525" s="38"/>
      <c r="Q525" s="38"/>
      <c r="R525" s="39"/>
      <c r="S525" s="39"/>
      <c r="T525" s="38"/>
      <c r="V525" s="38"/>
      <c r="W525" s="39"/>
      <c r="X525" s="38"/>
    </row>
    <row r="526" spans="2:24" x14ac:dyDescent="0.3">
      <c r="B526" s="38"/>
      <c r="C526" s="40"/>
      <c r="D526" s="19"/>
      <c r="E526" s="39"/>
      <c r="F526" s="12"/>
      <c r="H526"/>
      <c r="I526"/>
      <c r="K526" s="38"/>
      <c r="L526" s="39"/>
      <c r="M526" s="38"/>
      <c r="N526" s="39"/>
      <c r="O526" s="38"/>
      <c r="Q526" s="38"/>
      <c r="R526" s="39"/>
      <c r="S526" s="39"/>
      <c r="T526" s="38"/>
      <c r="V526" s="38"/>
      <c r="W526" s="39"/>
      <c r="X526" s="38"/>
    </row>
    <row r="527" spans="2:24" x14ac:dyDescent="0.3">
      <c r="B527" s="38"/>
      <c r="C527" s="40"/>
      <c r="D527" s="19"/>
      <c r="E527" s="39"/>
      <c r="F527" s="12"/>
      <c r="H527"/>
      <c r="I527"/>
      <c r="K527" s="38"/>
      <c r="L527" s="39"/>
      <c r="M527" s="38"/>
      <c r="N527" s="39"/>
      <c r="O527" s="38"/>
      <c r="Q527" s="38"/>
      <c r="R527" s="39"/>
      <c r="S527" s="39"/>
      <c r="T527" s="38"/>
      <c r="V527" s="38"/>
      <c r="W527" s="39"/>
      <c r="X527" s="38"/>
    </row>
    <row r="528" spans="2:24" x14ac:dyDescent="0.3">
      <c r="B528" s="38"/>
      <c r="C528" s="40"/>
      <c r="D528" s="19"/>
      <c r="E528" s="39"/>
      <c r="F528" s="12"/>
      <c r="H528"/>
      <c r="I528"/>
      <c r="K528" s="38"/>
      <c r="L528" s="39"/>
      <c r="M528" s="38"/>
      <c r="N528" s="39"/>
      <c r="O528" s="38"/>
      <c r="Q528" s="38"/>
      <c r="R528" s="39"/>
      <c r="S528" s="39"/>
      <c r="T528" s="38"/>
      <c r="V528" s="38"/>
      <c r="W528" s="39"/>
      <c r="X528" s="38"/>
    </row>
    <row r="529" spans="2:24" x14ac:dyDescent="0.3">
      <c r="B529" s="38"/>
      <c r="C529" s="40"/>
      <c r="D529" s="19"/>
      <c r="E529" s="39"/>
      <c r="F529" s="12"/>
      <c r="H529"/>
      <c r="I529"/>
      <c r="K529" s="38"/>
      <c r="L529" s="39"/>
      <c r="M529" s="38"/>
      <c r="N529" s="39"/>
      <c r="O529" s="38"/>
      <c r="Q529" s="38"/>
      <c r="R529" s="39"/>
      <c r="S529" s="39"/>
      <c r="T529" s="38"/>
      <c r="V529" s="38"/>
      <c r="W529" s="39"/>
      <c r="X529" s="38"/>
    </row>
    <row r="530" spans="2:24" x14ac:dyDescent="0.3">
      <c r="B530" s="38"/>
      <c r="C530" s="40"/>
      <c r="D530" s="19"/>
      <c r="E530" s="39"/>
      <c r="F530" s="12"/>
      <c r="H530"/>
      <c r="I530"/>
      <c r="K530" s="38"/>
      <c r="L530" s="39"/>
      <c r="M530" s="38"/>
      <c r="N530" s="39"/>
      <c r="O530" s="38"/>
      <c r="Q530" s="38"/>
      <c r="R530" s="39"/>
      <c r="S530" s="39"/>
      <c r="T530" s="38"/>
      <c r="V530" s="38"/>
      <c r="W530" s="39"/>
      <c r="X530" s="38"/>
    </row>
    <row r="531" spans="2:24" x14ac:dyDescent="0.3">
      <c r="B531" s="38"/>
      <c r="C531" s="40"/>
      <c r="D531" s="19"/>
      <c r="E531" s="39"/>
      <c r="F531" s="12"/>
      <c r="H531"/>
      <c r="I531"/>
      <c r="K531" s="38"/>
      <c r="L531" s="39"/>
      <c r="M531" s="38"/>
      <c r="N531" s="39"/>
      <c r="O531" s="38"/>
      <c r="Q531" s="38"/>
      <c r="R531" s="39"/>
      <c r="S531" s="39"/>
      <c r="T531" s="38"/>
      <c r="V531" s="38"/>
      <c r="W531" s="39"/>
      <c r="X531" s="38"/>
    </row>
    <row r="532" spans="2:24" x14ac:dyDescent="0.3">
      <c r="B532" s="38"/>
      <c r="C532" s="40"/>
      <c r="D532" s="19"/>
      <c r="E532" s="39"/>
      <c r="F532" s="12"/>
      <c r="H532"/>
      <c r="I532"/>
      <c r="K532" s="38"/>
      <c r="L532" s="39"/>
      <c r="M532" s="38"/>
      <c r="N532" s="39"/>
      <c r="O532" s="38"/>
      <c r="Q532" s="38"/>
      <c r="R532" s="39"/>
      <c r="S532" s="39"/>
      <c r="T532" s="38"/>
      <c r="V532" s="38"/>
      <c r="W532" s="39"/>
      <c r="X532" s="38"/>
    </row>
    <row r="533" spans="2:24" x14ac:dyDescent="0.3">
      <c r="B533" s="38"/>
      <c r="C533" s="40"/>
      <c r="D533" s="19"/>
      <c r="E533" s="39"/>
      <c r="F533" s="12"/>
      <c r="H533"/>
      <c r="I533"/>
      <c r="K533" s="38"/>
      <c r="L533" s="39"/>
      <c r="M533" s="38"/>
      <c r="N533" s="39"/>
      <c r="O533" s="38"/>
      <c r="Q533" s="38"/>
      <c r="R533" s="39"/>
      <c r="S533" s="39"/>
      <c r="T533" s="38"/>
      <c r="V533" s="38"/>
      <c r="W533" s="39"/>
      <c r="X533" s="38"/>
    </row>
    <row r="534" spans="2:24" x14ac:dyDescent="0.3">
      <c r="B534" s="38"/>
      <c r="C534" s="40"/>
      <c r="D534" s="19"/>
      <c r="E534" s="39"/>
      <c r="F534" s="12"/>
      <c r="H534"/>
      <c r="I534"/>
      <c r="K534" s="38"/>
      <c r="L534" s="39"/>
      <c r="M534" s="38"/>
      <c r="N534" s="39"/>
      <c r="O534" s="38"/>
      <c r="Q534" s="38"/>
      <c r="R534" s="39"/>
      <c r="S534" s="39"/>
      <c r="T534" s="38"/>
      <c r="V534" s="38"/>
      <c r="W534" s="39"/>
      <c r="X534" s="38"/>
    </row>
    <row r="535" spans="2:24" x14ac:dyDescent="0.3">
      <c r="B535" s="38"/>
      <c r="C535" s="40"/>
      <c r="D535" s="19"/>
      <c r="E535" s="39"/>
      <c r="F535" s="12"/>
      <c r="H535"/>
      <c r="I535"/>
      <c r="K535" s="38"/>
      <c r="L535" s="39"/>
      <c r="M535" s="38"/>
      <c r="N535" s="39"/>
      <c r="O535" s="38"/>
      <c r="Q535" s="38"/>
      <c r="R535" s="39"/>
      <c r="S535" s="39"/>
      <c r="T535" s="38"/>
      <c r="V535" s="38"/>
      <c r="W535" s="39"/>
      <c r="X535" s="38"/>
    </row>
    <row r="536" spans="2:24" x14ac:dyDescent="0.3">
      <c r="B536" s="38"/>
      <c r="C536" s="40"/>
      <c r="D536" s="19"/>
      <c r="E536" s="39"/>
      <c r="F536" s="12"/>
      <c r="H536"/>
      <c r="I536"/>
      <c r="K536" s="38"/>
      <c r="L536" s="39"/>
      <c r="M536" s="38"/>
      <c r="N536" s="39"/>
      <c r="O536" s="38"/>
      <c r="Q536" s="38"/>
      <c r="R536" s="39"/>
      <c r="S536" s="39"/>
      <c r="T536" s="38"/>
      <c r="V536" s="38"/>
      <c r="W536" s="39"/>
      <c r="X536" s="38"/>
    </row>
    <row r="537" spans="2:24" x14ac:dyDescent="0.3">
      <c r="B537" s="38"/>
      <c r="C537" s="40"/>
      <c r="D537" s="19"/>
      <c r="E537" s="39"/>
      <c r="F537" s="12"/>
      <c r="H537"/>
      <c r="I537"/>
      <c r="K537" s="38"/>
      <c r="L537" s="39"/>
      <c r="M537" s="38"/>
      <c r="N537" s="39"/>
      <c r="O537" s="38"/>
      <c r="Q537" s="38"/>
      <c r="R537" s="39"/>
      <c r="S537" s="39"/>
      <c r="T537" s="38"/>
      <c r="V537" s="38"/>
      <c r="W537" s="39"/>
      <c r="X537" s="38"/>
    </row>
    <row r="538" spans="2:24" x14ac:dyDescent="0.3">
      <c r="B538" s="38"/>
      <c r="C538" s="40"/>
      <c r="D538" s="19"/>
      <c r="E538" s="39"/>
      <c r="F538" s="12"/>
      <c r="H538"/>
      <c r="I538"/>
      <c r="K538" s="38"/>
      <c r="L538" s="39"/>
      <c r="M538" s="38"/>
      <c r="N538" s="39"/>
      <c r="O538" s="38"/>
      <c r="Q538" s="38"/>
      <c r="R538" s="39"/>
      <c r="S538" s="39"/>
      <c r="T538" s="38"/>
      <c r="V538" s="38"/>
      <c r="W538" s="39"/>
      <c r="X538" s="38"/>
    </row>
    <row r="539" spans="2:24" x14ac:dyDescent="0.3">
      <c r="B539" s="38"/>
      <c r="C539" s="40"/>
      <c r="D539" s="19"/>
      <c r="E539" s="39"/>
      <c r="F539" s="12"/>
      <c r="H539"/>
      <c r="I539"/>
      <c r="K539" s="38"/>
      <c r="L539" s="39"/>
      <c r="M539" s="38"/>
      <c r="N539" s="39"/>
      <c r="O539" s="38"/>
      <c r="Q539" s="38"/>
      <c r="R539" s="39"/>
      <c r="S539" s="39"/>
      <c r="T539" s="38"/>
      <c r="V539" s="38"/>
      <c r="W539" s="39"/>
      <c r="X539" s="38"/>
    </row>
    <row r="540" spans="2:24" x14ac:dyDescent="0.3">
      <c r="B540" s="38"/>
      <c r="C540" s="40"/>
      <c r="D540" s="19"/>
      <c r="E540" s="39"/>
      <c r="F540" s="12"/>
      <c r="H540"/>
      <c r="I540"/>
      <c r="K540" s="38"/>
      <c r="L540" s="39"/>
      <c r="M540" s="38"/>
      <c r="N540" s="39"/>
      <c r="O540" s="38"/>
      <c r="Q540" s="38"/>
      <c r="R540" s="39"/>
      <c r="S540" s="39"/>
      <c r="T540" s="38"/>
      <c r="V540" s="38"/>
      <c r="W540" s="39"/>
      <c r="X540" s="38"/>
    </row>
    <row r="541" spans="2:24" x14ac:dyDescent="0.3">
      <c r="B541" s="38"/>
      <c r="C541" s="40"/>
      <c r="D541" s="19"/>
      <c r="E541" s="39"/>
      <c r="F541" s="12"/>
      <c r="H541"/>
      <c r="I541"/>
      <c r="K541" s="38"/>
      <c r="L541" s="39"/>
      <c r="M541" s="38"/>
      <c r="N541" s="39"/>
      <c r="O541" s="38"/>
      <c r="Q541" s="38"/>
      <c r="R541" s="39"/>
      <c r="S541" s="39"/>
      <c r="T541" s="38"/>
      <c r="V541" s="38"/>
      <c r="W541" s="39"/>
      <c r="X541" s="38"/>
    </row>
    <row r="542" spans="2:24" x14ac:dyDescent="0.3">
      <c r="B542" s="38"/>
      <c r="C542" s="40"/>
      <c r="D542" s="19"/>
      <c r="E542" s="39"/>
      <c r="F542" s="12"/>
      <c r="H542"/>
      <c r="I542"/>
      <c r="K542" s="38"/>
      <c r="L542" s="39"/>
      <c r="M542" s="38"/>
      <c r="N542" s="39"/>
      <c r="O542" s="38"/>
      <c r="Q542" s="38"/>
      <c r="R542" s="39"/>
      <c r="S542" s="39"/>
      <c r="T542" s="38"/>
      <c r="V542" s="38"/>
      <c r="W542" s="39"/>
      <c r="X542" s="38"/>
    </row>
    <row r="543" spans="2:24" x14ac:dyDescent="0.3">
      <c r="B543" s="38"/>
      <c r="C543" s="40"/>
      <c r="D543" s="19"/>
      <c r="E543" s="39"/>
      <c r="F543" s="12"/>
      <c r="H543"/>
      <c r="I543"/>
      <c r="K543" s="38"/>
      <c r="L543" s="39"/>
      <c r="M543" s="38"/>
      <c r="N543" s="39"/>
      <c r="O543" s="38"/>
      <c r="Q543" s="38"/>
      <c r="R543" s="39"/>
      <c r="S543" s="39"/>
      <c r="T543" s="38"/>
      <c r="V543" s="38"/>
      <c r="W543" s="39"/>
      <c r="X543" s="38"/>
    </row>
    <row r="544" spans="2:24" x14ac:dyDescent="0.3">
      <c r="B544" s="38"/>
      <c r="C544" s="40"/>
      <c r="D544" s="19"/>
      <c r="E544" s="39"/>
      <c r="F544" s="12"/>
      <c r="H544"/>
      <c r="I544"/>
      <c r="K544" s="38"/>
      <c r="L544" s="39"/>
      <c r="M544" s="38"/>
      <c r="N544" s="39"/>
      <c r="O544" s="38"/>
      <c r="Q544" s="38"/>
      <c r="R544" s="39"/>
      <c r="S544" s="39"/>
      <c r="T544" s="38"/>
      <c r="V544" s="38"/>
      <c r="W544" s="39"/>
      <c r="X544" s="38"/>
    </row>
    <row r="545" spans="2:24" x14ac:dyDescent="0.3">
      <c r="B545" s="38"/>
      <c r="C545" s="40"/>
      <c r="D545" s="19"/>
      <c r="E545" s="39"/>
      <c r="F545" s="12"/>
      <c r="H545"/>
      <c r="I545"/>
      <c r="K545" s="38"/>
      <c r="L545" s="39"/>
      <c r="M545" s="38"/>
      <c r="N545" s="39"/>
      <c r="O545" s="38"/>
      <c r="Q545" s="38"/>
      <c r="R545" s="39"/>
      <c r="S545" s="39"/>
      <c r="T545" s="38"/>
      <c r="V545" s="38"/>
      <c r="W545" s="39"/>
      <c r="X545" s="38"/>
    </row>
    <row r="546" spans="2:24" x14ac:dyDescent="0.3">
      <c r="B546" s="38"/>
      <c r="C546" s="40"/>
      <c r="D546" s="19"/>
      <c r="E546" s="39"/>
      <c r="F546" s="12"/>
      <c r="H546"/>
      <c r="I546"/>
      <c r="K546" s="38"/>
      <c r="L546" s="39"/>
      <c r="M546" s="38"/>
      <c r="N546" s="39"/>
      <c r="O546" s="38"/>
      <c r="Q546" s="38"/>
      <c r="R546" s="39"/>
      <c r="S546" s="39"/>
      <c r="T546" s="38"/>
      <c r="V546" s="38"/>
      <c r="W546" s="39"/>
      <c r="X546" s="38"/>
    </row>
    <row r="547" spans="2:24" x14ac:dyDescent="0.3">
      <c r="B547" s="38"/>
      <c r="C547" s="40"/>
      <c r="D547" s="19"/>
      <c r="E547" s="39"/>
      <c r="F547" s="12"/>
      <c r="H547"/>
      <c r="I547"/>
      <c r="K547" s="38"/>
      <c r="L547" s="39"/>
      <c r="M547" s="38"/>
      <c r="N547" s="39"/>
      <c r="O547" s="38"/>
      <c r="Q547" s="38"/>
      <c r="R547" s="39"/>
      <c r="S547" s="39"/>
      <c r="T547" s="38"/>
      <c r="V547" s="38"/>
      <c r="W547" s="39"/>
      <c r="X547" s="38"/>
    </row>
    <row r="548" spans="2:24" x14ac:dyDescent="0.3">
      <c r="B548" s="38"/>
      <c r="C548" s="40"/>
      <c r="D548" s="19"/>
      <c r="E548" s="39"/>
      <c r="F548" s="12"/>
      <c r="H548"/>
      <c r="I548"/>
      <c r="K548" s="38"/>
      <c r="L548" s="39"/>
      <c r="M548" s="38"/>
      <c r="N548" s="39"/>
      <c r="O548" s="38"/>
      <c r="Q548" s="38"/>
      <c r="R548" s="39"/>
      <c r="S548" s="39"/>
      <c r="T548" s="38"/>
      <c r="V548" s="38"/>
      <c r="W548" s="39"/>
      <c r="X548" s="38"/>
    </row>
    <row r="549" spans="2:24" x14ac:dyDescent="0.3">
      <c r="B549" s="38"/>
      <c r="C549" s="40"/>
      <c r="D549" s="19"/>
      <c r="E549" s="39"/>
      <c r="F549" s="12"/>
      <c r="H549"/>
      <c r="I549"/>
      <c r="K549" s="38"/>
      <c r="L549" s="39"/>
      <c r="M549" s="38"/>
      <c r="N549" s="39"/>
      <c r="O549" s="38"/>
      <c r="Q549" s="38"/>
      <c r="R549" s="39"/>
      <c r="S549" s="39"/>
      <c r="T549" s="38"/>
      <c r="V549" s="38"/>
      <c r="W549" s="39"/>
      <c r="X549" s="38"/>
    </row>
    <row r="550" spans="2:24" x14ac:dyDescent="0.3">
      <c r="B550" s="38"/>
      <c r="C550" s="40"/>
      <c r="D550" s="19"/>
      <c r="E550" s="39"/>
      <c r="F550" s="12"/>
      <c r="H550"/>
      <c r="I550"/>
      <c r="K550" s="38"/>
      <c r="L550" s="39"/>
      <c r="M550" s="38"/>
      <c r="N550" s="39"/>
      <c r="O550" s="38"/>
      <c r="Q550" s="38"/>
      <c r="R550" s="39"/>
      <c r="S550" s="39"/>
      <c r="T550" s="38"/>
      <c r="V550" s="38"/>
      <c r="W550" s="39"/>
      <c r="X550" s="38"/>
    </row>
    <row r="551" spans="2:24" x14ac:dyDescent="0.3">
      <c r="B551" s="38"/>
      <c r="C551" s="40"/>
      <c r="D551" s="19"/>
      <c r="E551" s="39"/>
      <c r="F551" s="12"/>
      <c r="H551"/>
      <c r="I551"/>
      <c r="K551" s="38"/>
      <c r="L551" s="39"/>
      <c r="M551" s="38"/>
      <c r="N551" s="39"/>
      <c r="O551" s="38"/>
      <c r="Q551" s="38"/>
      <c r="R551" s="39"/>
      <c r="S551" s="39"/>
      <c r="T551" s="38"/>
      <c r="V551" s="38"/>
      <c r="W551" s="39"/>
      <c r="X551" s="38"/>
    </row>
    <row r="552" spans="2:24" x14ac:dyDescent="0.3">
      <c r="B552" s="38"/>
      <c r="C552" s="40"/>
      <c r="D552" s="19"/>
      <c r="E552" s="39"/>
      <c r="F552" s="12"/>
      <c r="H552"/>
      <c r="I552"/>
      <c r="K552" s="38"/>
      <c r="L552" s="39"/>
      <c r="M552" s="38"/>
      <c r="N552" s="39"/>
      <c r="O552" s="38"/>
      <c r="Q552" s="38"/>
      <c r="R552" s="39"/>
      <c r="S552" s="39"/>
      <c r="T552" s="38"/>
      <c r="V552" s="38"/>
      <c r="W552" s="39"/>
      <c r="X552" s="38"/>
    </row>
    <row r="553" spans="2:24" x14ac:dyDescent="0.3">
      <c r="B553" s="38"/>
      <c r="C553" s="40"/>
      <c r="D553" s="19"/>
      <c r="E553" s="39"/>
      <c r="F553" s="12"/>
      <c r="H553"/>
      <c r="I553"/>
      <c r="K553" s="38"/>
      <c r="L553" s="39"/>
      <c r="M553" s="38"/>
      <c r="N553" s="39"/>
      <c r="O553" s="38"/>
      <c r="Q553" s="38"/>
      <c r="R553" s="39"/>
      <c r="S553" s="39"/>
      <c r="T553" s="38"/>
      <c r="V553" s="38"/>
      <c r="W553" s="39"/>
      <c r="X553" s="38"/>
    </row>
    <row r="554" spans="2:24" x14ac:dyDescent="0.3">
      <c r="B554" s="38"/>
      <c r="C554" s="40"/>
      <c r="D554" s="19"/>
      <c r="E554" s="39"/>
      <c r="F554" s="12"/>
      <c r="H554"/>
      <c r="I554"/>
      <c r="K554" s="38"/>
      <c r="L554" s="39"/>
      <c r="M554" s="38"/>
      <c r="N554" s="39"/>
      <c r="O554" s="38"/>
      <c r="Q554" s="38"/>
      <c r="R554" s="39"/>
      <c r="S554" s="39"/>
      <c r="T554" s="38"/>
      <c r="V554" s="38"/>
      <c r="W554" s="39"/>
      <c r="X554" s="38"/>
    </row>
    <row r="555" spans="2:24" x14ac:dyDescent="0.3">
      <c r="B555" s="38"/>
      <c r="C555" s="40"/>
      <c r="D555" s="19"/>
      <c r="E555" s="39"/>
      <c r="F555" s="12"/>
      <c r="H555"/>
      <c r="I555"/>
      <c r="K555" s="38"/>
      <c r="L555" s="39"/>
      <c r="M555" s="38"/>
      <c r="N555" s="39"/>
      <c r="O555" s="38"/>
      <c r="Q555" s="38"/>
      <c r="R555" s="39"/>
      <c r="S555" s="39"/>
      <c r="T555" s="38"/>
      <c r="V555" s="38"/>
      <c r="W555" s="39"/>
      <c r="X555" s="38"/>
    </row>
    <row r="556" spans="2:24" x14ac:dyDescent="0.3">
      <c r="B556" s="38"/>
      <c r="C556" s="40"/>
      <c r="D556" s="19"/>
      <c r="E556" s="39"/>
      <c r="F556" s="12"/>
      <c r="H556"/>
      <c r="I556"/>
      <c r="K556" s="38"/>
      <c r="L556" s="39"/>
      <c r="M556" s="38"/>
      <c r="N556" s="39"/>
      <c r="O556" s="38"/>
      <c r="Q556" s="38"/>
      <c r="R556" s="39"/>
      <c r="S556" s="39"/>
      <c r="T556" s="38"/>
      <c r="V556" s="38"/>
      <c r="W556" s="39"/>
      <c r="X556" s="38"/>
    </row>
    <row r="557" spans="2:24" x14ac:dyDescent="0.3">
      <c r="B557" s="38"/>
      <c r="C557" s="40"/>
      <c r="D557" s="19"/>
      <c r="E557" s="39"/>
      <c r="F557" s="12"/>
      <c r="H557"/>
      <c r="I557"/>
      <c r="K557" s="38"/>
      <c r="L557" s="39"/>
      <c r="M557" s="38"/>
      <c r="N557" s="39"/>
      <c r="O557" s="38"/>
      <c r="Q557" s="38"/>
      <c r="R557" s="39"/>
      <c r="S557" s="39"/>
      <c r="T557" s="38"/>
      <c r="V557" s="38"/>
      <c r="W557" s="39"/>
      <c r="X557" s="38"/>
    </row>
    <row r="558" spans="2:24" x14ac:dyDescent="0.3">
      <c r="B558" s="38"/>
      <c r="C558" s="40"/>
      <c r="D558" s="19"/>
      <c r="E558" s="39"/>
      <c r="F558" s="12"/>
      <c r="H558"/>
      <c r="I558"/>
      <c r="K558" s="38"/>
      <c r="L558" s="39"/>
      <c r="M558" s="38"/>
      <c r="N558" s="39"/>
      <c r="O558" s="38"/>
      <c r="Q558" s="38"/>
      <c r="R558" s="39"/>
      <c r="S558" s="39"/>
      <c r="T558" s="38"/>
      <c r="V558" s="38"/>
      <c r="W558" s="39"/>
      <c r="X558" s="38"/>
    </row>
    <row r="559" spans="2:24" x14ac:dyDescent="0.3">
      <c r="B559" s="38"/>
      <c r="C559" s="40"/>
      <c r="D559" s="19"/>
      <c r="E559" s="39"/>
      <c r="F559" s="12"/>
      <c r="H559"/>
      <c r="I559"/>
      <c r="K559" s="38"/>
      <c r="L559" s="39"/>
      <c r="M559" s="38"/>
      <c r="N559" s="39"/>
      <c r="O559" s="38"/>
      <c r="Q559" s="38"/>
      <c r="R559" s="39"/>
      <c r="S559" s="39"/>
      <c r="T559" s="38"/>
      <c r="V559" s="38"/>
      <c r="W559" s="39"/>
      <c r="X559" s="38"/>
    </row>
    <row r="560" spans="2:24" x14ac:dyDescent="0.3">
      <c r="B560" s="38"/>
      <c r="C560" s="40"/>
      <c r="D560" s="19"/>
      <c r="E560" s="39"/>
      <c r="F560" s="12"/>
      <c r="H560"/>
      <c r="I560"/>
      <c r="K560" s="38"/>
      <c r="L560" s="39"/>
      <c r="M560" s="38"/>
      <c r="N560" s="39"/>
      <c r="O560" s="38"/>
      <c r="Q560" s="38"/>
      <c r="R560" s="39"/>
      <c r="S560" s="39"/>
      <c r="T560" s="38"/>
      <c r="V560" s="38"/>
      <c r="W560" s="39"/>
      <c r="X560" s="38"/>
    </row>
    <row r="561" spans="2:24" x14ac:dyDescent="0.3">
      <c r="B561" s="38"/>
      <c r="C561" s="40"/>
      <c r="D561" s="19"/>
      <c r="E561" s="39"/>
      <c r="F561" s="12"/>
      <c r="H561"/>
      <c r="I561"/>
      <c r="K561" s="38"/>
      <c r="L561" s="39"/>
      <c r="N561" s="39"/>
      <c r="O561" s="38"/>
      <c r="Q561" s="38"/>
      <c r="R561" s="39"/>
      <c r="S561" s="39"/>
      <c r="T561" s="38"/>
      <c r="V561" s="38"/>
      <c r="W561" s="39"/>
      <c r="X561" s="38"/>
    </row>
    <row r="562" spans="2:24" x14ac:dyDescent="0.3">
      <c r="B562" s="38"/>
      <c r="C562" s="40"/>
      <c r="D562" s="19"/>
      <c r="E562" s="39"/>
      <c r="F562" s="12"/>
      <c r="H562"/>
      <c r="I562"/>
      <c r="K562" s="38"/>
      <c r="L562" s="39"/>
      <c r="N562" s="39"/>
      <c r="O562" s="38"/>
      <c r="Q562" s="38"/>
      <c r="R562" s="39"/>
      <c r="S562" s="39"/>
      <c r="T562" s="38"/>
      <c r="V562" s="38"/>
      <c r="W562" s="39"/>
      <c r="X562" s="38"/>
    </row>
    <row r="563" spans="2:24" x14ac:dyDescent="0.3">
      <c r="B563" s="38"/>
      <c r="C563" s="40"/>
      <c r="D563" s="19"/>
      <c r="E563" s="39"/>
      <c r="F563" s="12"/>
      <c r="H563"/>
      <c r="I563"/>
      <c r="K563" s="38"/>
      <c r="L563" s="39"/>
      <c r="N563" s="39"/>
      <c r="O563" s="38"/>
      <c r="Q563" s="38"/>
      <c r="R563" s="39"/>
      <c r="S563" s="39"/>
      <c r="T563" s="38"/>
      <c r="V563" s="38"/>
      <c r="W563" s="39"/>
      <c r="X563" s="38"/>
    </row>
    <row r="564" spans="2:24" x14ac:dyDescent="0.3">
      <c r="B564" s="38"/>
      <c r="C564" s="40"/>
      <c r="D564" s="19"/>
      <c r="E564" s="39"/>
      <c r="F564" s="12"/>
      <c r="H564"/>
      <c r="I564"/>
      <c r="K564" s="38"/>
      <c r="L564" s="39"/>
      <c r="M564" s="38"/>
      <c r="N564" s="39"/>
      <c r="O564" s="38"/>
      <c r="Q564" s="38"/>
      <c r="R564" s="39"/>
      <c r="S564" s="39"/>
      <c r="T564" s="38"/>
      <c r="V564" s="38"/>
      <c r="W564" s="39"/>
      <c r="X564" s="38"/>
    </row>
    <row r="565" spans="2:24" x14ac:dyDescent="0.3">
      <c r="B565" s="38"/>
      <c r="C565" s="40"/>
      <c r="D565" s="19"/>
      <c r="E565" s="39"/>
      <c r="F565" s="12"/>
      <c r="H565"/>
      <c r="I565"/>
      <c r="K565" s="38"/>
      <c r="L565" s="39"/>
      <c r="M565" s="38"/>
      <c r="N565" s="39"/>
      <c r="O565" s="38"/>
      <c r="Q565" s="38"/>
      <c r="R565" s="39"/>
      <c r="S565" s="39"/>
      <c r="T565" s="38"/>
      <c r="V565" s="38"/>
      <c r="W565" s="39"/>
      <c r="X565" s="38"/>
    </row>
    <row r="566" spans="2:24" x14ac:dyDescent="0.3">
      <c r="B566" s="38"/>
      <c r="C566" s="40"/>
      <c r="D566" s="19"/>
      <c r="E566" s="39"/>
      <c r="F566" s="12"/>
      <c r="H566"/>
      <c r="I566"/>
      <c r="K566" s="38"/>
      <c r="L566" s="39"/>
      <c r="M566" s="38"/>
      <c r="N566" s="39"/>
      <c r="O566" s="38"/>
      <c r="Q566" s="38"/>
      <c r="R566" s="39"/>
      <c r="S566" s="39"/>
      <c r="T566" s="38"/>
      <c r="V566" s="38"/>
      <c r="W566" s="39"/>
      <c r="X566" s="38"/>
    </row>
    <row r="567" spans="2:24" x14ac:dyDescent="0.3">
      <c r="B567" s="38"/>
      <c r="C567" s="40"/>
      <c r="D567" s="19"/>
      <c r="E567" s="39"/>
      <c r="F567" s="12"/>
      <c r="H567"/>
      <c r="I567"/>
      <c r="K567" s="38"/>
      <c r="L567" s="39"/>
      <c r="M567" s="38"/>
      <c r="N567" s="39"/>
      <c r="O567" s="38"/>
      <c r="Q567" s="38"/>
      <c r="R567" s="39"/>
      <c r="S567" s="39"/>
      <c r="T567" s="38"/>
      <c r="V567" s="38"/>
      <c r="W567" s="39"/>
      <c r="X567" s="38"/>
    </row>
    <row r="568" spans="2:24" x14ac:dyDescent="0.3">
      <c r="B568" s="38"/>
      <c r="C568" s="40"/>
      <c r="D568" s="19"/>
      <c r="E568" s="39"/>
      <c r="F568" s="12"/>
      <c r="H568"/>
      <c r="I568"/>
      <c r="K568" s="38"/>
      <c r="L568" s="39"/>
      <c r="M568" s="38"/>
      <c r="N568" s="39"/>
      <c r="O568" s="38"/>
      <c r="Q568" s="38"/>
      <c r="R568" s="39"/>
      <c r="S568" s="39"/>
      <c r="T568" s="38"/>
      <c r="V568" s="38"/>
      <c r="W568" s="39"/>
      <c r="X568" s="38"/>
    </row>
    <row r="569" spans="2:24" x14ac:dyDescent="0.3">
      <c r="B569" s="38"/>
      <c r="C569" s="40"/>
      <c r="D569" s="19"/>
      <c r="E569" s="39"/>
      <c r="F569" s="12"/>
      <c r="H569"/>
      <c r="I569"/>
      <c r="K569" s="38"/>
      <c r="L569" s="39"/>
      <c r="M569" s="38"/>
      <c r="N569" s="39"/>
      <c r="O569" s="38"/>
      <c r="Q569" s="38"/>
      <c r="R569" s="39"/>
      <c r="S569" s="39"/>
      <c r="T569" s="38"/>
      <c r="V569" s="38"/>
      <c r="W569" s="39"/>
      <c r="X569" s="38"/>
    </row>
    <row r="570" spans="2:24" x14ac:dyDescent="0.3">
      <c r="B570" s="38"/>
      <c r="C570" s="40"/>
      <c r="D570" s="19"/>
      <c r="E570" s="39"/>
      <c r="F570" s="12"/>
      <c r="H570"/>
      <c r="I570"/>
      <c r="K570" s="38"/>
      <c r="L570" s="39"/>
      <c r="M570" s="38"/>
      <c r="N570" s="39"/>
      <c r="O570" s="38"/>
      <c r="Q570" s="38"/>
      <c r="R570" s="39"/>
      <c r="S570" s="39"/>
      <c r="T570" s="38"/>
      <c r="V570" s="38"/>
      <c r="W570" s="39"/>
      <c r="X570" s="38"/>
    </row>
    <row r="571" spans="2:24" x14ac:dyDescent="0.3">
      <c r="B571" s="38"/>
      <c r="C571" s="40"/>
      <c r="D571" s="19"/>
      <c r="E571" s="39"/>
      <c r="F571" s="12"/>
      <c r="H571"/>
      <c r="I571"/>
      <c r="K571" s="38"/>
      <c r="L571" s="39"/>
      <c r="M571" s="38"/>
      <c r="N571" s="39"/>
      <c r="O571" s="38"/>
      <c r="Q571" s="38"/>
      <c r="R571" s="39"/>
      <c r="S571" s="39"/>
      <c r="T571" s="38"/>
      <c r="V571" s="38"/>
      <c r="W571" s="39"/>
      <c r="X571" s="38"/>
    </row>
    <row r="572" spans="2:24" x14ac:dyDescent="0.3">
      <c r="B572" s="38"/>
      <c r="C572" s="40"/>
      <c r="D572" s="19"/>
      <c r="E572" s="39"/>
      <c r="F572" s="12"/>
      <c r="H572"/>
      <c r="I572"/>
      <c r="K572" s="38"/>
      <c r="L572" s="39"/>
      <c r="M572" s="38"/>
      <c r="N572" s="39"/>
      <c r="O572" s="38"/>
      <c r="Q572" s="38"/>
      <c r="R572" s="39"/>
      <c r="S572" s="39"/>
      <c r="T572" s="38"/>
      <c r="V572" s="38"/>
      <c r="W572" s="39"/>
      <c r="X572" s="38"/>
    </row>
    <row r="573" spans="2:24" x14ac:dyDescent="0.3">
      <c r="B573" s="38"/>
      <c r="C573" s="40"/>
      <c r="D573" s="19"/>
      <c r="E573" s="39"/>
      <c r="F573" s="12"/>
      <c r="H573"/>
      <c r="I573"/>
      <c r="K573" s="38"/>
      <c r="L573" s="39"/>
      <c r="M573" s="38"/>
      <c r="N573" s="39"/>
      <c r="O573" s="38"/>
      <c r="Q573" s="38"/>
      <c r="R573" s="39"/>
      <c r="S573" s="39"/>
      <c r="T573" s="38"/>
      <c r="V573" s="38"/>
      <c r="W573" s="39"/>
      <c r="X573" s="38"/>
    </row>
    <row r="574" spans="2:24" x14ac:dyDescent="0.3">
      <c r="B574" s="38"/>
      <c r="C574" s="40"/>
      <c r="D574" s="19"/>
      <c r="E574" s="39"/>
      <c r="F574" s="12"/>
      <c r="H574"/>
      <c r="I574"/>
      <c r="K574" s="38"/>
      <c r="L574" s="39"/>
      <c r="M574" s="38"/>
      <c r="N574" s="39"/>
      <c r="O574" s="38"/>
      <c r="Q574" s="38"/>
      <c r="R574" s="39"/>
      <c r="S574" s="39"/>
      <c r="T574" s="38"/>
      <c r="V574" s="38"/>
      <c r="W574" s="39"/>
      <c r="X574" s="38"/>
    </row>
    <row r="575" spans="2:24" x14ac:dyDescent="0.3">
      <c r="B575" s="38"/>
      <c r="C575" s="40"/>
      <c r="D575" s="19"/>
      <c r="E575" s="39"/>
      <c r="F575" s="12"/>
      <c r="H575"/>
      <c r="I575"/>
      <c r="K575" s="38"/>
      <c r="L575" s="39"/>
      <c r="M575" s="38"/>
      <c r="N575" s="39"/>
      <c r="O575" s="38"/>
      <c r="Q575" s="38"/>
      <c r="R575" s="39"/>
      <c r="S575" s="39"/>
      <c r="T575" s="38"/>
      <c r="V575" s="38"/>
      <c r="W575" s="39"/>
      <c r="X575" s="38"/>
    </row>
    <row r="576" spans="2:24" x14ac:dyDescent="0.3">
      <c r="B576" s="38"/>
      <c r="C576" s="40"/>
      <c r="D576" s="19"/>
      <c r="E576" s="39"/>
      <c r="F576" s="12"/>
      <c r="H576"/>
      <c r="I576"/>
      <c r="K576" s="38"/>
      <c r="L576" s="39"/>
      <c r="M576" s="38"/>
      <c r="N576" s="39"/>
      <c r="O576" s="38"/>
      <c r="Q576" s="38"/>
      <c r="R576" s="39"/>
      <c r="S576" s="39"/>
      <c r="T576" s="38"/>
      <c r="V576" s="38"/>
      <c r="W576" s="39"/>
      <c r="X576" s="38"/>
    </row>
    <row r="577" spans="2:24" x14ac:dyDescent="0.3">
      <c r="B577" s="38"/>
      <c r="C577" s="40"/>
      <c r="D577" s="19"/>
      <c r="E577" s="39"/>
      <c r="F577" s="12"/>
      <c r="H577"/>
      <c r="I577"/>
      <c r="K577" s="38"/>
      <c r="L577" s="39"/>
      <c r="M577" s="38"/>
      <c r="N577" s="39"/>
      <c r="O577" s="38"/>
      <c r="Q577" s="38"/>
      <c r="R577" s="39"/>
      <c r="S577" s="39"/>
      <c r="T577" s="38"/>
      <c r="V577" s="38"/>
      <c r="W577" s="39"/>
      <c r="X577" s="38"/>
    </row>
    <row r="578" spans="2:24" x14ac:dyDescent="0.3">
      <c r="B578" s="38"/>
      <c r="C578" s="40"/>
      <c r="D578" s="19"/>
      <c r="E578" s="39"/>
      <c r="F578" s="12"/>
      <c r="H578"/>
      <c r="I578"/>
      <c r="K578" s="38"/>
      <c r="L578" s="39"/>
      <c r="M578" s="38"/>
      <c r="N578" s="39"/>
      <c r="O578" s="38"/>
      <c r="Q578" s="38"/>
      <c r="R578" s="39"/>
      <c r="S578" s="39"/>
      <c r="T578" s="38"/>
      <c r="V578" s="38"/>
      <c r="W578" s="39"/>
      <c r="X578" s="38"/>
    </row>
    <row r="579" spans="2:24" x14ac:dyDescent="0.3">
      <c r="B579" s="38"/>
      <c r="C579" s="40"/>
      <c r="D579" s="19"/>
      <c r="E579" s="39"/>
      <c r="F579" s="12"/>
      <c r="H579"/>
      <c r="I579"/>
      <c r="K579" s="38"/>
      <c r="L579" s="39"/>
      <c r="M579" s="38"/>
      <c r="N579" s="39"/>
      <c r="O579" s="38"/>
      <c r="Q579" s="38"/>
      <c r="R579" s="39"/>
      <c r="S579" s="39"/>
      <c r="T579" s="38"/>
      <c r="V579" s="38"/>
      <c r="W579" s="39"/>
      <c r="X579" s="38"/>
    </row>
    <row r="580" spans="2:24" x14ac:dyDescent="0.3">
      <c r="B580" s="38"/>
      <c r="C580" s="40"/>
      <c r="D580" s="19"/>
      <c r="E580" s="39"/>
      <c r="F580" s="12"/>
      <c r="H580"/>
      <c r="I580"/>
      <c r="K580" s="38"/>
      <c r="L580" s="39"/>
      <c r="M580" s="38"/>
      <c r="N580" s="39"/>
      <c r="O580" s="38"/>
      <c r="Q580" s="38"/>
      <c r="R580" s="39"/>
      <c r="S580" s="39"/>
      <c r="T580" s="38"/>
      <c r="V580" s="38"/>
      <c r="W580" s="39"/>
      <c r="X580" s="38"/>
    </row>
    <row r="581" spans="2:24" x14ac:dyDescent="0.3">
      <c r="B581" s="38"/>
      <c r="C581" s="40"/>
      <c r="D581" s="19"/>
      <c r="E581" s="39"/>
      <c r="F581" s="12"/>
      <c r="H581"/>
      <c r="I581"/>
      <c r="K581" s="38"/>
      <c r="L581" s="39"/>
      <c r="M581" s="38"/>
      <c r="N581" s="39"/>
      <c r="O581" s="38"/>
      <c r="Q581" s="38"/>
      <c r="R581" s="39"/>
      <c r="S581" s="39"/>
      <c r="T581" s="38"/>
      <c r="V581" s="38"/>
      <c r="W581" s="39"/>
      <c r="X581" s="38"/>
    </row>
    <row r="582" spans="2:24" x14ac:dyDescent="0.3">
      <c r="B582" s="38"/>
      <c r="C582" s="40"/>
      <c r="D582" s="19"/>
      <c r="E582" s="39"/>
      <c r="F582" s="12"/>
      <c r="H582"/>
      <c r="I582"/>
      <c r="K582" s="38"/>
      <c r="L582" s="39"/>
      <c r="M582" s="38"/>
      <c r="N582" s="39"/>
      <c r="O582" s="38"/>
      <c r="S582" s="39"/>
      <c r="T582" s="38"/>
      <c r="V582" s="38"/>
      <c r="W582" s="39"/>
      <c r="X582" s="38"/>
    </row>
    <row r="583" spans="2:24" x14ac:dyDescent="0.3">
      <c r="B583" s="38"/>
      <c r="C583" s="40"/>
      <c r="D583" s="19"/>
      <c r="E583" s="39"/>
      <c r="F583" s="12"/>
      <c r="H583"/>
      <c r="I583"/>
      <c r="K583" s="38"/>
      <c r="L583" s="39"/>
      <c r="M583" s="38"/>
      <c r="N583" s="39"/>
      <c r="O583" s="38"/>
      <c r="S583" s="39"/>
      <c r="T583" s="38"/>
      <c r="V583" s="38"/>
      <c r="W583" s="39"/>
      <c r="X583" s="38"/>
    </row>
    <row r="584" spans="2:24" x14ac:dyDescent="0.3">
      <c r="B584" s="38"/>
      <c r="C584" s="40"/>
      <c r="D584" s="19"/>
      <c r="E584" s="39"/>
      <c r="F584" s="12"/>
      <c r="H584"/>
      <c r="I584"/>
      <c r="K584" s="38"/>
      <c r="L584" s="39"/>
      <c r="M584" s="38"/>
      <c r="N584" s="39"/>
      <c r="O584" s="38"/>
      <c r="Q584" s="38"/>
      <c r="R584" s="39"/>
      <c r="S584" s="39"/>
      <c r="T584" s="38"/>
      <c r="V584" s="38"/>
      <c r="W584" s="39"/>
      <c r="X584" s="38"/>
    </row>
    <row r="585" spans="2:24" x14ac:dyDescent="0.3">
      <c r="B585" s="38"/>
      <c r="C585" s="40"/>
      <c r="D585" s="19"/>
      <c r="E585" s="39"/>
      <c r="F585" s="12"/>
      <c r="H585"/>
      <c r="I585"/>
      <c r="K585" s="38"/>
      <c r="L585" s="39"/>
      <c r="M585" s="38"/>
      <c r="N585" s="39"/>
      <c r="O585" s="38"/>
      <c r="Q585" s="38"/>
      <c r="R585" s="39"/>
      <c r="S585" s="39"/>
      <c r="T585" s="38"/>
      <c r="V585" s="38"/>
      <c r="W585" s="39"/>
      <c r="X585" s="38"/>
    </row>
    <row r="586" spans="2:24" x14ac:dyDescent="0.3">
      <c r="B586" s="38"/>
      <c r="C586" s="40"/>
      <c r="D586" s="19"/>
      <c r="E586" s="39"/>
      <c r="F586" s="12"/>
      <c r="H586"/>
      <c r="I586"/>
      <c r="K586" s="38"/>
      <c r="L586" s="39"/>
      <c r="M586" s="38"/>
      <c r="N586" s="39"/>
      <c r="O586" s="38"/>
      <c r="Q586" s="38"/>
      <c r="R586" s="39"/>
      <c r="S586" s="39"/>
      <c r="T586" s="38"/>
      <c r="V586" s="38"/>
      <c r="W586" s="39"/>
      <c r="X586" s="38"/>
    </row>
    <row r="587" spans="2:24" x14ac:dyDescent="0.3">
      <c r="B587" s="38"/>
      <c r="C587" s="40"/>
      <c r="D587" s="19"/>
      <c r="E587" s="39"/>
      <c r="F587" s="12"/>
      <c r="H587"/>
      <c r="I587"/>
      <c r="K587" s="38"/>
      <c r="L587" s="39"/>
      <c r="M587" s="38"/>
      <c r="N587" s="39"/>
      <c r="O587" s="38"/>
      <c r="Q587" s="38"/>
      <c r="R587" s="39"/>
      <c r="S587" s="39"/>
      <c r="T587" s="38"/>
      <c r="V587" s="38"/>
      <c r="W587" s="39"/>
      <c r="X587" s="38"/>
    </row>
    <row r="588" spans="2:24" x14ac:dyDescent="0.3">
      <c r="B588" s="38"/>
      <c r="C588" s="40"/>
      <c r="D588" s="19"/>
      <c r="E588" s="39"/>
      <c r="F588" s="12"/>
      <c r="H588"/>
      <c r="I588"/>
      <c r="K588" s="38"/>
      <c r="L588" s="39"/>
      <c r="M588" s="38"/>
      <c r="N588" s="39"/>
      <c r="O588" s="38"/>
      <c r="Q588" s="38"/>
      <c r="R588" s="39"/>
      <c r="S588" s="39"/>
      <c r="T588" s="38"/>
      <c r="V588" s="38"/>
      <c r="W588" s="39"/>
      <c r="X588" s="38"/>
    </row>
    <row r="589" spans="2:24" x14ac:dyDescent="0.3">
      <c r="B589" s="38"/>
      <c r="C589" s="40"/>
      <c r="D589" s="19"/>
      <c r="E589" s="39"/>
      <c r="F589" s="12"/>
      <c r="H589"/>
      <c r="I589"/>
      <c r="K589" s="38"/>
      <c r="L589" s="39"/>
      <c r="M589" s="38"/>
      <c r="N589" s="39"/>
      <c r="O589" s="38"/>
      <c r="Q589" s="38"/>
      <c r="R589" s="39"/>
      <c r="S589" s="39"/>
      <c r="T589" s="38"/>
      <c r="V589" s="38"/>
      <c r="W589" s="39"/>
      <c r="X589" s="38"/>
    </row>
    <row r="590" spans="2:24" x14ac:dyDescent="0.3">
      <c r="B590" s="38"/>
      <c r="C590" s="40"/>
      <c r="D590" s="19"/>
      <c r="E590" s="39"/>
      <c r="F590" s="12"/>
      <c r="H590"/>
      <c r="I590"/>
      <c r="K590" s="38"/>
      <c r="L590" s="39"/>
      <c r="M590" s="38"/>
      <c r="N590" s="39"/>
      <c r="O590" s="38"/>
      <c r="Q590" s="38"/>
      <c r="R590" s="39"/>
      <c r="S590" s="39"/>
      <c r="T590" s="38"/>
      <c r="V590" s="38"/>
      <c r="W590" s="39"/>
      <c r="X590" s="38"/>
    </row>
    <row r="591" spans="2:24" x14ac:dyDescent="0.3">
      <c r="B591" s="38"/>
      <c r="C591" s="40"/>
      <c r="D591" s="19"/>
      <c r="E591" s="39"/>
      <c r="F591" s="12"/>
      <c r="H591"/>
      <c r="I591"/>
      <c r="K591" s="38"/>
      <c r="L591" s="39"/>
      <c r="M591" s="38"/>
      <c r="N591" s="39"/>
      <c r="O591" s="38"/>
      <c r="Q591" s="38"/>
      <c r="R591" s="39"/>
      <c r="S591" s="39"/>
      <c r="T591" s="38"/>
      <c r="V591" s="38"/>
      <c r="W591" s="39"/>
      <c r="X591" s="38"/>
    </row>
    <row r="592" spans="2:24" x14ac:dyDescent="0.3">
      <c r="B592" s="38"/>
      <c r="C592" s="40"/>
      <c r="D592" s="19"/>
      <c r="E592" s="39"/>
      <c r="F592" s="12"/>
      <c r="H592"/>
      <c r="I592"/>
      <c r="K592" s="38"/>
      <c r="L592" s="39"/>
      <c r="M592" s="38"/>
      <c r="N592" s="39"/>
      <c r="O592" s="38"/>
      <c r="Q592" s="38"/>
      <c r="R592" s="39"/>
      <c r="S592" s="39"/>
      <c r="T592" s="38"/>
      <c r="V592" s="38"/>
      <c r="W592" s="39"/>
      <c r="X592" s="38"/>
    </row>
    <row r="593" spans="2:24" x14ac:dyDescent="0.3">
      <c r="B593" s="38"/>
      <c r="C593" s="40"/>
      <c r="D593" s="19"/>
      <c r="E593" s="39"/>
      <c r="F593" s="12"/>
      <c r="H593"/>
      <c r="I593"/>
      <c r="K593" s="38"/>
      <c r="L593" s="39"/>
      <c r="M593" s="38"/>
      <c r="N593" s="39"/>
      <c r="O593" s="38"/>
      <c r="Q593" s="38"/>
      <c r="R593" s="39"/>
      <c r="S593" s="39"/>
      <c r="T593" s="38"/>
      <c r="V593" s="38"/>
      <c r="W593" s="39"/>
      <c r="X593" s="38"/>
    </row>
    <row r="594" spans="2:24" x14ac:dyDescent="0.3">
      <c r="B594" s="38"/>
      <c r="C594" s="40"/>
      <c r="D594" s="19"/>
      <c r="E594" s="39"/>
      <c r="F594" s="12"/>
      <c r="H594"/>
      <c r="I594"/>
      <c r="K594" s="38"/>
      <c r="L594" s="39"/>
      <c r="M594" s="38"/>
      <c r="N594" s="39"/>
      <c r="O594" s="38"/>
      <c r="Q594" s="38"/>
      <c r="R594" s="39"/>
      <c r="S594" s="39"/>
      <c r="T594" s="38"/>
      <c r="V594" s="38"/>
      <c r="W594" s="39"/>
      <c r="X594" s="38"/>
    </row>
    <row r="595" spans="2:24" x14ac:dyDescent="0.3">
      <c r="B595" s="38"/>
      <c r="C595" s="40"/>
      <c r="D595" s="19"/>
      <c r="E595" s="39"/>
      <c r="F595" s="12"/>
      <c r="H595"/>
      <c r="I595"/>
      <c r="K595" s="38"/>
      <c r="L595" s="39"/>
      <c r="M595" s="38"/>
      <c r="N595" s="39"/>
      <c r="O595" s="38"/>
      <c r="Q595" s="38"/>
      <c r="R595" s="39"/>
      <c r="S595" s="39"/>
      <c r="T595" s="38"/>
      <c r="V595" s="38"/>
      <c r="W595" s="39"/>
      <c r="X595" s="38"/>
    </row>
    <row r="596" spans="2:24" x14ac:dyDescent="0.3">
      <c r="B596" s="38"/>
      <c r="C596" s="40"/>
      <c r="D596" s="19"/>
      <c r="E596" s="39"/>
      <c r="F596" s="12"/>
      <c r="H596"/>
      <c r="I596"/>
      <c r="K596" s="38"/>
      <c r="L596" s="39"/>
      <c r="M596" s="38"/>
      <c r="N596" s="39"/>
      <c r="O596" s="38"/>
      <c r="Q596" s="38"/>
      <c r="R596" s="39"/>
      <c r="S596" s="39"/>
      <c r="T596" s="38"/>
      <c r="V596" s="38"/>
      <c r="W596" s="39"/>
      <c r="X596" s="38"/>
    </row>
    <row r="597" spans="2:24" x14ac:dyDescent="0.3">
      <c r="B597" s="38"/>
      <c r="C597" s="40"/>
      <c r="D597" s="19"/>
      <c r="E597" s="39"/>
      <c r="F597" s="12"/>
      <c r="H597"/>
      <c r="I597"/>
      <c r="K597" s="38"/>
      <c r="L597" s="39"/>
      <c r="M597" s="38"/>
      <c r="N597" s="39"/>
      <c r="O597" s="38"/>
      <c r="Q597" s="38"/>
      <c r="R597" s="39"/>
      <c r="S597" s="39"/>
      <c r="T597" s="38"/>
      <c r="V597" s="38"/>
      <c r="W597" s="39"/>
      <c r="X597" s="38"/>
    </row>
    <row r="598" spans="2:24" x14ac:dyDescent="0.3">
      <c r="B598" s="38"/>
      <c r="C598" s="40"/>
      <c r="D598" s="19"/>
      <c r="E598" s="39"/>
      <c r="F598" s="12"/>
      <c r="H598"/>
      <c r="I598"/>
      <c r="K598" s="38"/>
      <c r="L598" s="39"/>
      <c r="M598" s="38"/>
      <c r="N598" s="39"/>
      <c r="O598" s="38"/>
      <c r="Q598" s="38"/>
      <c r="R598" s="39"/>
      <c r="S598" s="39"/>
      <c r="T598" s="38"/>
      <c r="V598" s="38"/>
      <c r="W598" s="39"/>
      <c r="X598" s="38"/>
    </row>
    <row r="599" spans="2:24" x14ac:dyDescent="0.3">
      <c r="B599" s="38"/>
      <c r="C599" s="40"/>
      <c r="D599" s="19"/>
      <c r="E599" s="39"/>
      <c r="F599" s="12"/>
      <c r="H599"/>
      <c r="I599"/>
      <c r="K599" s="38"/>
      <c r="L599" s="39"/>
      <c r="M599" s="38"/>
      <c r="N599" s="39"/>
      <c r="O599" s="38"/>
      <c r="Q599" s="38"/>
      <c r="R599" s="39"/>
      <c r="S599" s="39"/>
      <c r="T599" s="38"/>
      <c r="V599" s="38"/>
      <c r="W599" s="39"/>
      <c r="X599" s="38"/>
    </row>
    <row r="600" spans="2:24" x14ac:dyDescent="0.3">
      <c r="B600" s="38"/>
      <c r="C600" s="40"/>
      <c r="D600" s="19"/>
      <c r="E600" s="39"/>
      <c r="F600" s="12"/>
      <c r="H600"/>
      <c r="I600"/>
      <c r="K600" s="38"/>
      <c r="L600" s="39"/>
      <c r="M600" s="38"/>
      <c r="N600" s="39"/>
      <c r="O600" s="38"/>
      <c r="Q600" s="38"/>
      <c r="R600" s="39"/>
      <c r="S600" s="39"/>
      <c r="T600" s="38"/>
      <c r="V600" s="38"/>
      <c r="W600" s="39"/>
      <c r="X600" s="38"/>
    </row>
    <row r="601" spans="2:24" x14ac:dyDescent="0.3">
      <c r="B601" s="38"/>
      <c r="C601" s="40"/>
      <c r="D601" s="19"/>
      <c r="E601" s="39"/>
      <c r="F601" s="12"/>
      <c r="H601"/>
      <c r="I601"/>
      <c r="K601" s="38"/>
      <c r="L601" s="39"/>
      <c r="M601" s="38"/>
      <c r="N601" s="39"/>
      <c r="O601" s="38"/>
      <c r="Q601" s="38"/>
      <c r="R601" s="39"/>
      <c r="S601" s="39"/>
      <c r="T601" s="38"/>
      <c r="V601" s="38"/>
      <c r="W601" s="39"/>
      <c r="X601" s="38"/>
    </row>
    <row r="602" spans="2:24" x14ac:dyDescent="0.3">
      <c r="B602" s="38"/>
      <c r="C602" s="40"/>
      <c r="D602" s="19"/>
      <c r="E602" s="39"/>
      <c r="F602" s="12"/>
      <c r="H602"/>
      <c r="I602"/>
      <c r="K602" s="38"/>
      <c r="L602" s="39"/>
      <c r="M602" s="38"/>
      <c r="N602" s="39"/>
      <c r="O602" s="38"/>
      <c r="Q602" s="38"/>
      <c r="R602" s="39"/>
      <c r="S602" s="39"/>
      <c r="T602" s="38"/>
      <c r="V602" s="38"/>
      <c r="W602" s="39"/>
      <c r="X602" s="38"/>
    </row>
    <row r="603" spans="2:24" x14ac:dyDescent="0.3">
      <c r="B603" s="38"/>
      <c r="C603" s="40"/>
      <c r="D603" s="19"/>
      <c r="E603" s="39"/>
      <c r="F603" s="12"/>
      <c r="H603"/>
      <c r="I603"/>
      <c r="K603" s="38"/>
      <c r="L603" s="39"/>
      <c r="M603" s="38"/>
      <c r="N603" s="39"/>
      <c r="O603" s="38"/>
      <c r="Q603" s="38"/>
      <c r="R603" s="39"/>
      <c r="S603" s="39"/>
      <c r="T603" s="38"/>
      <c r="V603" s="38"/>
      <c r="W603" s="39"/>
      <c r="X603" s="38"/>
    </row>
    <row r="604" spans="2:24" x14ac:dyDescent="0.3">
      <c r="B604" s="38"/>
      <c r="C604" s="40"/>
      <c r="D604" s="19"/>
      <c r="E604" s="39"/>
      <c r="F604" s="12"/>
      <c r="H604"/>
      <c r="I604"/>
      <c r="K604" s="38"/>
      <c r="L604" s="39"/>
      <c r="M604" s="38"/>
      <c r="N604" s="39"/>
      <c r="O604" s="38"/>
      <c r="Q604" s="38"/>
      <c r="R604" s="39"/>
      <c r="S604" s="39"/>
      <c r="T604" s="38"/>
      <c r="V604" s="38"/>
      <c r="W604" s="39"/>
      <c r="X604" s="38"/>
    </row>
    <row r="605" spans="2:24" x14ac:dyDescent="0.3">
      <c r="B605" s="38"/>
      <c r="C605" s="40"/>
      <c r="D605" s="19"/>
      <c r="E605" s="39"/>
      <c r="F605" s="12"/>
      <c r="H605"/>
      <c r="I605"/>
      <c r="K605" s="38"/>
      <c r="L605" s="39"/>
      <c r="M605" s="38"/>
      <c r="N605" s="39"/>
      <c r="O605" s="38"/>
      <c r="Q605" s="38"/>
      <c r="R605" s="39"/>
      <c r="S605" s="39"/>
      <c r="T605" s="38"/>
      <c r="V605" s="38"/>
      <c r="W605" s="39"/>
      <c r="X605" s="38"/>
    </row>
    <row r="606" spans="2:24" x14ac:dyDescent="0.3">
      <c r="B606" s="38"/>
      <c r="C606" s="40"/>
      <c r="D606" s="19"/>
      <c r="E606" s="39"/>
      <c r="F606" s="12"/>
      <c r="H606"/>
      <c r="I606"/>
      <c r="K606" s="38"/>
      <c r="L606" s="39"/>
      <c r="M606" s="38"/>
      <c r="N606" s="39"/>
      <c r="O606" s="38"/>
      <c r="Q606" s="38"/>
      <c r="R606" s="39"/>
      <c r="S606" s="39"/>
      <c r="T606" s="38"/>
      <c r="V606" s="38"/>
      <c r="W606" s="39"/>
      <c r="X606" s="38"/>
    </row>
    <row r="607" spans="2:24" x14ac:dyDescent="0.3">
      <c r="B607" s="38"/>
      <c r="C607" s="40"/>
      <c r="D607" s="19"/>
      <c r="E607" s="39"/>
      <c r="F607" s="12"/>
      <c r="H607"/>
      <c r="I607"/>
      <c r="K607" s="38"/>
      <c r="L607" s="39"/>
      <c r="M607" s="38"/>
      <c r="N607" s="39"/>
      <c r="O607" s="38"/>
      <c r="Q607" s="38"/>
      <c r="R607" s="39"/>
      <c r="S607" s="39"/>
      <c r="T607" s="38"/>
      <c r="V607" s="38"/>
      <c r="W607" s="39"/>
      <c r="X607" s="38"/>
    </row>
    <row r="608" spans="2:24" x14ac:dyDescent="0.3">
      <c r="B608" s="38"/>
      <c r="C608" s="40"/>
      <c r="D608" s="19"/>
      <c r="E608" s="39"/>
      <c r="F608" s="12"/>
      <c r="H608"/>
      <c r="I608"/>
      <c r="K608" s="38"/>
      <c r="L608" s="39"/>
      <c r="M608" s="38"/>
      <c r="N608" s="39"/>
      <c r="O608" s="38"/>
      <c r="Q608" s="38"/>
      <c r="R608" s="39"/>
      <c r="S608" s="39"/>
      <c r="T608" s="38"/>
      <c r="V608" s="38"/>
      <c r="W608" s="39"/>
      <c r="X608" s="38"/>
    </row>
    <row r="609" spans="2:24" x14ac:dyDescent="0.3">
      <c r="B609" s="38"/>
      <c r="C609" s="40"/>
      <c r="D609" s="19"/>
      <c r="E609" s="39"/>
      <c r="F609" s="12"/>
      <c r="H609"/>
      <c r="I609"/>
      <c r="K609" s="38"/>
      <c r="L609" s="39"/>
      <c r="M609" s="38"/>
      <c r="N609" s="39"/>
      <c r="O609" s="38"/>
      <c r="Q609" s="38"/>
      <c r="R609" s="39"/>
      <c r="S609" s="39"/>
      <c r="T609" s="38"/>
      <c r="V609" s="38"/>
      <c r="W609" s="39"/>
      <c r="X609" s="38"/>
    </row>
    <row r="610" spans="2:24" x14ac:dyDescent="0.3">
      <c r="B610" s="38"/>
      <c r="C610" s="40"/>
      <c r="D610" s="19"/>
      <c r="E610" s="39"/>
      <c r="F610" s="12"/>
      <c r="H610"/>
      <c r="I610"/>
      <c r="K610" s="38"/>
      <c r="L610" s="39"/>
      <c r="M610" s="38"/>
      <c r="N610" s="39"/>
      <c r="O610" s="38"/>
      <c r="Q610" s="38"/>
      <c r="R610" s="39"/>
      <c r="S610" s="39"/>
      <c r="T610" s="38"/>
      <c r="V610" s="38"/>
      <c r="W610" s="39"/>
      <c r="X610" s="38"/>
    </row>
    <row r="611" spans="2:24" x14ac:dyDescent="0.3">
      <c r="B611" s="38"/>
      <c r="C611" s="40"/>
      <c r="D611" s="19"/>
      <c r="E611" s="39"/>
      <c r="F611" s="12"/>
      <c r="H611"/>
      <c r="I611"/>
      <c r="K611" s="38"/>
      <c r="L611" s="39"/>
      <c r="M611" s="38"/>
      <c r="N611" s="39"/>
      <c r="O611" s="38"/>
      <c r="Q611" s="38"/>
      <c r="R611" s="39"/>
      <c r="S611" s="39"/>
      <c r="T611" s="38"/>
      <c r="V611" s="38"/>
      <c r="W611" s="39"/>
      <c r="X611" s="38"/>
    </row>
    <row r="612" spans="2:24" x14ac:dyDescent="0.3">
      <c r="B612" s="38"/>
      <c r="C612" s="40"/>
      <c r="D612" s="19"/>
      <c r="E612" s="39"/>
      <c r="F612" s="12"/>
      <c r="H612"/>
      <c r="I612"/>
      <c r="K612" s="38"/>
      <c r="L612" s="39"/>
      <c r="M612" s="38"/>
      <c r="N612" s="39"/>
      <c r="O612" s="38"/>
      <c r="Q612" s="38"/>
      <c r="R612" s="39"/>
      <c r="S612" s="39"/>
      <c r="T612" s="38"/>
      <c r="V612" s="38"/>
      <c r="W612" s="39"/>
      <c r="X612" s="38"/>
    </row>
    <row r="613" spans="2:24" x14ac:dyDescent="0.3">
      <c r="B613" s="38"/>
      <c r="C613" s="40"/>
      <c r="D613" s="19"/>
      <c r="E613" s="39"/>
      <c r="F613" s="12"/>
      <c r="H613"/>
      <c r="I613"/>
      <c r="K613" s="38"/>
      <c r="L613" s="39"/>
      <c r="M613" s="38"/>
      <c r="N613" s="39"/>
      <c r="O613" s="38"/>
      <c r="Q613" s="38"/>
      <c r="R613" s="39"/>
      <c r="S613" s="39"/>
      <c r="T613" s="38"/>
      <c r="V613" s="38"/>
      <c r="W613" s="39"/>
      <c r="X613" s="38"/>
    </row>
    <row r="614" spans="2:24" x14ac:dyDescent="0.3">
      <c r="B614" s="38"/>
      <c r="C614" s="40"/>
      <c r="D614" s="19"/>
      <c r="E614" s="39"/>
      <c r="F614" s="12"/>
      <c r="H614"/>
      <c r="I614"/>
      <c r="K614" s="38"/>
      <c r="L614" s="39"/>
      <c r="M614" s="38"/>
      <c r="N614" s="39"/>
      <c r="O614" s="38"/>
      <c r="Q614" s="38"/>
      <c r="R614" s="39"/>
      <c r="S614" s="39"/>
      <c r="T614" s="38"/>
      <c r="V614" s="38"/>
      <c r="W614" s="39"/>
      <c r="X614" s="38"/>
    </row>
    <row r="615" spans="2:24" x14ac:dyDescent="0.3">
      <c r="B615" s="38"/>
      <c r="C615" s="40"/>
      <c r="D615" s="19"/>
      <c r="E615" s="39"/>
      <c r="F615" s="12"/>
      <c r="H615"/>
      <c r="I615"/>
      <c r="K615" s="38"/>
      <c r="L615" s="39"/>
      <c r="M615" s="38"/>
      <c r="N615" s="39"/>
      <c r="O615" s="38"/>
      <c r="Q615" s="38"/>
      <c r="R615" s="39"/>
      <c r="S615" s="39"/>
      <c r="T615" s="38"/>
      <c r="V615" s="38"/>
      <c r="W615" s="39"/>
      <c r="X615" s="38"/>
    </row>
    <row r="616" spans="2:24" x14ac:dyDescent="0.3">
      <c r="B616" s="38"/>
      <c r="C616" s="40"/>
      <c r="D616" s="19"/>
      <c r="E616" s="39"/>
      <c r="F616" s="12"/>
      <c r="H616"/>
      <c r="I616"/>
      <c r="K616" s="38"/>
      <c r="L616" s="39"/>
      <c r="M616" s="38"/>
      <c r="N616" s="39"/>
      <c r="O616" s="38"/>
      <c r="Q616" s="38"/>
      <c r="R616" s="39"/>
      <c r="S616" s="39"/>
      <c r="T616" s="38"/>
      <c r="V616" s="38"/>
      <c r="W616" s="39"/>
      <c r="X616" s="38"/>
    </row>
    <row r="617" spans="2:24" x14ac:dyDescent="0.3">
      <c r="B617" s="38"/>
      <c r="C617" s="40"/>
      <c r="D617" s="19"/>
      <c r="E617" s="39"/>
      <c r="F617" s="12"/>
      <c r="H617"/>
      <c r="I617"/>
      <c r="K617" s="38"/>
      <c r="L617" s="39"/>
      <c r="M617" s="38"/>
      <c r="N617" s="39"/>
      <c r="O617" s="38"/>
      <c r="Q617" s="38"/>
      <c r="R617" s="39"/>
      <c r="S617" s="39"/>
      <c r="T617" s="38"/>
      <c r="V617" s="38"/>
      <c r="W617" s="39"/>
      <c r="X617" s="38"/>
    </row>
    <row r="618" spans="2:24" x14ac:dyDescent="0.3">
      <c r="B618" s="38"/>
      <c r="C618" s="40"/>
      <c r="D618" s="19"/>
      <c r="E618" s="39"/>
      <c r="F618" s="12"/>
      <c r="H618"/>
      <c r="I618"/>
      <c r="K618" s="38"/>
      <c r="L618" s="39"/>
      <c r="M618" s="38"/>
      <c r="N618" s="39"/>
      <c r="O618" s="38"/>
      <c r="Q618" s="38"/>
      <c r="R618" s="39"/>
      <c r="S618" s="39"/>
      <c r="T618" s="38"/>
      <c r="V618" s="38"/>
      <c r="W618" s="39"/>
      <c r="X618" s="38"/>
    </row>
    <row r="619" spans="2:24" x14ac:dyDescent="0.3">
      <c r="B619" s="38"/>
      <c r="C619" s="40"/>
      <c r="D619" s="19"/>
      <c r="E619" s="39"/>
      <c r="F619" s="12"/>
      <c r="H619"/>
      <c r="I619"/>
      <c r="K619" s="38"/>
      <c r="L619" s="39"/>
      <c r="M619" s="38"/>
      <c r="N619" s="39"/>
      <c r="O619" s="38"/>
      <c r="Q619" s="38"/>
      <c r="R619" s="39"/>
      <c r="S619" s="39"/>
      <c r="T619" s="38"/>
      <c r="V619" s="38"/>
      <c r="W619" s="39"/>
      <c r="X619" s="38"/>
    </row>
    <row r="620" spans="2:24" x14ac:dyDescent="0.3">
      <c r="B620" s="38"/>
      <c r="C620" s="40"/>
      <c r="D620" s="19"/>
      <c r="E620" s="39"/>
      <c r="F620" s="12"/>
      <c r="H620"/>
      <c r="I620"/>
      <c r="K620" s="38"/>
      <c r="L620" s="39"/>
      <c r="M620" s="38"/>
      <c r="N620" s="39"/>
      <c r="O620" s="38"/>
      <c r="Q620" s="38"/>
      <c r="R620" s="39"/>
      <c r="S620" s="39"/>
      <c r="T620" s="38"/>
      <c r="V620" s="38"/>
      <c r="W620" s="39"/>
      <c r="X620" s="38"/>
    </row>
    <row r="621" spans="2:24" x14ac:dyDescent="0.3">
      <c r="B621" s="38"/>
      <c r="C621" s="40"/>
      <c r="D621" s="19"/>
      <c r="E621" s="39"/>
      <c r="F621" s="12"/>
      <c r="H621"/>
      <c r="I621"/>
      <c r="K621" s="38"/>
      <c r="L621" s="39"/>
      <c r="M621" s="38"/>
      <c r="N621" s="39"/>
      <c r="O621" s="38"/>
      <c r="Q621" s="38"/>
      <c r="R621" s="39"/>
      <c r="S621" s="39"/>
      <c r="T621" s="38"/>
      <c r="V621" s="38"/>
      <c r="W621" s="39"/>
      <c r="X621" s="38"/>
    </row>
    <row r="622" spans="2:24" x14ac:dyDescent="0.3">
      <c r="B622" s="38"/>
      <c r="C622" s="40"/>
      <c r="D622" s="19"/>
      <c r="E622" s="39"/>
      <c r="F622" s="12"/>
      <c r="H622"/>
      <c r="I622"/>
      <c r="K622" s="38"/>
      <c r="L622" s="39"/>
      <c r="M622" s="38"/>
      <c r="N622" s="39"/>
      <c r="O622" s="38"/>
      <c r="Q622" s="38"/>
      <c r="R622" s="39"/>
      <c r="S622" s="39"/>
      <c r="T622" s="38"/>
      <c r="V622" s="38"/>
      <c r="W622" s="39"/>
      <c r="X622" s="38"/>
    </row>
    <row r="623" spans="2:24" x14ac:dyDescent="0.3">
      <c r="B623" s="38"/>
      <c r="C623" s="40"/>
      <c r="D623" s="19"/>
      <c r="E623" s="39"/>
      <c r="F623" s="12"/>
      <c r="H623"/>
      <c r="I623"/>
      <c r="K623" s="38"/>
      <c r="L623" s="39"/>
      <c r="M623" s="38"/>
      <c r="N623" s="39"/>
      <c r="O623" s="38"/>
      <c r="Q623" s="38"/>
      <c r="R623" s="39"/>
      <c r="S623" s="39"/>
      <c r="T623" s="38"/>
      <c r="V623" s="38"/>
      <c r="W623" s="39"/>
      <c r="X623" s="38"/>
    </row>
    <row r="624" spans="2:24" x14ac:dyDescent="0.3">
      <c r="B624" s="38"/>
      <c r="C624" s="40"/>
      <c r="D624" s="19"/>
      <c r="E624" s="39"/>
      <c r="F624" s="12"/>
      <c r="H624"/>
      <c r="I624"/>
      <c r="K624" s="38"/>
      <c r="L624" s="39"/>
      <c r="M624" s="38"/>
      <c r="N624" s="39"/>
      <c r="O624" s="38"/>
      <c r="Q624" s="38"/>
      <c r="R624" s="39"/>
      <c r="S624" s="39"/>
      <c r="T624" s="38"/>
      <c r="V624" s="38"/>
      <c r="W624" s="39"/>
      <c r="X624" s="38"/>
    </row>
    <row r="625" spans="2:24" x14ac:dyDescent="0.3">
      <c r="B625" s="38"/>
      <c r="C625" s="40"/>
      <c r="D625" s="19"/>
      <c r="E625" s="39"/>
      <c r="F625" s="12"/>
      <c r="H625"/>
      <c r="I625"/>
      <c r="K625" s="38"/>
      <c r="L625" s="39"/>
      <c r="M625" s="38"/>
      <c r="N625" s="39"/>
      <c r="O625" s="38"/>
      <c r="Q625" s="38"/>
      <c r="R625" s="39"/>
      <c r="S625" s="39"/>
      <c r="T625" s="38"/>
      <c r="V625" s="38"/>
      <c r="W625" s="39"/>
      <c r="X625" s="38"/>
    </row>
    <row r="626" spans="2:24" x14ac:dyDescent="0.3">
      <c r="B626" s="38"/>
      <c r="C626" s="40"/>
      <c r="D626" s="19"/>
      <c r="E626" s="39"/>
      <c r="F626" s="12"/>
      <c r="H626"/>
      <c r="I626"/>
      <c r="K626" s="38"/>
      <c r="L626" s="39"/>
      <c r="M626" s="38"/>
      <c r="N626" s="39"/>
      <c r="O626" s="38"/>
      <c r="Q626" s="38"/>
      <c r="R626" s="39"/>
      <c r="S626" s="39"/>
      <c r="T626" s="38"/>
      <c r="V626" s="38"/>
      <c r="W626" s="39"/>
      <c r="X626" s="38"/>
    </row>
    <row r="627" spans="2:24" x14ac:dyDescent="0.3">
      <c r="B627" s="38"/>
      <c r="C627" s="40"/>
      <c r="D627" s="19"/>
      <c r="E627" s="39"/>
      <c r="F627" s="12"/>
      <c r="H627"/>
      <c r="I627"/>
      <c r="K627" s="38"/>
      <c r="L627" s="39"/>
      <c r="M627" s="38"/>
      <c r="N627" s="39"/>
      <c r="O627" s="38"/>
      <c r="Q627" s="38"/>
      <c r="R627" s="39"/>
      <c r="S627" s="39"/>
      <c r="T627" s="38"/>
      <c r="V627" s="38"/>
      <c r="W627" s="39"/>
      <c r="X627" s="38"/>
    </row>
    <row r="628" spans="2:24" x14ac:dyDescent="0.3">
      <c r="B628" s="38"/>
      <c r="C628" s="40"/>
      <c r="D628" s="19"/>
      <c r="E628" s="39"/>
      <c r="F628" s="12"/>
      <c r="H628"/>
      <c r="I628"/>
      <c r="K628" s="38"/>
      <c r="L628" s="39"/>
      <c r="M628" s="38"/>
      <c r="N628" s="39"/>
      <c r="O628" s="38"/>
      <c r="Q628" s="38"/>
      <c r="R628" s="39"/>
      <c r="S628" s="39"/>
      <c r="T628" s="38"/>
      <c r="V628" s="38"/>
      <c r="W628" s="39"/>
      <c r="X628" s="38"/>
    </row>
    <row r="629" spans="2:24" x14ac:dyDescent="0.3">
      <c r="B629" s="38"/>
      <c r="C629" s="40"/>
      <c r="D629" s="19"/>
      <c r="E629" s="39"/>
      <c r="F629" s="12"/>
      <c r="H629"/>
      <c r="I629"/>
      <c r="K629" s="38"/>
      <c r="L629" s="39"/>
      <c r="M629" s="38"/>
      <c r="N629" s="39"/>
      <c r="O629" s="38"/>
      <c r="Q629" s="38"/>
      <c r="R629" s="39"/>
      <c r="S629" s="39"/>
      <c r="T629" s="38"/>
      <c r="V629" s="38"/>
      <c r="W629" s="39"/>
      <c r="X629" s="38"/>
    </row>
    <row r="630" spans="2:24" x14ac:dyDescent="0.3">
      <c r="B630" s="38"/>
      <c r="C630" s="40"/>
      <c r="D630" s="19"/>
      <c r="E630" s="39"/>
      <c r="F630" s="12"/>
      <c r="H630"/>
      <c r="I630"/>
      <c r="K630" s="38"/>
      <c r="L630" s="39"/>
      <c r="M630" s="38"/>
      <c r="N630" s="39"/>
      <c r="O630" s="38"/>
      <c r="Q630" s="38"/>
      <c r="R630" s="39"/>
      <c r="S630" s="39"/>
      <c r="T630" s="38"/>
      <c r="V630" s="38"/>
      <c r="W630" s="39"/>
      <c r="X630" s="38"/>
    </row>
    <row r="631" spans="2:24" x14ac:dyDescent="0.3">
      <c r="B631" s="38"/>
      <c r="C631" s="40"/>
      <c r="D631" s="19"/>
      <c r="E631" s="39"/>
      <c r="F631" s="12"/>
      <c r="H631"/>
      <c r="I631"/>
      <c r="K631" s="38"/>
      <c r="L631" s="39"/>
      <c r="M631" s="38"/>
      <c r="N631" s="39"/>
      <c r="O631" s="38"/>
      <c r="Q631" s="38"/>
      <c r="R631" s="39"/>
      <c r="S631" s="39"/>
      <c r="T631" s="38"/>
      <c r="V631" s="38"/>
      <c r="W631" s="39"/>
      <c r="X631" s="38"/>
    </row>
    <row r="632" spans="2:24" x14ac:dyDescent="0.3">
      <c r="B632" s="38"/>
      <c r="C632" s="40"/>
      <c r="D632" s="19"/>
      <c r="E632" s="39"/>
      <c r="F632" s="12"/>
      <c r="H632"/>
      <c r="I632"/>
      <c r="K632" s="38"/>
      <c r="L632" s="39"/>
      <c r="M632" s="38"/>
      <c r="N632" s="39"/>
      <c r="O632" s="38"/>
      <c r="Q632" s="38"/>
      <c r="R632" s="39"/>
      <c r="S632" s="39"/>
      <c r="T632" s="38"/>
      <c r="V632" s="38"/>
      <c r="W632" s="39"/>
      <c r="X632" s="38"/>
    </row>
    <row r="633" spans="2:24" x14ac:dyDescent="0.3">
      <c r="B633" s="38"/>
      <c r="C633" s="40"/>
      <c r="D633" s="19"/>
      <c r="E633" s="39"/>
      <c r="F633" s="12"/>
      <c r="H633"/>
      <c r="I633"/>
      <c r="K633" s="38"/>
      <c r="L633" s="39"/>
      <c r="M633" s="38"/>
      <c r="N633" s="39"/>
      <c r="O633" s="38"/>
      <c r="Q633" s="38"/>
      <c r="R633" s="39"/>
      <c r="S633" s="39"/>
      <c r="T633" s="38"/>
      <c r="V633" s="38"/>
      <c r="W633" s="39"/>
      <c r="X633" s="38"/>
    </row>
    <row r="634" spans="2:24" x14ac:dyDescent="0.3">
      <c r="B634" s="38"/>
      <c r="C634" s="40"/>
      <c r="D634" s="19"/>
      <c r="E634" s="39"/>
      <c r="F634" s="12"/>
      <c r="H634"/>
      <c r="I634"/>
      <c r="K634" s="38"/>
      <c r="L634" s="39"/>
      <c r="M634" s="38"/>
      <c r="N634" s="39"/>
      <c r="O634" s="38"/>
      <c r="Q634" s="38"/>
      <c r="R634" s="39"/>
      <c r="S634" s="39"/>
      <c r="T634" s="38"/>
      <c r="V634" s="38"/>
      <c r="W634" s="39"/>
      <c r="X634" s="38"/>
    </row>
    <row r="635" spans="2:24" x14ac:dyDescent="0.3">
      <c r="B635" s="38"/>
      <c r="C635" s="40"/>
      <c r="D635" s="19"/>
      <c r="E635" s="39"/>
      <c r="F635" s="12"/>
      <c r="H635"/>
      <c r="I635"/>
      <c r="K635" s="38"/>
      <c r="L635" s="39"/>
      <c r="M635" s="38"/>
      <c r="N635" s="39"/>
      <c r="O635" s="38"/>
      <c r="Q635" s="38"/>
      <c r="R635" s="39"/>
      <c r="S635" s="39"/>
      <c r="T635" s="38"/>
      <c r="V635" s="38"/>
      <c r="W635" s="39"/>
      <c r="X635" s="38"/>
    </row>
    <row r="636" spans="2:24" x14ac:dyDescent="0.3">
      <c r="B636" s="38"/>
      <c r="C636" s="40"/>
      <c r="D636" s="19"/>
      <c r="E636" s="39"/>
      <c r="F636" s="12"/>
      <c r="H636"/>
      <c r="I636"/>
      <c r="K636" s="38"/>
      <c r="L636" s="39"/>
      <c r="M636" s="38"/>
      <c r="N636" s="39"/>
      <c r="O636" s="38"/>
      <c r="Q636" s="38"/>
      <c r="R636" s="39"/>
      <c r="S636" s="39"/>
      <c r="T636" s="38"/>
      <c r="V636" s="38"/>
      <c r="W636" s="39"/>
      <c r="X636" s="38"/>
    </row>
    <row r="637" spans="2:24" x14ac:dyDescent="0.3">
      <c r="B637" s="38"/>
      <c r="C637" s="40"/>
      <c r="D637" s="19"/>
      <c r="E637" s="39"/>
      <c r="F637" s="12"/>
      <c r="H637"/>
      <c r="I637"/>
      <c r="K637" s="38"/>
      <c r="L637" s="39"/>
      <c r="M637" s="38"/>
      <c r="N637" s="39"/>
      <c r="O637" s="38"/>
      <c r="Q637" s="38"/>
      <c r="R637" s="39"/>
      <c r="S637" s="39"/>
      <c r="T637" s="38"/>
      <c r="V637" s="38"/>
      <c r="W637" s="39"/>
      <c r="X637" s="38"/>
    </row>
    <row r="638" spans="2:24" x14ac:dyDescent="0.3">
      <c r="B638" s="38"/>
      <c r="C638" s="40"/>
      <c r="D638" s="19"/>
      <c r="E638" s="39"/>
      <c r="F638" s="12"/>
      <c r="H638"/>
      <c r="I638"/>
      <c r="K638" s="38"/>
      <c r="L638" s="39"/>
      <c r="M638" s="38"/>
      <c r="N638" s="39"/>
      <c r="O638" s="38"/>
      <c r="Q638" s="38"/>
      <c r="R638" s="39"/>
      <c r="S638" s="39"/>
      <c r="T638" s="38"/>
      <c r="V638" s="38"/>
      <c r="W638" s="39"/>
      <c r="X638" s="38"/>
    </row>
    <row r="639" spans="2:24" x14ac:dyDescent="0.3">
      <c r="B639" s="38"/>
      <c r="C639" s="40"/>
      <c r="D639" s="19"/>
      <c r="E639" s="39"/>
      <c r="F639" s="12"/>
      <c r="H639"/>
      <c r="I639"/>
      <c r="K639" s="38"/>
      <c r="L639" s="39"/>
      <c r="M639" s="38"/>
      <c r="N639" s="39"/>
      <c r="O639" s="38"/>
      <c r="Q639" s="38"/>
      <c r="R639" s="39"/>
      <c r="S639" s="39"/>
      <c r="T639" s="38"/>
      <c r="V639" s="38"/>
      <c r="W639" s="39"/>
      <c r="X639" s="38"/>
    </row>
    <row r="640" spans="2:24" x14ac:dyDescent="0.3">
      <c r="B640" s="38"/>
      <c r="C640" s="40"/>
      <c r="D640" s="19"/>
      <c r="E640" s="39"/>
      <c r="F640" s="12"/>
      <c r="H640"/>
      <c r="I640"/>
      <c r="K640" s="38"/>
      <c r="L640" s="39"/>
      <c r="M640" s="38"/>
      <c r="N640" s="39"/>
      <c r="O640" s="38"/>
      <c r="Q640" s="38"/>
      <c r="R640" s="39"/>
      <c r="S640" s="39"/>
      <c r="T640" s="38"/>
      <c r="V640" s="38"/>
      <c r="W640" s="39"/>
      <c r="X640" s="38"/>
    </row>
    <row r="641" spans="2:26" x14ac:dyDescent="0.3">
      <c r="B641" s="38"/>
      <c r="C641" s="40"/>
      <c r="D641" s="19"/>
      <c r="E641" s="39"/>
      <c r="F641" s="12"/>
      <c r="H641"/>
      <c r="I641"/>
      <c r="K641" s="38"/>
      <c r="L641" s="39"/>
      <c r="M641" s="38"/>
      <c r="N641" s="39"/>
      <c r="O641" s="38"/>
      <c r="Q641" s="38"/>
      <c r="R641" s="39"/>
      <c r="S641" s="39"/>
      <c r="T641" s="38"/>
      <c r="V641" s="38"/>
      <c r="W641" s="39"/>
      <c r="X641" s="38"/>
    </row>
    <row r="642" spans="2:26" x14ac:dyDescent="0.3">
      <c r="B642" s="38"/>
      <c r="C642" s="40"/>
      <c r="D642" s="19"/>
      <c r="E642" s="39"/>
      <c r="F642" s="12"/>
      <c r="H642"/>
      <c r="I642"/>
      <c r="K642" s="38"/>
      <c r="L642" s="39"/>
      <c r="M642" s="38"/>
      <c r="N642" s="39"/>
      <c r="O642" s="38"/>
      <c r="Q642" s="38"/>
      <c r="R642" s="39"/>
      <c r="S642" s="39"/>
      <c r="T642" s="38"/>
      <c r="V642" s="38"/>
      <c r="W642" s="39"/>
      <c r="X642" s="38"/>
    </row>
    <row r="643" spans="2:26" x14ac:dyDescent="0.3">
      <c r="B643" s="38"/>
      <c r="C643" s="40"/>
      <c r="D643" s="19"/>
      <c r="E643" s="39"/>
      <c r="F643" s="12"/>
      <c r="H643"/>
      <c r="I643"/>
      <c r="K643" s="38"/>
      <c r="L643" s="39"/>
      <c r="M643" s="38"/>
      <c r="N643" s="39"/>
      <c r="O643" s="38"/>
      <c r="Q643" s="38"/>
      <c r="R643" s="39"/>
      <c r="S643" s="39"/>
      <c r="T643" s="38"/>
      <c r="V643" s="38"/>
      <c r="W643" s="39"/>
      <c r="X643" s="38"/>
    </row>
    <row r="644" spans="2:26" x14ac:dyDescent="0.3">
      <c r="B644" s="38"/>
      <c r="C644" s="40"/>
      <c r="D644" s="19"/>
      <c r="E644" s="39"/>
      <c r="F644" s="12"/>
      <c r="H644"/>
      <c r="I644"/>
      <c r="K644" s="38"/>
      <c r="L644" s="39"/>
      <c r="M644" s="38"/>
      <c r="N644" s="39"/>
      <c r="O644" s="38"/>
      <c r="Q644" s="38"/>
      <c r="R644" s="39"/>
      <c r="S644" s="39"/>
      <c r="T644" s="38"/>
      <c r="V644" s="38"/>
      <c r="W644" s="39"/>
      <c r="X644" s="38"/>
    </row>
    <row r="645" spans="2:26" x14ac:dyDescent="0.3">
      <c r="B645" s="38"/>
      <c r="C645" s="40"/>
      <c r="D645" s="19"/>
      <c r="E645" s="39"/>
      <c r="F645" s="12"/>
      <c r="H645"/>
      <c r="I645"/>
      <c r="K645" s="38"/>
      <c r="L645" s="39"/>
      <c r="M645" s="38"/>
      <c r="N645" s="39"/>
      <c r="O645" s="38"/>
      <c r="Q645" s="38"/>
      <c r="R645" s="39"/>
      <c r="S645" s="39"/>
      <c r="T645" s="38"/>
      <c r="V645" s="38"/>
      <c r="W645" s="39"/>
      <c r="X645" s="38"/>
    </row>
    <row r="646" spans="2:26" x14ac:dyDescent="0.3">
      <c r="O646" s="38"/>
      <c r="T646" s="38"/>
      <c r="V646" s="38"/>
      <c r="W646" s="39"/>
      <c r="X646" s="38"/>
    </row>
    <row r="647" spans="2:26" x14ac:dyDescent="0.3">
      <c r="X647" s="38"/>
    </row>
    <row r="648" spans="2:26" x14ac:dyDescent="0.3">
      <c r="Q648" s="12" t="s">
        <v>31</v>
      </c>
      <c r="Z648" s="12" t="s">
        <v>31</v>
      </c>
    </row>
    <row r="649" spans="2:26" x14ac:dyDescent="0.3">
      <c r="Q649" s="12" t="s">
        <v>31</v>
      </c>
      <c r="Z649" s="12" t="s">
        <v>31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88507-0B11-40EF-9D7C-4A51A0235705}">
  <dimension ref="A1:Z649"/>
  <sheetViews>
    <sheetView topLeftCell="F1" zoomScale="85" zoomScaleNormal="85" zoomScalePageLayoutView="90" workbookViewId="0">
      <pane ySplit="1" topLeftCell="A2" activePane="bottomLeft" state="frozen"/>
      <selection pane="bottomLeft" activeCell="L28" sqref="L28"/>
    </sheetView>
  </sheetViews>
  <sheetFormatPr defaultColWidth="8.88671875" defaultRowHeight="14.4" x14ac:dyDescent="0.3"/>
  <cols>
    <col min="1" max="1" width="8.88671875" style="16"/>
    <col min="2" max="2" width="13.33203125" style="18" customWidth="1"/>
    <col min="3" max="3" width="13" style="6" bestFit="1" customWidth="1"/>
    <col min="4" max="4" width="12.5546875" style="42" bestFit="1" customWidth="1"/>
    <col min="5" max="5" width="18" style="10" bestFit="1" customWidth="1"/>
    <col min="6" max="6" width="8.88671875" style="10"/>
    <col min="7" max="7" width="23" style="14" bestFit="1" customWidth="1"/>
    <col min="8" max="8" width="27" style="14" bestFit="1" customWidth="1"/>
    <col min="9" max="9" width="9.6640625" style="14" customWidth="1"/>
    <col min="10" max="10" width="4.44140625" style="28" customWidth="1"/>
    <col min="11" max="11" width="17.77734375" style="12" customWidth="1"/>
    <col min="12" max="12" width="12.44140625" style="12" bestFit="1" customWidth="1"/>
    <col min="13" max="13" width="13.6640625" style="12" bestFit="1" customWidth="1"/>
    <col min="14" max="15" width="12.44140625" style="12" bestFit="1" customWidth="1"/>
    <col min="16" max="16" width="13.33203125" style="12" bestFit="1" customWidth="1"/>
    <col min="17" max="17" width="11.33203125" style="12" bestFit="1" customWidth="1"/>
    <col min="18" max="18" width="13" style="12" bestFit="1" customWidth="1"/>
    <col min="19" max="19" width="12.44140625" style="12" bestFit="1" customWidth="1"/>
    <col min="20" max="20" width="12.44140625" style="12" customWidth="1"/>
    <col min="21" max="21" width="8.88671875" style="12"/>
    <col min="22" max="22" width="10.44140625" style="12" bestFit="1" customWidth="1"/>
    <col min="23" max="23" width="9.44140625" style="12" bestFit="1" customWidth="1"/>
    <col min="24" max="24" width="11.88671875" style="12" customWidth="1"/>
    <col min="25" max="16384" width="8.88671875" style="12"/>
  </cols>
  <sheetData>
    <row r="1" spans="1:12" s="9" customFormat="1" x14ac:dyDescent="0.3">
      <c r="A1" s="15" t="s">
        <v>0</v>
      </c>
      <c r="B1" s="17" t="s">
        <v>5</v>
      </c>
      <c r="C1" s="5" t="s">
        <v>36</v>
      </c>
      <c r="D1" s="45" t="s">
        <v>51</v>
      </c>
      <c r="E1" s="7" t="s">
        <v>37</v>
      </c>
      <c r="F1" s="8" t="s">
        <v>45</v>
      </c>
      <c r="G1" s="13" t="s">
        <v>78</v>
      </c>
      <c r="H1" s="41" t="s">
        <v>77</v>
      </c>
      <c r="I1" s="41"/>
      <c r="J1" s="27"/>
    </row>
    <row r="2" spans="1:12" x14ac:dyDescent="0.3">
      <c r="A2" s="16">
        <v>0</v>
      </c>
      <c r="B2" s="3">
        <v>45293</v>
      </c>
      <c r="C2" s="40">
        <v>4742.83</v>
      </c>
      <c r="D2" s="19"/>
      <c r="E2">
        <v>10789.84</v>
      </c>
      <c r="F2">
        <v>7.8155000000000001</v>
      </c>
      <c r="G2" s="14">
        <f>E2/F2</f>
        <v>1380.5693813575588</v>
      </c>
      <c r="H2"/>
      <c r="I2"/>
      <c r="K2" s="50">
        <f>MIN($B$2:$B$317)</f>
        <v>45293</v>
      </c>
    </row>
    <row r="3" spans="1:12" x14ac:dyDescent="0.3">
      <c r="A3" s="16">
        <v>1</v>
      </c>
      <c r="B3" s="3">
        <v>45294</v>
      </c>
      <c r="C3" s="40">
        <v>4704.8100000000004</v>
      </c>
      <c r="D3" s="46">
        <f>$C3/$C2-1</f>
        <v>-8.0163109367190621E-3</v>
      </c>
      <c r="E3">
        <v>10744.19</v>
      </c>
      <c r="F3">
        <v>7.8068999999999997</v>
      </c>
      <c r="G3" s="14">
        <f t="shared" ref="G3:G66" si="0">E3/F3</f>
        <v>1376.242810846815</v>
      </c>
      <c r="H3">
        <f>$G3/$G2-1</f>
        <v>-3.1339029889894121E-3</v>
      </c>
      <c r="I3"/>
      <c r="K3" s="50">
        <f>MAX($B$2:$B$317)</f>
        <v>45777</v>
      </c>
    </row>
    <row r="4" spans="1:12" x14ac:dyDescent="0.3">
      <c r="A4" s="16">
        <v>2</v>
      </c>
      <c r="B4" s="3">
        <v>45295</v>
      </c>
      <c r="C4" s="40">
        <v>4688.68</v>
      </c>
      <c r="D4" s="46">
        <f t="shared" ref="D4:D67" si="1">$C4/$C3-1</f>
        <v>-3.4284062480738342E-3</v>
      </c>
      <c r="E4">
        <v>10793.05</v>
      </c>
      <c r="F4">
        <v>7.8080999999999996</v>
      </c>
      <c r="G4" s="14">
        <f t="shared" si="0"/>
        <v>1382.2889051113586</v>
      </c>
      <c r="H4">
        <f t="shared" ref="H4:H67" si="2">$G4/$G3-1</f>
        <v>4.3931886269570342E-3</v>
      </c>
      <c r="I4"/>
    </row>
    <row r="5" spans="1:12" x14ac:dyDescent="0.3">
      <c r="A5" s="16">
        <v>3</v>
      </c>
      <c r="B5" s="3">
        <v>45296</v>
      </c>
      <c r="C5" s="40">
        <v>4697.24</v>
      </c>
      <c r="D5" s="46">
        <f t="shared" si="1"/>
        <v>1.8256737503945519E-3</v>
      </c>
      <c r="E5">
        <v>10679.92</v>
      </c>
      <c r="F5">
        <v>7.8112000000000004</v>
      </c>
      <c r="G5" s="14">
        <f t="shared" si="0"/>
        <v>1367.2572716099958</v>
      </c>
      <c r="H5">
        <f t="shared" si="2"/>
        <v>-1.087445138695653E-2</v>
      </c>
      <c r="I5"/>
      <c r="K5" s="12" t="str">
        <f>"Y"&amp;" = "&amp; $H$1</f>
        <v>Y = USD FTSE China 50 Index HPR</v>
      </c>
    </row>
    <row r="6" spans="1:12" x14ac:dyDescent="0.3">
      <c r="A6" s="16">
        <v>4</v>
      </c>
      <c r="B6" s="3">
        <v>45299</v>
      </c>
      <c r="C6" s="40">
        <v>4763.54</v>
      </c>
      <c r="D6" s="46">
        <f t="shared" si="1"/>
        <v>1.4114671594383177E-2</v>
      </c>
      <c r="E6">
        <v>10430.36</v>
      </c>
      <c r="F6">
        <v>7.8064999999999998</v>
      </c>
      <c r="G6" s="14">
        <f t="shared" si="0"/>
        <v>1336.1122141804908</v>
      </c>
      <c r="H6">
        <f t="shared" si="2"/>
        <v>-2.2779222371829499E-2</v>
      </c>
      <c r="I6"/>
      <c r="K6" s="12" t="str">
        <f>"X"&amp;" = "&amp; $D$1</f>
        <v>X = S&amp;P500 HPR</v>
      </c>
    </row>
    <row r="7" spans="1:12" x14ac:dyDescent="0.3">
      <c r="A7" s="16">
        <v>5</v>
      </c>
      <c r="B7" s="3">
        <v>45300</v>
      </c>
      <c r="C7" s="40">
        <v>4756.5</v>
      </c>
      <c r="D7" s="46">
        <f t="shared" si="1"/>
        <v>-1.4778924917183689E-3</v>
      </c>
      <c r="E7">
        <v>10361.99</v>
      </c>
      <c r="F7">
        <v>7.8156999999999996</v>
      </c>
      <c r="G7" s="14">
        <f t="shared" si="0"/>
        <v>1325.7916757296211</v>
      </c>
      <c r="H7">
        <f t="shared" si="2"/>
        <v>-7.7243051454325418E-3</v>
      </c>
      <c r="I7"/>
    </row>
    <row r="8" spans="1:12" x14ac:dyDescent="0.3">
      <c r="A8" s="16">
        <v>6</v>
      </c>
      <c r="B8" s="3">
        <v>45301</v>
      </c>
      <c r="C8" s="40">
        <v>4783.45</v>
      </c>
      <c r="D8" s="46">
        <f t="shared" si="1"/>
        <v>5.6659308314936929E-3</v>
      </c>
      <c r="E8">
        <v>10335.280000000001</v>
      </c>
      <c r="F8">
        <v>7.8190999999999997</v>
      </c>
      <c r="G8" s="14">
        <f t="shared" si="0"/>
        <v>1321.7991840493153</v>
      </c>
      <c r="H8">
        <f t="shared" si="2"/>
        <v>-3.0114019822221616E-3</v>
      </c>
      <c r="I8"/>
      <c r="K8" s="12" t="s">
        <v>52</v>
      </c>
    </row>
    <row r="9" spans="1:12" ht="15" thickBot="1" x14ac:dyDescent="0.35">
      <c r="A9" s="16">
        <v>7</v>
      </c>
      <c r="B9" s="3">
        <v>45302</v>
      </c>
      <c r="C9" s="40">
        <v>4780.24</v>
      </c>
      <c r="D9" s="46">
        <f t="shared" si="1"/>
        <v>-6.7106377196379796E-4</v>
      </c>
      <c r="E9">
        <v>10495.1</v>
      </c>
      <c r="F9">
        <v>7.8174999999999999</v>
      </c>
      <c r="G9" s="14">
        <f t="shared" si="0"/>
        <v>1342.513591301567</v>
      </c>
      <c r="H9">
        <f t="shared" si="2"/>
        <v>1.5671372400755557E-2</v>
      </c>
      <c r="I9"/>
    </row>
    <row r="10" spans="1:12" x14ac:dyDescent="0.3">
      <c r="A10" s="16">
        <v>8</v>
      </c>
      <c r="B10" s="3">
        <v>45303</v>
      </c>
      <c r="C10" s="40">
        <v>4783.83</v>
      </c>
      <c r="D10" s="46">
        <f t="shared" si="1"/>
        <v>7.5100831757413111E-4</v>
      </c>
      <c r="E10">
        <v>10461.530000000001</v>
      </c>
      <c r="F10">
        <v>7.8211000000000004</v>
      </c>
      <c r="G10" s="14">
        <f t="shared" si="0"/>
        <v>1337.6034061704875</v>
      </c>
      <c r="H10">
        <f t="shared" si="2"/>
        <v>-3.6574565523161962E-3</v>
      </c>
      <c r="I10"/>
      <c r="K10" s="47" t="s">
        <v>53</v>
      </c>
      <c r="L10" s="47"/>
    </row>
    <row r="11" spans="1:12" x14ac:dyDescent="0.3">
      <c r="A11" s="16">
        <v>9</v>
      </c>
      <c r="B11" s="3">
        <v>45307</v>
      </c>
      <c r="C11" s="40">
        <v>4765.9799999999996</v>
      </c>
      <c r="D11" s="46">
        <f t="shared" si="1"/>
        <v>-3.7313198838587747E-3</v>
      </c>
      <c r="E11">
        <v>10195.66</v>
      </c>
      <c r="F11">
        <v>7.8259999999999996</v>
      </c>
      <c r="G11" s="14">
        <f t="shared" si="0"/>
        <v>1302.7932532583695</v>
      </c>
      <c r="H11">
        <f t="shared" si="2"/>
        <v>-2.602427053604639E-2</v>
      </c>
      <c r="I11"/>
      <c r="K11" s="12" t="s">
        <v>54</v>
      </c>
      <c r="L11" s="12">
        <v>0.20691125787935313</v>
      </c>
    </row>
    <row r="12" spans="1:12" x14ac:dyDescent="0.3">
      <c r="A12" s="16">
        <v>10</v>
      </c>
      <c r="B12" s="3">
        <v>45308</v>
      </c>
      <c r="C12" s="40">
        <v>4739.21</v>
      </c>
      <c r="D12" s="46">
        <f t="shared" si="1"/>
        <v>-5.6168930629166836E-3</v>
      </c>
      <c r="E12">
        <v>9784.86</v>
      </c>
      <c r="F12">
        <v>7.8209999999999997</v>
      </c>
      <c r="G12" s="14">
        <f t="shared" si="0"/>
        <v>1251.1008822401229</v>
      </c>
      <c r="H12">
        <f t="shared" si="2"/>
        <v>-3.9678107703552068E-2</v>
      </c>
      <c r="I12"/>
      <c r="K12" s="12" t="s">
        <v>55</v>
      </c>
      <c r="L12" s="12">
        <v>4.2812268637216176E-2</v>
      </c>
    </row>
    <row r="13" spans="1:12" x14ac:dyDescent="0.3">
      <c r="A13" s="16">
        <v>11</v>
      </c>
      <c r="B13" s="3">
        <v>45309</v>
      </c>
      <c r="C13" s="40">
        <v>4780.9399999999996</v>
      </c>
      <c r="D13" s="46">
        <f t="shared" si="1"/>
        <v>8.8052650125229892E-3</v>
      </c>
      <c r="E13">
        <v>9872.15</v>
      </c>
      <c r="F13">
        <v>7.8208000000000002</v>
      </c>
      <c r="G13" s="14">
        <f t="shared" si="0"/>
        <v>1262.2941387070375</v>
      </c>
      <c r="H13">
        <f t="shared" si="2"/>
        <v>8.9467257403519351E-3</v>
      </c>
      <c r="I13"/>
      <c r="K13" s="12" t="s">
        <v>56</v>
      </c>
      <c r="L13" s="12">
        <v>3.9754160869283954E-2</v>
      </c>
    </row>
    <row r="14" spans="1:12" x14ac:dyDescent="0.3">
      <c r="A14" s="16">
        <v>12</v>
      </c>
      <c r="B14" s="3">
        <v>45310</v>
      </c>
      <c r="C14" s="40">
        <v>4839.8100000000004</v>
      </c>
      <c r="D14" s="46">
        <f t="shared" si="1"/>
        <v>1.2313478102632613E-2</v>
      </c>
      <c r="E14">
        <v>9787.1299999999992</v>
      </c>
      <c r="F14">
        <v>7.8174999999999999</v>
      </c>
      <c r="G14" s="14">
        <f t="shared" si="0"/>
        <v>1251.9513911096897</v>
      </c>
      <c r="H14">
        <f t="shared" si="2"/>
        <v>-8.1936113621995377E-3</v>
      </c>
      <c r="I14"/>
      <c r="K14" s="12" t="s">
        <v>57</v>
      </c>
      <c r="L14" s="12">
        <v>1.973635951798073E-2</v>
      </c>
    </row>
    <row r="15" spans="1:12" ht="15" thickBot="1" x14ac:dyDescent="0.35">
      <c r="A15" s="16">
        <v>13</v>
      </c>
      <c r="B15" s="3">
        <v>45313</v>
      </c>
      <c r="C15" s="40">
        <v>4850.43</v>
      </c>
      <c r="D15" s="46">
        <f t="shared" si="1"/>
        <v>2.194301015948863E-3</v>
      </c>
      <c r="E15">
        <v>9552.2999999999993</v>
      </c>
      <c r="F15">
        <v>7.8175999999999997</v>
      </c>
      <c r="G15" s="14">
        <f t="shared" si="0"/>
        <v>1221.8967458043389</v>
      </c>
      <c r="H15">
        <f t="shared" si="2"/>
        <v>-2.4006239793951778E-2</v>
      </c>
      <c r="I15"/>
      <c r="K15" s="48" t="s">
        <v>58</v>
      </c>
      <c r="L15" s="48">
        <v>315</v>
      </c>
    </row>
    <row r="16" spans="1:12" x14ac:dyDescent="0.3">
      <c r="A16" s="16">
        <v>14</v>
      </c>
      <c r="B16" s="3">
        <v>45314</v>
      </c>
      <c r="C16" s="40">
        <v>4864.6000000000004</v>
      </c>
      <c r="D16" s="46">
        <f t="shared" si="1"/>
        <v>2.9213904746590025E-3</v>
      </c>
      <c r="E16">
        <v>9840.7800000000007</v>
      </c>
      <c r="F16">
        <v>7.8219000000000003</v>
      </c>
      <c r="G16" s="14">
        <f t="shared" si="0"/>
        <v>1258.1060867564147</v>
      </c>
      <c r="H16">
        <f t="shared" si="2"/>
        <v>2.9633715840891472E-2</v>
      </c>
      <c r="I16"/>
    </row>
    <row r="17" spans="1:19" ht="15" thickBot="1" x14ac:dyDescent="0.35">
      <c r="A17" s="16">
        <v>15</v>
      </c>
      <c r="B17" s="3">
        <v>45315</v>
      </c>
      <c r="C17" s="40">
        <v>4868.55</v>
      </c>
      <c r="D17" s="46">
        <f t="shared" si="1"/>
        <v>8.1198865271558951E-4</v>
      </c>
      <c r="E17">
        <v>10280.91</v>
      </c>
      <c r="F17">
        <v>7.8177000000000003</v>
      </c>
      <c r="G17" s="14">
        <f t="shared" si="0"/>
        <v>1315.081161978587</v>
      </c>
      <c r="H17">
        <f t="shared" si="2"/>
        <v>4.5286383892365167E-2</v>
      </c>
      <c r="I17"/>
      <c r="K17" s="12" t="s">
        <v>59</v>
      </c>
    </row>
    <row r="18" spans="1:19" x14ac:dyDescent="0.3">
      <c r="A18" s="16">
        <v>16</v>
      </c>
      <c r="B18" s="3">
        <v>45316</v>
      </c>
      <c r="C18" s="40">
        <v>4894.16</v>
      </c>
      <c r="D18" s="46">
        <f t="shared" si="1"/>
        <v>5.2602931057501578E-3</v>
      </c>
      <c r="E18">
        <v>10501.02</v>
      </c>
      <c r="F18">
        <v>7.8175999999999997</v>
      </c>
      <c r="G18" s="14">
        <f t="shared" si="0"/>
        <v>1343.2536839950881</v>
      </c>
      <c r="H18">
        <f t="shared" si="2"/>
        <v>2.1422648906409991E-2</v>
      </c>
      <c r="I18"/>
      <c r="K18" s="49"/>
      <c r="L18" s="49" t="s">
        <v>64</v>
      </c>
      <c r="M18" s="49" t="s">
        <v>65</v>
      </c>
      <c r="N18" s="49" t="s">
        <v>66</v>
      </c>
      <c r="O18" s="49" t="s">
        <v>67</v>
      </c>
      <c r="P18" s="49" t="s">
        <v>68</v>
      </c>
    </row>
    <row r="19" spans="1:19" x14ac:dyDescent="0.3">
      <c r="A19" s="16">
        <v>17</v>
      </c>
      <c r="B19" s="3">
        <v>45317</v>
      </c>
      <c r="C19" s="40">
        <v>4890.97</v>
      </c>
      <c r="D19" s="46">
        <f t="shared" si="1"/>
        <v>-6.517972440622799E-4</v>
      </c>
      <c r="E19">
        <v>10246.9</v>
      </c>
      <c r="F19">
        <v>7.8144</v>
      </c>
      <c r="G19" s="14">
        <f t="shared" si="0"/>
        <v>1311.2842956592956</v>
      </c>
      <c r="H19">
        <f t="shared" si="2"/>
        <v>-2.3799963265843771E-2</v>
      </c>
      <c r="I19"/>
      <c r="K19" s="12" t="s">
        <v>60</v>
      </c>
      <c r="L19" s="12">
        <v>1</v>
      </c>
      <c r="M19" s="12">
        <v>5.4531764598723803E-3</v>
      </c>
      <c r="N19" s="12">
        <v>5.4531764598723803E-3</v>
      </c>
      <c r="O19" s="12">
        <v>13.999594483278889</v>
      </c>
      <c r="P19" s="12">
        <v>2.1747134794316449E-4</v>
      </c>
    </row>
    <row r="20" spans="1:19" x14ac:dyDescent="0.3">
      <c r="A20" s="16">
        <v>18</v>
      </c>
      <c r="B20" s="3">
        <v>45320</v>
      </c>
      <c r="C20" s="40">
        <v>4927.93</v>
      </c>
      <c r="D20" s="46">
        <f t="shared" si="1"/>
        <v>7.5567832147815928E-3</v>
      </c>
      <c r="E20">
        <v>10346.629999999999</v>
      </c>
      <c r="F20">
        <v>7.8136000000000001</v>
      </c>
      <c r="G20" s="14">
        <f t="shared" si="0"/>
        <v>1324.1821951469233</v>
      </c>
      <c r="H20">
        <f t="shared" si="2"/>
        <v>9.8360817179945492E-3</v>
      </c>
      <c r="I20"/>
      <c r="K20" s="12" t="s">
        <v>61</v>
      </c>
      <c r="L20" s="12">
        <v>313</v>
      </c>
      <c r="M20" s="12">
        <v>0.12192097663819544</v>
      </c>
      <c r="N20" s="12">
        <v>3.8952388702298861E-4</v>
      </c>
    </row>
    <row r="21" spans="1:19" ht="15" thickBot="1" x14ac:dyDescent="0.35">
      <c r="A21" s="16">
        <v>19</v>
      </c>
      <c r="B21" s="3">
        <v>45321</v>
      </c>
      <c r="C21" s="40">
        <v>4924.97</v>
      </c>
      <c r="D21" s="46">
        <f t="shared" si="1"/>
        <v>-6.0065788272156695E-4</v>
      </c>
      <c r="E21">
        <v>10078.469999999999</v>
      </c>
      <c r="F21">
        <v>7.8177000000000003</v>
      </c>
      <c r="G21" s="14">
        <f t="shared" si="0"/>
        <v>1289.1860777466518</v>
      </c>
      <c r="H21">
        <f t="shared" si="2"/>
        <v>-2.6428476027340442E-2</v>
      </c>
      <c r="I21"/>
      <c r="K21" s="48" t="s">
        <v>62</v>
      </c>
      <c r="L21" s="48">
        <v>314</v>
      </c>
      <c r="M21" s="48">
        <v>0.12737415309806782</v>
      </c>
      <c r="N21" s="48"/>
      <c r="O21" s="48"/>
      <c r="P21" s="48"/>
    </row>
    <row r="22" spans="1:19" ht="15" thickBot="1" x14ac:dyDescent="0.35">
      <c r="A22" s="16">
        <v>20</v>
      </c>
      <c r="B22" s="3">
        <v>45322</v>
      </c>
      <c r="C22" s="40">
        <v>4845.6499999999996</v>
      </c>
      <c r="D22" s="46">
        <f t="shared" si="1"/>
        <v>-1.6105681862021659E-2</v>
      </c>
      <c r="E22">
        <v>9926.31</v>
      </c>
      <c r="F22">
        <v>7.8179999999999996</v>
      </c>
      <c r="G22" s="14">
        <f t="shared" si="0"/>
        <v>1269.6738296239448</v>
      </c>
      <c r="H22">
        <f t="shared" si="2"/>
        <v>-1.5135323332696959E-2</v>
      </c>
      <c r="I22"/>
    </row>
    <row r="23" spans="1:19" x14ac:dyDescent="0.3">
      <c r="A23" s="16">
        <v>21</v>
      </c>
      <c r="B23" s="3">
        <v>45323</v>
      </c>
      <c r="C23" s="40">
        <v>4906.1899999999996</v>
      </c>
      <c r="D23" s="46">
        <f t="shared" si="1"/>
        <v>1.2493679898465615E-2</v>
      </c>
      <c r="E23">
        <v>10007.91</v>
      </c>
      <c r="F23">
        <v>7.8196000000000003</v>
      </c>
      <c r="G23" s="14">
        <f t="shared" si="0"/>
        <v>1279.849352908077</v>
      </c>
      <c r="H23">
        <f t="shared" si="2"/>
        <v>8.0142813427492854E-3</v>
      </c>
      <c r="I23"/>
      <c r="K23" s="49"/>
      <c r="L23" s="49" t="s">
        <v>69</v>
      </c>
      <c r="M23" s="49" t="s">
        <v>57</v>
      </c>
      <c r="N23" s="49" t="s">
        <v>70</v>
      </c>
      <c r="O23" s="49" t="s">
        <v>71</v>
      </c>
      <c r="P23" s="49" t="s">
        <v>72</v>
      </c>
      <c r="Q23" s="49" t="s">
        <v>73</v>
      </c>
      <c r="R23" s="49" t="s">
        <v>74</v>
      </c>
      <c r="S23" s="49" t="s">
        <v>75</v>
      </c>
    </row>
    <row r="24" spans="1:19" x14ac:dyDescent="0.3">
      <c r="A24" s="16">
        <v>22</v>
      </c>
      <c r="B24" s="3">
        <v>45324</v>
      </c>
      <c r="C24" s="40">
        <v>4958.6099999999997</v>
      </c>
      <c r="D24" s="46">
        <f t="shared" si="1"/>
        <v>1.0684461873673889E-2</v>
      </c>
      <c r="E24">
        <v>9956.02</v>
      </c>
      <c r="F24">
        <v>7.8201000000000001</v>
      </c>
      <c r="G24" s="14">
        <f t="shared" si="0"/>
        <v>1273.1320571348192</v>
      </c>
      <c r="H24">
        <f t="shared" si="2"/>
        <v>-5.2485050353736629E-3</v>
      </c>
      <c r="I24"/>
      <c r="K24" s="12" t="s">
        <v>63</v>
      </c>
      <c r="L24" s="12">
        <v>1.1222815873434199E-3</v>
      </c>
      <c r="M24" s="12">
        <v>1.1134567269936641E-3</v>
      </c>
      <c r="N24" s="12">
        <v>1.0079256428524015</v>
      </c>
      <c r="O24" s="12">
        <v>0.31426870623710462</v>
      </c>
      <c r="P24" s="12">
        <v>-1.0685247135975666E-3</v>
      </c>
      <c r="Q24" s="12">
        <v>3.3130878882844063E-3</v>
      </c>
      <c r="R24" s="12">
        <v>-1.0685247135975666E-3</v>
      </c>
      <c r="S24" s="12">
        <v>3.3130878882844063E-3</v>
      </c>
    </row>
    <row r="25" spans="1:19" ht="15" thickBot="1" x14ac:dyDescent="0.35">
      <c r="A25" s="16">
        <v>23</v>
      </c>
      <c r="B25" s="3">
        <v>45327</v>
      </c>
      <c r="C25" s="40">
        <v>4942.8100000000004</v>
      </c>
      <c r="D25" s="46">
        <f t="shared" si="1"/>
        <v>-3.18637682737688E-3</v>
      </c>
      <c r="E25">
        <v>9975.3799999999992</v>
      </c>
      <c r="F25">
        <v>7.8215000000000003</v>
      </c>
      <c r="G25" s="14">
        <f t="shared" si="0"/>
        <v>1275.379402927827</v>
      </c>
      <c r="H25">
        <f t="shared" si="2"/>
        <v>1.7652102783942691E-3</v>
      </c>
      <c r="I25"/>
      <c r="K25" s="48" t="s">
        <v>76</v>
      </c>
      <c r="L25" s="48">
        <v>0.36949362440062988</v>
      </c>
      <c r="M25" s="48">
        <v>9.875275515687236E-2</v>
      </c>
      <c r="N25" s="48">
        <v>3.7416031969303112</v>
      </c>
      <c r="O25" s="48">
        <v>2.1747134794313934E-4</v>
      </c>
      <c r="P25" s="48">
        <v>0.17519046650683456</v>
      </c>
      <c r="Q25" s="48">
        <v>0.5637967822944252</v>
      </c>
      <c r="R25" s="48">
        <v>0.17519046650683456</v>
      </c>
      <c r="S25" s="48">
        <v>0.5637967822944252</v>
      </c>
    </row>
    <row r="26" spans="1:19" x14ac:dyDescent="0.3">
      <c r="A26" s="16">
        <v>24</v>
      </c>
      <c r="B26" s="3">
        <v>45328</v>
      </c>
      <c r="C26" s="40">
        <v>4954.2299999999996</v>
      </c>
      <c r="D26" s="46">
        <f t="shared" si="1"/>
        <v>2.310426660138587E-3</v>
      </c>
      <c r="E26">
        <v>10472.75</v>
      </c>
      <c r="F26">
        <v>7.8224</v>
      </c>
      <c r="G26" s="14">
        <f t="shared" si="0"/>
        <v>1338.815453057885</v>
      </c>
      <c r="H26">
        <f t="shared" si="2"/>
        <v>4.973896393844135E-2</v>
      </c>
      <c r="I26"/>
    </row>
    <row r="27" spans="1:19" x14ac:dyDescent="0.3">
      <c r="A27" s="16">
        <v>25</v>
      </c>
      <c r="B27" s="3">
        <v>45329</v>
      </c>
      <c r="C27" s="40">
        <v>4995.0600000000004</v>
      </c>
      <c r="D27" s="46">
        <f t="shared" si="1"/>
        <v>8.2414421615468747E-3</v>
      </c>
      <c r="E27">
        <v>10419.67</v>
      </c>
      <c r="F27">
        <v>7.8189000000000002</v>
      </c>
      <c r="G27" s="14">
        <f t="shared" si="0"/>
        <v>1332.6260727212268</v>
      </c>
      <c r="H27">
        <f t="shared" si="2"/>
        <v>-4.6230272607934442E-3</v>
      </c>
      <c r="I27"/>
    </row>
    <row r="28" spans="1:19" x14ac:dyDescent="0.3">
      <c r="A28" s="16">
        <v>26</v>
      </c>
      <c r="B28" s="3">
        <v>45330</v>
      </c>
      <c r="C28" s="40">
        <v>4997.91</v>
      </c>
      <c r="D28" s="46">
        <f t="shared" si="1"/>
        <v>5.7056371695218822E-4</v>
      </c>
      <c r="E28">
        <v>10264.11</v>
      </c>
      <c r="F28">
        <v>7.8209999999999997</v>
      </c>
      <c r="G28" s="14">
        <f t="shared" si="0"/>
        <v>1312.3782125047949</v>
      </c>
      <c r="H28">
        <f t="shared" si="2"/>
        <v>-1.5193954726614112E-2</v>
      </c>
      <c r="I28"/>
      <c r="K28" s="52" t="s">
        <v>84</v>
      </c>
      <c r="L28" s="51">
        <f>L25</f>
        <v>0.36949362440062988</v>
      </c>
    </row>
    <row r="29" spans="1:19" x14ac:dyDescent="0.3">
      <c r="A29" s="16">
        <v>27</v>
      </c>
      <c r="B29" s="3">
        <v>45331</v>
      </c>
      <c r="C29" s="40">
        <v>5026.6099999999997</v>
      </c>
      <c r="D29" s="46">
        <f t="shared" si="1"/>
        <v>5.7424003233350618E-3</v>
      </c>
      <c r="E29">
        <v>10158.370000000001</v>
      </c>
      <c r="F29">
        <v>7.8197000000000001</v>
      </c>
      <c r="G29" s="14">
        <f t="shared" si="0"/>
        <v>1299.0741332787704</v>
      </c>
      <c r="H29">
        <f t="shared" si="2"/>
        <v>-1.0137381967529335E-2</v>
      </c>
      <c r="I29"/>
    </row>
    <row r="30" spans="1:19" x14ac:dyDescent="0.3">
      <c r="A30" s="16">
        <v>28</v>
      </c>
      <c r="B30" s="3">
        <v>45336</v>
      </c>
      <c r="C30" s="40">
        <v>5000.62</v>
      </c>
      <c r="D30" s="46">
        <f t="shared" si="1"/>
        <v>-5.1704826911178614E-3</v>
      </c>
      <c r="E30">
        <v>10316.25</v>
      </c>
      <c r="F30">
        <v>7.8182</v>
      </c>
      <c r="G30" s="14">
        <f t="shared" si="0"/>
        <v>1319.5172801923716</v>
      </c>
      <c r="H30">
        <f t="shared" si="2"/>
        <v>1.5736705388786465E-2</v>
      </c>
      <c r="I30"/>
    </row>
    <row r="31" spans="1:19" x14ac:dyDescent="0.3">
      <c r="A31" s="16">
        <v>29</v>
      </c>
      <c r="B31" s="3">
        <v>45337</v>
      </c>
      <c r="C31" s="40">
        <v>5029.7299999999996</v>
      </c>
      <c r="D31" s="46">
        <f t="shared" si="1"/>
        <v>5.8212781615079034E-3</v>
      </c>
      <c r="E31">
        <v>10363.75</v>
      </c>
      <c r="F31">
        <v>7.8193000000000001</v>
      </c>
      <c r="G31" s="14">
        <f t="shared" si="0"/>
        <v>1325.4063662987735</v>
      </c>
      <c r="H31">
        <f t="shared" si="2"/>
        <v>4.4630609957174716E-3</v>
      </c>
      <c r="I31"/>
    </row>
    <row r="32" spans="1:19" x14ac:dyDescent="0.3">
      <c r="A32" s="16">
        <v>30</v>
      </c>
      <c r="B32" s="3">
        <v>45338</v>
      </c>
      <c r="C32" s="40">
        <v>5005.57</v>
      </c>
      <c r="D32" s="46">
        <f t="shared" si="1"/>
        <v>-4.8034387531735723E-3</v>
      </c>
      <c r="E32">
        <v>10648.51</v>
      </c>
      <c r="F32">
        <v>7.8223000000000003</v>
      </c>
      <c r="G32" s="14">
        <f t="shared" si="0"/>
        <v>1361.3016631936898</v>
      </c>
      <c r="H32">
        <f t="shared" si="2"/>
        <v>2.7082484140433571E-2</v>
      </c>
      <c r="I32"/>
    </row>
    <row r="33" spans="1:9" x14ac:dyDescent="0.3">
      <c r="A33" s="16">
        <v>31</v>
      </c>
      <c r="B33" s="3">
        <v>45342</v>
      </c>
      <c r="C33" s="40">
        <v>4975.51</v>
      </c>
      <c r="D33" s="46">
        <f t="shared" si="1"/>
        <v>-6.0053100845657292E-3</v>
      </c>
      <c r="E33">
        <v>10575.6</v>
      </c>
      <c r="F33">
        <v>7.8207000000000004</v>
      </c>
      <c r="G33" s="14">
        <f t="shared" si="0"/>
        <v>1352.2574705589013</v>
      </c>
      <c r="H33">
        <f t="shared" si="2"/>
        <v>-6.6437828435251811E-3</v>
      </c>
      <c r="I33"/>
    </row>
    <row r="34" spans="1:9" x14ac:dyDescent="0.3">
      <c r="A34" s="16">
        <v>32</v>
      </c>
      <c r="B34" s="3">
        <v>45343</v>
      </c>
      <c r="C34" s="40">
        <v>4981.8</v>
      </c>
      <c r="D34" s="46">
        <f t="shared" si="1"/>
        <v>1.2641920124771833E-3</v>
      </c>
      <c r="E34">
        <v>10816.77</v>
      </c>
      <c r="F34">
        <v>7.8209</v>
      </c>
      <c r="G34" s="14">
        <f t="shared" si="0"/>
        <v>1383.0594944315872</v>
      </c>
      <c r="H34">
        <f t="shared" si="2"/>
        <v>2.2778224223789945E-2</v>
      </c>
      <c r="I34"/>
    </row>
    <row r="35" spans="1:9" x14ac:dyDescent="0.3">
      <c r="A35" s="16">
        <v>33</v>
      </c>
      <c r="B35" s="3">
        <v>45344</v>
      </c>
      <c r="C35" s="40">
        <v>5087.03</v>
      </c>
      <c r="D35" s="46">
        <f t="shared" si="1"/>
        <v>2.1122887309807714E-2</v>
      </c>
      <c r="E35">
        <v>11023.47</v>
      </c>
      <c r="F35">
        <v>7.8221999999999996</v>
      </c>
      <c r="G35" s="14">
        <f t="shared" si="0"/>
        <v>1409.2544297000843</v>
      </c>
      <c r="H35">
        <f t="shared" si="2"/>
        <v>1.8939847037645174E-2</v>
      </c>
      <c r="I35"/>
    </row>
    <row r="36" spans="1:9" x14ac:dyDescent="0.3">
      <c r="A36" s="16">
        <v>34</v>
      </c>
      <c r="B36" s="3">
        <v>45345</v>
      </c>
      <c r="C36" s="40">
        <v>5088.8</v>
      </c>
      <c r="D36" s="46">
        <f t="shared" si="1"/>
        <v>3.4794369209545373E-4</v>
      </c>
      <c r="E36">
        <v>11063.46</v>
      </c>
      <c r="F36">
        <v>7.8238000000000003</v>
      </c>
      <c r="G36" s="14">
        <f t="shared" si="0"/>
        <v>1414.0775582197907</v>
      </c>
      <c r="H36">
        <f t="shared" si="2"/>
        <v>3.4224682343080293E-3</v>
      </c>
      <c r="I36"/>
    </row>
    <row r="37" spans="1:9" x14ac:dyDescent="0.3">
      <c r="A37" s="16">
        <v>35</v>
      </c>
      <c r="B37" s="3">
        <v>45348</v>
      </c>
      <c r="C37" s="40">
        <v>5069.53</v>
      </c>
      <c r="D37" s="46">
        <f t="shared" si="1"/>
        <v>-3.7867473667663187E-3</v>
      </c>
      <c r="E37">
        <v>10964.1</v>
      </c>
      <c r="F37">
        <v>7.8238000000000003</v>
      </c>
      <c r="G37" s="14">
        <f t="shared" si="0"/>
        <v>1401.3778470819807</v>
      </c>
      <c r="H37">
        <f t="shared" si="2"/>
        <v>-8.980915554446578E-3</v>
      </c>
      <c r="I37"/>
    </row>
    <row r="38" spans="1:9" x14ac:dyDescent="0.3">
      <c r="A38" s="16">
        <v>36</v>
      </c>
      <c r="B38" s="3">
        <v>45349</v>
      </c>
      <c r="C38" s="40">
        <v>5078.18</v>
      </c>
      <c r="D38" s="46">
        <f t="shared" si="1"/>
        <v>1.7062725735916828E-3</v>
      </c>
      <c r="E38">
        <v>11102.17</v>
      </c>
      <c r="F38">
        <v>7.8240999999999996</v>
      </c>
      <c r="G38" s="14">
        <f t="shared" si="0"/>
        <v>1418.9708720491815</v>
      </c>
      <c r="H38">
        <f t="shared" si="2"/>
        <v>1.2554090963999398E-2</v>
      </c>
      <c r="I38"/>
    </row>
    <row r="39" spans="1:9" x14ac:dyDescent="0.3">
      <c r="A39" s="16">
        <v>37</v>
      </c>
      <c r="B39" s="3">
        <v>45350</v>
      </c>
      <c r="C39" s="40">
        <v>5069.76</v>
      </c>
      <c r="D39" s="46">
        <f t="shared" si="1"/>
        <v>-1.6580743494716277E-3</v>
      </c>
      <c r="E39">
        <v>10915.64</v>
      </c>
      <c r="F39">
        <v>7.8278999999999996</v>
      </c>
      <c r="G39" s="14">
        <f t="shared" si="0"/>
        <v>1394.4531739036013</v>
      </c>
      <c r="H39">
        <f t="shared" si="2"/>
        <v>-1.7278507000058063E-2</v>
      </c>
      <c r="I39"/>
    </row>
    <row r="40" spans="1:9" x14ac:dyDescent="0.3">
      <c r="A40" s="16">
        <v>38</v>
      </c>
      <c r="B40" s="3">
        <v>45351</v>
      </c>
      <c r="C40" s="40">
        <v>5096.2700000000004</v>
      </c>
      <c r="D40" s="46">
        <f t="shared" si="1"/>
        <v>5.229044372909275E-3</v>
      </c>
      <c r="E40">
        <v>10883.74</v>
      </c>
      <c r="F40">
        <v>7.8288000000000002</v>
      </c>
      <c r="G40" s="14">
        <f t="shared" si="0"/>
        <v>1390.2181688125893</v>
      </c>
      <c r="H40">
        <f t="shared" si="2"/>
        <v>-3.0370364313895282E-3</v>
      </c>
      <c r="I40"/>
    </row>
    <row r="41" spans="1:9" x14ac:dyDescent="0.3">
      <c r="A41" s="16">
        <v>39</v>
      </c>
      <c r="B41" s="3">
        <v>45352</v>
      </c>
      <c r="C41" s="40">
        <v>5137.08</v>
      </c>
      <c r="D41" s="46">
        <f t="shared" si="1"/>
        <v>8.0078174821975878E-3</v>
      </c>
      <c r="E41">
        <v>10970.9</v>
      </c>
      <c r="F41">
        <v>7.8285</v>
      </c>
      <c r="G41" s="14">
        <f t="shared" si="0"/>
        <v>1401.40512230951</v>
      </c>
      <c r="H41">
        <f t="shared" si="2"/>
        <v>8.0469049735378828E-3</v>
      </c>
      <c r="I41"/>
    </row>
    <row r="42" spans="1:9" x14ac:dyDescent="0.3">
      <c r="A42" s="16">
        <v>40</v>
      </c>
      <c r="B42" s="3">
        <v>45355</v>
      </c>
      <c r="C42" s="40">
        <v>5130.95</v>
      </c>
      <c r="D42" s="46">
        <f t="shared" si="1"/>
        <v>-1.1932849011501157E-3</v>
      </c>
      <c r="E42">
        <v>10928.96</v>
      </c>
      <c r="F42">
        <v>7.8247</v>
      </c>
      <c r="G42" s="14">
        <f t="shared" si="0"/>
        <v>1396.7257530640152</v>
      </c>
      <c r="H42">
        <f t="shared" si="2"/>
        <v>-3.33905533168255E-3</v>
      </c>
      <c r="I42"/>
    </row>
    <row r="43" spans="1:9" x14ac:dyDescent="0.3">
      <c r="A43" s="16">
        <v>41</v>
      </c>
      <c r="B43" s="3">
        <v>45356</v>
      </c>
      <c r="C43" s="40">
        <v>5078.6499999999996</v>
      </c>
      <c r="D43" s="46">
        <f t="shared" si="1"/>
        <v>-1.0193044173106403E-2</v>
      </c>
      <c r="E43">
        <v>10610.91</v>
      </c>
      <c r="F43">
        <v>7.8239999999999998</v>
      </c>
      <c r="G43" s="14">
        <f t="shared" si="0"/>
        <v>1356.2001533742332</v>
      </c>
      <c r="H43">
        <f t="shared" si="2"/>
        <v>-2.9014715022530724E-2</v>
      </c>
      <c r="I43"/>
    </row>
    <row r="44" spans="1:9" x14ac:dyDescent="0.3">
      <c r="A44" s="16">
        <v>42</v>
      </c>
      <c r="B44" s="3">
        <v>45357</v>
      </c>
      <c r="C44" s="40">
        <v>5104.76</v>
      </c>
      <c r="D44" s="46">
        <f t="shared" si="1"/>
        <v>5.1411300247115044E-3</v>
      </c>
      <c r="E44">
        <v>10836.35</v>
      </c>
      <c r="F44">
        <v>7.8251999999999997</v>
      </c>
      <c r="G44" s="14">
        <f t="shared" si="0"/>
        <v>1384.8016664110824</v>
      </c>
      <c r="H44">
        <f t="shared" si="2"/>
        <v>2.1089448313133197E-2</v>
      </c>
      <c r="I44"/>
    </row>
    <row r="45" spans="1:9" x14ac:dyDescent="0.3">
      <c r="A45" s="16">
        <v>43</v>
      </c>
      <c r="B45" s="3">
        <v>45358</v>
      </c>
      <c r="C45" s="40">
        <v>5157.3599999999997</v>
      </c>
      <c r="D45" s="46">
        <f t="shared" si="1"/>
        <v>1.0304108322428451E-2</v>
      </c>
      <c r="E45">
        <v>10690.77</v>
      </c>
      <c r="F45">
        <v>7.8207000000000004</v>
      </c>
      <c r="G45" s="14">
        <f t="shared" si="0"/>
        <v>1366.983773830987</v>
      </c>
      <c r="H45">
        <f t="shared" si="2"/>
        <v>-1.2866746922881034E-2</v>
      </c>
      <c r="I45"/>
    </row>
    <row r="46" spans="1:9" x14ac:dyDescent="0.3">
      <c r="A46" s="16">
        <v>44</v>
      </c>
      <c r="B46" s="3">
        <v>45359</v>
      </c>
      <c r="C46" s="40">
        <v>5123.6899999999996</v>
      </c>
      <c r="D46" s="46">
        <f t="shared" si="1"/>
        <v>-6.5285339786247398E-3</v>
      </c>
      <c r="E46">
        <v>10758.76</v>
      </c>
      <c r="F46">
        <v>7.8202999999999996</v>
      </c>
      <c r="G46" s="14">
        <f t="shared" si="0"/>
        <v>1375.7477334629107</v>
      </c>
      <c r="H46">
        <f t="shared" si="2"/>
        <v>6.4111658087664392E-3</v>
      </c>
      <c r="I46"/>
    </row>
    <row r="47" spans="1:9" x14ac:dyDescent="0.3">
      <c r="A47" s="16">
        <v>45</v>
      </c>
      <c r="B47" s="3">
        <v>45362</v>
      </c>
      <c r="C47" s="40">
        <v>5117.9399999999996</v>
      </c>
      <c r="D47" s="46">
        <f t="shared" si="1"/>
        <v>-1.1222380745127269E-3</v>
      </c>
      <c r="E47">
        <v>10953.44</v>
      </c>
      <c r="F47">
        <v>7.8216000000000001</v>
      </c>
      <c r="G47" s="14">
        <f t="shared" si="0"/>
        <v>1400.4091234530019</v>
      </c>
      <c r="H47">
        <f t="shared" si="2"/>
        <v>1.7925808191604942E-2</v>
      </c>
      <c r="I47"/>
    </row>
    <row r="48" spans="1:9" x14ac:dyDescent="0.3">
      <c r="A48" s="16">
        <v>46</v>
      </c>
      <c r="B48" s="3">
        <v>45363</v>
      </c>
      <c r="C48" s="40">
        <v>5175.2700000000004</v>
      </c>
      <c r="D48" s="46">
        <f t="shared" si="1"/>
        <v>1.1201772588189884E-2</v>
      </c>
      <c r="E48">
        <v>11324.92</v>
      </c>
      <c r="F48">
        <v>7.8235000000000001</v>
      </c>
      <c r="G48" s="14">
        <f t="shared" si="0"/>
        <v>1447.5516073368697</v>
      </c>
      <c r="H48">
        <f t="shared" si="2"/>
        <v>3.3663365294013481E-2</v>
      </c>
      <c r="I48"/>
    </row>
    <row r="49" spans="1:9" x14ac:dyDescent="0.3">
      <c r="A49" s="16">
        <v>47</v>
      </c>
      <c r="B49" s="3">
        <v>45364</v>
      </c>
      <c r="C49" s="40">
        <v>5165.3100000000004</v>
      </c>
      <c r="D49" s="46">
        <f t="shared" si="1"/>
        <v>-1.9245372705192221E-3</v>
      </c>
      <c r="E49">
        <v>11298.78</v>
      </c>
      <c r="F49">
        <v>7.8232999999999997</v>
      </c>
      <c r="G49" s="14">
        <f t="shared" si="0"/>
        <v>1444.2473125151791</v>
      </c>
      <c r="H49">
        <f t="shared" si="2"/>
        <v>-2.2826784239973197E-3</v>
      </c>
      <c r="I49"/>
    </row>
    <row r="50" spans="1:9" x14ac:dyDescent="0.3">
      <c r="A50" s="16">
        <v>48</v>
      </c>
      <c r="B50" s="3">
        <v>45365</v>
      </c>
      <c r="C50" s="40">
        <v>5150.4799999999996</v>
      </c>
      <c r="D50" s="46">
        <f t="shared" si="1"/>
        <v>-2.871076469757039E-3</v>
      </c>
      <c r="E50">
        <v>11245.23</v>
      </c>
      <c r="F50">
        <v>7.8221999999999996</v>
      </c>
      <c r="G50" s="14">
        <f t="shared" si="0"/>
        <v>1437.604510240086</v>
      </c>
      <c r="H50">
        <f t="shared" si="2"/>
        <v>-4.5994908334117124E-3</v>
      </c>
      <c r="I50"/>
    </row>
    <row r="51" spans="1:9" x14ac:dyDescent="0.3">
      <c r="A51" s="16">
        <v>49</v>
      </c>
      <c r="B51" s="3">
        <v>45366</v>
      </c>
      <c r="C51" s="40">
        <v>5117.09</v>
      </c>
      <c r="D51" s="46">
        <f t="shared" si="1"/>
        <v>-6.4828909150214109E-3</v>
      </c>
      <c r="E51">
        <v>11060.97</v>
      </c>
      <c r="F51">
        <v>7.8215000000000003</v>
      </c>
      <c r="G51" s="14">
        <f t="shared" si="0"/>
        <v>1414.1750303650194</v>
      </c>
      <c r="H51">
        <f t="shared" si="2"/>
        <v>-1.6297583729167453E-2</v>
      </c>
      <c r="I51"/>
    </row>
    <row r="52" spans="1:9" x14ac:dyDescent="0.3">
      <c r="A52" s="16">
        <v>50</v>
      </c>
      <c r="B52" s="3">
        <v>45369</v>
      </c>
      <c r="C52" s="40">
        <v>5149.42</v>
      </c>
      <c r="D52" s="46">
        <f t="shared" si="1"/>
        <v>6.3180440445644859E-3</v>
      </c>
      <c r="E52">
        <v>11099.11</v>
      </c>
      <c r="F52">
        <v>7.8192000000000004</v>
      </c>
      <c r="G52" s="14">
        <f t="shared" si="0"/>
        <v>1419.468743605484</v>
      </c>
      <c r="H52">
        <f t="shared" si="2"/>
        <v>3.743322521468917E-3</v>
      </c>
      <c r="I52"/>
    </row>
    <row r="53" spans="1:9" x14ac:dyDescent="0.3">
      <c r="A53" s="16">
        <v>51</v>
      </c>
      <c r="B53" s="3">
        <v>45370</v>
      </c>
      <c r="C53" s="40">
        <v>5178.51</v>
      </c>
      <c r="D53" s="46">
        <f t="shared" si="1"/>
        <v>5.6491799076401339E-3</v>
      </c>
      <c r="E53">
        <v>10945.86</v>
      </c>
      <c r="F53">
        <v>7.8230000000000004</v>
      </c>
      <c r="G53" s="14">
        <f t="shared" si="0"/>
        <v>1399.1895692189696</v>
      </c>
      <c r="H53">
        <f t="shared" si="2"/>
        <v>-1.4286453631240037E-2</v>
      </c>
      <c r="I53"/>
    </row>
    <row r="54" spans="1:9" x14ac:dyDescent="0.3">
      <c r="A54" s="16">
        <v>52</v>
      </c>
      <c r="B54" s="3">
        <v>45371</v>
      </c>
      <c r="C54" s="40">
        <v>5224.62</v>
      </c>
      <c r="D54" s="46">
        <f t="shared" si="1"/>
        <v>8.9041056211149883E-3</v>
      </c>
      <c r="E54">
        <v>10967.37</v>
      </c>
      <c r="F54">
        <v>7.8228</v>
      </c>
      <c r="G54" s="14">
        <f t="shared" si="0"/>
        <v>1401.9749961650562</v>
      </c>
      <c r="H54">
        <f t="shared" si="2"/>
        <v>1.9907430753942634E-3</v>
      </c>
      <c r="I54"/>
    </row>
    <row r="55" spans="1:9" x14ac:dyDescent="0.3">
      <c r="A55" s="16">
        <v>53</v>
      </c>
      <c r="B55" s="3">
        <v>45372</v>
      </c>
      <c r="C55" s="40">
        <v>5241.53</v>
      </c>
      <c r="D55" s="46">
        <f t="shared" si="1"/>
        <v>3.2365990253835353E-3</v>
      </c>
      <c r="E55">
        <v>11173.12</v>
      </c>
      <c r="F55">
        <v>7.8216000000000001</v>
      </c>
      <c r="G55" s="14">
        <f t="shared" si="0"/>
        <v>1428.4954485015855</v>
      </c>
      <c r="H55">
        <f t="shared" si="2"/>
        <v>1.8916494523135707E-2</v>
      </c>
      <c r="I55"/>
    </row>
    <row r="56" spans="1:9" x14ac:dyDescent="0.3">
      <c r="A56" s="16">
        <v>54</v>
      </c>
      <c r="B56" s="3">
        <v>45373</v>
      </c>
      <c r="C56" s="40">
        <v>5234.18</v>
      </c>
      <c r="D56" s="46">
        <f t="shared" si="1"/>
        <v>-1.4022623165372838E-3</v>
      </c>
      <c r="E56">
        <v>10903.6</v>
      </c>
      <c r="F56">
        <v>7.8216000000000001</v>
      </c>
      <c r="G56" s="14">
        <f t="shared" si="0"/>
        <v>1394.0370256724966</v>
      </c>
      <c r="H56">
        <f t="shared" si="2"/>
        <v>-2.4122178943750905E-2</v>
      </c>
      <c r="I56"/>
    </row>
    <row r="57" spans="1:9" x14ac:dyDescent="0.3">
      <c r="A57" s="16">
        <v>55</v>
      </c>
      <c r="B57" s="3">
        <v>45376</v>
      </c>
      <c r="C57" s="40">
        <v>5218.1899999999996</v>
      </c>
      <c r="D57" s="46">
        <f t="shared" si="1"/>
        <v>-3.0549197773100945E-3</v>
      </c>
      <c r="E57">
        <v>10912.73</v>
      </c>
      <c r="F57">
        <v>7.8216000000000001</v>
      </c>
      <c r="G57" s="14">
        <f t="shared" si="0"/>
        <v>1395.2043060243427</v>
      </c>
      <c r="H57">
        <f t="shared" si="2"/>
        <v>8.3733812685715669E-4</v>
      </c>
      <c r="I57"/>
    </row>
    <row r="58" spans="1:9" x14ac:dyDescent="0.3">
      <c r="A58" s="16">
        <v>56</v>
      </c>
      <c r="B58" s="3">
        <v>45377</v>
      </c>
      <c r="C58" s="40">
        <v>5203.58</v>
      </c>
      <c r="D58" s="46">
        <f t="shared" si="1"/>
        <v>-2.7998213940082506E-3</v>
      </c>
      <c r="E58">
        <v>11048.05</v>
      </c>
      <c r="F58">
        <v>7.8236999999999997</v>
      </c>
      <c r="G58" s="14">
        <f t="shared" si="0"/>
        <v>1412.1259762005188</v>
      </c>
      <c r="H58">
        <f t="shared" si="2"/>
        <v>1.2128453233057002E-2</v>
      </c>
      <c r="I58"/>
    </row>
    <row r="59" spans="1:9" x14ac:dyDescent="0.3">
      <c r="A59" s="16">
        <v>57</v>
      </c>
      <c r="B59" s="3">
        <v>45378</v>
      </c>
      <c r="C59" s="40">
        <v>5248.49</v>
      </c>
      <c r="D59" s="46">
        <f t="shared" si="1"/>
        <v>8.6305966277062662E-3</v>
      </c>
      <c r="E59">
        <v>10885.57</v>
      </c>
      <c r="F59">
        <v>7.8239000000000001</v>
      </c>
      <c r="G59" s="14">
        <f t="shared" si="0"/>
        <v>1391.322741855085</v>
      </c>
      <c r="H59">
        <f t="shared" si="2"/>
        <v>-1.4731854449280268E-2</v>
      </c>
      <c r="I59"/>
    </row>
    <row r="60" spans="1:9" x14ac:dyDescent="0.3">
      <c r="A60" s="16">
        <v>58</v>
      </c>
      <c r="B60" s="3">
        <v>45379</v>
      </c>
      <c r="C60" s="40">
        <v>5254.35</v>
      </c>
      <c r="D60" s="46">
        <f t="shared" si="1"/>
        <v>1.1165116061955249E-3</v>
      </c>
      <c r="E60">
        <v>11040.85</v>
      </c>
      <c r="F60">
        <v>7.8265000000000002</v>
      </c>
      <c r="G60" s="14">
        <f t="shared" si="0"/>
        <v>1410.7008241231713</v>
      </c>
      <c r="H60">
        <f t="shared" si="2"/>
        <v>1.3927812494640257E-2</v>
      </c>
      <c r="I60"/>
    </row>
    <row r="61" spans="1:9" x14ac:dyDescent="0.3">
      <c r="A61" s="16">
        <v>59</v>
      </c>
      <c r="B61" s="3">
        <v>45384</v>
      </c>
      <c r="C61" s="40">
        <v>5205.8100000000004</v>
      </c>
      <c r="D61" s="46">
        <f t="shared" si="1"/>
        <v>-9.2380598932313429E-3</v>
      </c>
      <c r="E61">
        <v>11312.7</v>
      </c>
      <c r="F61">
        <v>7.8291000000000004</v>
      </c>
      <c r="G61" s="14">
        <f t="shared" si="0"/>
        <v>1444.9553588535082</v>
      </c>
      <c r="H61">
        <f t="shared" si="2"/>
        <v>2.4281927212758125E-2</v>
      </c>
      <c r="I61"/>
    </row>
    <row r="62" spans="1:9" x14ac:dyDescent="0.3">
      <c r="A62" s="16">
        <v>60</v>
      </c>
      <c r="B62" s="3">
        <v>45385</v>
      </c>
      <c r="C62" s="40">
        <v>5211.49</v>
      </c>
      <c r="D62" s="46">
        <f t="shared" si="1"/>
        <v>1.0910886106099138E-3</v>
      </c>
      <c r="E62">
        <v>11175.8</v>
      </c>
      <c r="F62">
        <v>7.8287000000000004</v>
      </c>
      <c r="G62" s="14">
        <f t="shared" si="0"/>
        <v>1427.5422483937307</v>
      </c>
      <c r="H62">
        <f t="shared" si="2"/>
        <v>-1.2050967770792509E-2</v>
      </c>
      <c r="I62"/>
    </row>
    <row r="63" spans="1:9" x14ac:dyDescent="0.3">
      <c r="A63" s="16">
        <v>61</v>
      </c>
      <c r="B63" s="3">
        <v>45387</v>
      </c>
      <c r="C63" s="40">
        <v>5204.34</v>
      </c>
      <c r="D63" s="46">
        <f t="shared" si="1"/>
        <v>-1.3719684773452201E-3</v>
      </c>
      <c r="E63">
        <v>11141.59</v>
      </c>
      <c r="F63">
        <v>7.8282999999999996</v>
      </c>
      <c r="G63" s="14">
        <f t="shared" si="0"/>
        <v>1423.2451490106409</v>
      </c>
      <c r="H63">
        <f t="shared" si="2"/>
        <v>-3.0101381503243596E-3</v>
      </c>
      <c r="I63"/>
    </row>
    <row r="64" spans="1:9" x14ac:dyDescent="0.3">
      <c r="A64" s="16">
        <v>62</v>
      </c>
      <c r="B64" s="3">
        <v>45390</v>
      </c>
      <c r="C64" s="40">
        <v>5202.3900000000003</v>
      </c>
      <c r="D64" s="46">
        <f t="shared" si="1"/>
        <v>-3.7468728023148934E-4</v>
      </c>
      <c r="E64">
        <v>11164.93</v>
      </c>
      <c r="F64">
        <v>7.8315999999999999</v>
      </c>
      <c r="G64" s="14">
        <f t="shared" si="0"/>
        <v>1425.6256703611011</v>
      </c>
      <c r="H64">
        <f t="shared" si="2"/>
        <v>1.6726010639243061E-3</v>
      </c>
      <c r="I64"/>
    </row>
    <row r="65" spans="1:11" x14ac:dyDescent="0.3">
      <c r="A65" s="16">
        <v>63</v>
      </c>
      <c r="B65" s="3">
        <v>45391</v>
      </c>
      <c r="C65" s="40">
        <v>5209.91</v>
      </c>
      <c r="D65" s="46">
        <f t="shared" si="1"/>
        <v>1.4454894769517779E-3</v>
      </c>
      <c r="E65">
        <v>11211.42</v>
      </c>
      <c r="F65">
        <v>7.8304</v>
      </c>
      <c r="G65" s="14">
        <f t="shared" si="0"/>
        <v>1431.7812627707397</v>
      </c>
      <c r="H65">
        <f t="shared" si="2"/>
        <v>4.317818160554987E-3</v>
      </c>
      <c r="I65"/>
    </row>
    <row r="66" spans="1:11" x14ac:dyDescent="0.3">
      <c r="A66" s="16">
        <v>64</v>
      </c>
      <c r="B66" s="3">
        <v>45392</v>
      </c>
      <c r="C66" s="40">
        <v>5160.6400000000003</v>
      </c>
      <c r="D66" s="46">
        <f t="shared" si="1"/>
        <v>-9.4569771838668437E-3</v>
      </c>
      <c r="E66">
        <v>11449.75</v>
      </c>
      <c r="F66">
        <v>7.8353999999999999</v>
      </c>
      <c r="G66" s="14">
        <f t="shared" si="0"/>
        <v>1461.2846823391276</v>
      </c>
      <c r="H66">
        <f t="shared" si="2"/>
        <v>2.0606094195766866E-2</v>
      </c>
      <c r="I66"/>
    </row>
    <row r="67" spans="1:11" x14ac:dyDescent="0.3">
      <c r="A67" s="16">
        <v>65</v>
      </c>
      <c r="B67" s="3">
        <v>45393</v>
      </c>
      <c r="C67" s="40">
        <v>5199.0600000000004</v>
      </c>
      <c r="D67" s="46">
        <f t="shared" si="1"/>
        <v>7.4448130464439544E-3</v>
      </c>
      <c r="E67">
        <v>11418.18</v>
      </c>
      <c r="F67">
        <v>7.8379000000000003</v>
      </c>
      <c r="G67" s="14">
        <f t="shared" ref="G67:G130" si="3">E67/F67</f>
        <v>1456.7907220046186</v>
      </c>
      <c r="H67">
        <f t="shared" si="2"/>
        <v>-3.0753489643888798E-3</v>
      </c>
      <c r="I67"/>
    </row>
    <row r="68" spans="1:11" x14ac:dyDescent="0.3">
      <c r="A68" s="16">
        <v>66</v>
      </c>
      <c r="B68" s="3">
        <v>45394</v>
      </c>
      <c r="C68" s="40">
        <v>5123.41</v>
      </c>
      <c r="D68" s="46">
        <f t="shared" ref="D68:D131" si="4">$C68/$C67-1</f>
        <v>-1.4550707243232486E-2</v>
      </c>
      <c r="E68">
        <v>11196.81</v>
      </c>
      <c r="F68">
        <v>7.8372999999999999</v>
      </c>
      <c r="G68" s="14">
        <f t="shared" si="3"/>
        <v>1428.6565526393017</v>
      </c>
      <c r="H68">
        <f t="shared" ref="H68:H131" si="5">$G68/$G67-1</f>
        <v>-1.9312430358289778E-2</v>
      </c>
      <c r="I68"/>
      <c r="K68" s="38"/>
    </row>
    <row r="69" spans="1:11" x14ac:dyDescent="0.3">
      <c r="A69" s="16">
        <v>67</v>
      </c>
      <c r="B69" s="3">
        <v>45397</v>
      </c>
      <c r="C69" s="40">
        <v>5061.82</v>
      </c>
      <c r="D69" s="46">
        <f t="shared" si="4"/>
        <v>-1.2021290507689297E-2</v>
      </c>
      <c r="E69">
        <v>11144.86</v>
      </c>
      <c r="F69">
        <v>7.8285999999999998</v>
      </c>
      <c r="G69" s="14">
        <f t="shared" si="3"/>
        <v>1423.6083079988759</v>
      </c>
      <c r="H69">
        <f t="shared" si="5"/>
        <v>-3.5335606945557929E-3</v>
      </c>
      <c r="I69"/>
      <c r="K69" s="38"/>
    </row>
    <row r="70" spans="1:11" x14ac:dyDescent="0.3">
      <c r="A70" s="16">
        <v>68</v>
      </c>
      <c r="B70" s="3">
        <v>45398</v>
      </c>
      <c r="C70" s="40">
        <v>5051.41</v>
      </c>
      <c r="D70" s="46">
        <f t="shared" si="4"/>
        <v>-2.056572537150636E-3</v>
      </c>
      <c r="E70">
        <v>10944.89</v>
      </c>
      <c r="F70">
        <v>7.8315999999999999</v>
      </c>
      <c r="G70" s="14">
        <f t="shared" si="3"/>
        <v>1397.5292405127943</v>
      </c>
      <c r="H70">
        <f t="shared" si="5"/>
        <v>-1.8318990792305923E-2</v>
      </c>
      <c r="I70"/>
      <c r="K70" s="38"/>
    </row>
    <row r="71" spans="1:11" x14ac:dyDescent="0.3">
      <c r="A71" s="16">
        <v>69</v>
      </c>
      <c r="B71" s="3">
        <v>45399</v>
      </c>
      <c r="C71" s="40">
        <v>5022.21</v>
      </c>
      <c r="D71" s="46">
        <f t="shared" si="4"/>
        <v>-5.780564238499708E-3</v>
      </c>
      <c r="E71">
        <v>10951.05</v>
      </c>
      <c r="F71">
        <v>7.8301999999999996</v>
      </c>
      <c r="G71" s="14">
        <f t="shared" si="3"/>
        <v>1398.5658093024444</v>
      </c>
      <c r="H71">
        <f t="shared" si="5"/>
        <v>7.4171527836486284E-4</v>
      </c>
      <c r="I71"/>
      <c r="K71" s="38"/>
    </row>
    <row r="72" spans="1:11" x14ac:dyDescent="0.3">
      <c r="A72" s="16">
        <v>70</v>
      </c>
      <c r="B72" s="3">
        <v>45400</v>
      </c>
      <c r="C72" s="40">
        <v>5011.12</v>
      </c>
      <c r="D72" s="46">
        <f t="shared" si="4"/>
        <v>-2.2081912146246774E-3</v>
      </c>
      <c r="E72">
        <v>11071.92</v>
      </c>
      <c r="F72">
        <v>7.8311999999999999</v>
      </c>
      <c r="G72" s="14">
        <f t="shared" si="3"/>
        <v>1413.8216365307999</v>
      </c>
      <c r="H72">
        <f t="shared" si="5"/>
        <v>1.0908194041983954E-2</v>
      </c>
      <c r="I72"/>
      <c r="K72" s="38"/>
    </row>
    <row r="73" spans="1:11" x14ac:dyDescent="0.3">
      <c r="A73" s="16">
        <v>71</v>
      </c>
      <c r="B73" s="3">
        <v>45401</v>
      </c>
      <c r="C73" s="40">
        <v>4967.2299999999996</v>
      </c>
      <c r="D73" s="46">
        <f t="shared" si="4"/>
        <v>-8.7585210491867294E-3</v>
      </c>
      <c r="E73">
        <v>10973.85</v>
      </c>
      <c r="F73">
        <v>7.8320999999999996</v>
      </c>
      <c r="G73" s="14">
        <f t="shared" si="3"/>
        <v>1401.1376259240817</v>
      </c>
      <c r="H73">
        <f t="shared" si="5"/>
        <v>-8.9714361974554402E-3</v>
      </c>
      <c r="I73"/>
      <c r="K73" s="38"/>
    </row>
    <row r="74" spans="1:11" x14ac:dyDescent="0.3">
      <c r="A74" s="16">
        <v>72</v>
      </c>
      <c r="B74" s="3">
        <v>45404</v>
      </c>
      <c r="C74" s="40">
        <v>5010.6000000000004</v>
      </c>
      <c r="D74" s="46">
        <f t="shared" si="4"/>
        <v>8.7312244450128418E-3</v>
      </c>
      <c r="E74">
        <v>11130.87</v>
      </c>
      <c r="F74">
        <v>7.8354999999999997</v>
      </c>
      <c r="G74" s="14">
        <f t="shared" si="3"/>
        <v>1420.5692042626508</v>
      </c>
      <c r="H74">
        <f t="shared" si="5"/>
        <v>1.3868429466915133E-2</v>
      </c>
      <c r="I74"/>
      <c r="K74" s="38"/>
    </row>
    <row r="75" spans="1:11" x14ac:dyDescent="0.3">
      <c r="A75" s="16">
        <v>73</v>
      </c>
      <c r="B75" s="3">
        <v>45405</v>
      </c>
      <c r="C75" s="40">
        <v>5070.55</v>
      </c>
      <c r="D75" s="46">
        <f t="shared" si="4"/>
        <v>1.1964634973855359E-2</v>
      </c>
      <c r="E75">
        <v>11363.88</v>
      </c>
      <c r="F75">
        <v>7.8345000000000002</v>
      </c>
      <c r="G75" s="14">
        <f t="shared" si="3"/>
        <v>1450.4920543748801</v>
      </c>
      <c r="H75">
        <f t="shared" si="5"/>
        <v>2.1063986198237128E-2</v>
      </c>
      <c r="I75"/>
      <c r="K75" s="38"/>
    </row>
    <row r="76" spans="1:11" x14ac:dyDescent="0.3">
      <c r="A76" s="16">
        <v>74</v>
      </c>
      <c r="B76" s="3">
        <v>45406</v>
      </c>
      <c r="C76" s="40">
        <v>5071.63</v>
      </c>
      <c r="D76" s="46">
        <f t="shared" si="4"/>
        <v>2.129946455513565E-4</v>
      </c>
      <c r="E76">
        <v>11646.18</v>
      </c>
      <c r="F76">
        <v>7.8315999999999999</v>
      </c>
      <c r="G76" s="14">
        <f t="shared" si="3"/>
        <v>1487.0754379692528</v>
      </c>
      <c r="H76">
        <f t="shared" si="5"/>
        <v>2.5221360905792078E-2</v>
      </c>
      <c r="I76"/>
      <c r="K76" s="38"/>
    </row>
    <row r="77" spans="1:11" x14ac:dyDescent="0.3">
      <c r="A77" s="16">
        <v>75</v>
      </c>
      <c r="B77" s="3">
        <v>45407</v>
      </c>
      <c r="C77" s="40">
        <v>5048.42</v>
      </c>
      <c r="D77" s="46">
        <f t="shared" si="4"/>
        <v>-4.5764379499293462E-3</v>
      </c>
      <c r="E77">
        <v>11672.86</v>
      </c>
      <c r="F77">
        <v>7.8277000000000001</v>
      </c>
      <c r="G77" s="14">
        <f t="shared" si="3"/>
        <v>1491.2247531203291</v>
      </c>
      <c r="H77">
        <f t="shared" si="5"/>
        <v>2.7902519570510709E-3</v>
      </c>
      <c r="I77"/>
      <c r="K77" s="38"/>
    </row>
    <row r="78" spans="1:11" x14ac:dyDescent="0.3">
      <c r="A78" s="16">
        <v>76</v>
      </c>
      <c r="B78" s="3">
        <v>45408</v>
      </c>
      <c r="C78" s="40">
        <v>5099.96</v>
      </c>
      <c r="D78" s="46">
        <f t="shared" si="4"/>
        <v>1.0209134739185721E-2</v>
      </c>
      <c r="E78">
        <v>11932.83</v>
      </c>
      <c r="F78">
        <v>7.8282999999999996</v>
      </c>
      <c r="G78" s="14">
        <f t="shared" si="3"/>
        <v>1524.3194563315153</v>
      </c>
      <c r="H78">
        <f t="shared" si="5"/>
        <v>2.2192967989524748E-2</v>
      </c>
      <c r="I78"/>
      <c r="K78" s="38"/>
    </row>
    <row r="79" spans="1:11" x14ac:dyDescent="0.3">
      <c r="A79" s="16">
        <v>77</v>
      </c>
      <c r="B79" s="3">
        <v>45411</v>
      </c>
      <c r="C79" s="40">
        <v>5116.17</v>
      </c>
      <c r="D79" s="46">
        <f t="shared" si="4"/>
        <v>3.178456301617949E-3</v>
      </c>
      <c r="E79">
        <v>11965.36</v>
      </c>
      <c r="F79">
        <v>7.8246000000000002</v>
      </c>
      <c r="G79" s="14">
        <f t="shared" si="3"/>
        <v>1529.1976586662577</v>
      </c>
      <c r="H79">
        <f t="shared" si="5"/>
        <v>3.200249340438388E-3</v>
      </c>
      <c r="I79"/>
      <c r="K79" s="38"/>
    </row>
    <row r="80" spans="1:11" x14ac:dyDescent="0.3">
      <c r="A80" s="16">
        <v>78</v>
      </c>
      <c r="B80" s="3">
        <v>45412</v>
      </c>
      <c r="C80" s="40">
        <v>5035.6899999999996</v>
      </c>
      <c r="D80" s="46">
        <f t="shared" si="4"/>
        <v>-1.5730517164206925E-2</v>
      </c>
      <c r="E80">
        <v>11914.96</v>
      </c>
      <c r="F80">
        <v>7.8235000000000001</v>
      </c>
      <c r="G80" s="14">
        <f t="shared" si="3"/>
        <v>1522.9705374832236</v>
      </c>
      <c r="H80">
        <f t="shared" si="5"/>
        <v>-4.0721493050579483E-3</v>
      </c>
      <c r="I80"/>
      <c r="K80" s="38"/>
    </row>
    <row r="81" spans="1:11" x14ac:dyDescent="0.3">
      <c r="A81" s="16">
        <v>79</v>
      </c>
      <c r="B81" s="3">
        <v>45414</v>
      </c>
      <c r="C81" s="40">
        <v>5064.2</v>
      </c>
      <c r="D81" s="46">
        <f t="shared" si="4"/>
        <v>5.6615875877983335E-3</v>
      </c>
      <c r="E81">
        <v>12174.96</v>
      </c>
      <c r="F81">
        <v>7.8127000000000004</v>
      </c>
      <c r="G81" s="14">
        <f t="shared" si="3"/>
        <v>1558.3549861123554</v>
      </c>
      <c r="H81">
        <f t="shared" si="5"/>
        <v>2.3233836609607872E-2</v>
      </c>
      <c r="I81"/>
      <c r="K81" s="38"/>
    </row>
    <row r="82" spans="1:11" x14ac:dyDescent="0.3">
      <c r="A82" s="16">
        <v>80</v>
      </c>
      <c r="B82" s="3">
        <v>45415</v>
      </c>
      <c r="C82" s="40">
        <v>5127.79</v>
      </c>
      <c r="D82" s="46">
        <f t="shared" si="4"/>
        <v>1.2556771059594851E-2</v>
      </c>
      <c r="E82">
        <v>12431.17</v>
      </c>
      <c r="F82">
        <v>7.8105000000000002</v>
      </c>
      <c r="G82" s="14">
        <f t="shared" si="3"/>
        <v>1591.5972088854746</v>
      </c>
      <c r="H82">
        <f t="shared" si="5"/>
        <v>2.1331611262751515E-2</v>
      </c>
      <c r="I82"/>
      <c r="K82" s="38"/>
    </row>
    <row r="83" spans="1:11" x14ac:dyDescent="0.3">
      <c r="A83" s="16">
        <v>81</v>
      </c>
      <c r="B83" s="3">
        <v>45418</v>
      </c>
      <c r="C83" s="40">
        <v>5180.74</v>
      </c>
      <c r="D83" s="46">
        <f t="shared" si="4"/>
        <v>1.0326085896653403E-2</v>
      </c>
      <c r="E83">
        <v>12524.51</v>
      </c>
      <c r="F83">
        <v>7.8182</v>
      </c>
      <c r="G83" s="14">
        <f t="shared" si="3"/>
        <v>1601.9684837942239</v>
      </c>
      <c r="H83">
        <f t="shared" si="5"/>
        <v>6.5162685953763511E-3</v>
      </c>
      <c r="I83"/>
      <c r="K83" s="38"/>
    </row>
    <row r="84" spans="1:11" x14ac:dyDescent="0.3">
      <c r="A84" s="16">
        <v>82</v>
      </c>
      <c r="B84" s="3">
        <v>45419</v>
      </c>
      <c r="C84" s="40">
        <v>5187.7</v>
      </c>
      <c r="D84" s="46">
        <f t="shared" si="4"/>
        <v>1.3434374239973401E-3</v>
      </c>
      <c r="E84">
        <v>12407.6</v>
      </c>
      <c r="F84">
        <v>7.8212999999999999</v>
      </c>
      <c r="G84" s="14">
        <f t="shared" si="3"/>
        <v>1586.3858949279531</v>
      </c>
      <c r="H84">
        <f t="shared" si="5"/>
        <v>-9.7271507048402039E-3</v>
      </c>
      <c r="I84"/>
      <c r="K84" s="38"/>
    </row>
    <row r="85" spans="1:11" x14ac:dyDescent="0.3">
      <c r="A85" s="16">
        <v>83</v>
      </c>
      <c r="B85" s="3">
        <v>45420</v>
      </c>
      <c r="C85" s="40">
        <v>5187.67</v>
      </c>
      <c r="D85" s="46">
        <f t="shared" si="4"/>
        <v>-5.7829095745365322E-6</v>
      </c>
      <c r="E85">
        <v>12281.28</v>
      </c>
      <c r="F85">
        <v>7.8170000000000002</v>
      </c>
      <c r="G85" s="14">
        <f t="shared" si="3"/>
        <v>1571.0988870410645</v>
      </c>
      <c r="H85">
        <f t="shared" si="5"/>
        <v>-9.6363740599085812E-3</v>
      </c>
      <c r="I85"/>
      <c r="K85" s="38"/>
    </row>
    <row r="86" spans="1:11" x14ac:dyDescent="0.3">
      <c r="A86" s="16">
        <v>84</v>
      </c>
      <c r="B86" s="3">
        <v>45421</v>
      </c>
      <c r="C86" s="40">
        <v>5214.08</v>
      </c>
      <c r="D86" s="46">
        <f t="shared" si="4"/>
        <v>5.0909175024624886E-3</v>
      </c>
      <c r="E86">
        <v>12466.9</v>
      </c>
      <c r="F86">
        <v>7.8136000000000001</v>
      </c>
      <c r="G86" s="14">
        <f t="shared" si="3"/>
        <v>1595.5385481724172</v>
      </c>
      <c r="H86">
        <f t="shared" si="5"/>
        <v>1.555577521754925E-2</v>
      </c>
      <c r="I86"/>
      <c r="K86" s="38"/>
    </row>
    <row r="87" spans="1:11" x14ac:dyDescent="0.3">
      <c r="A87" s="16">
        <v>85</v>
      </c>
      <c r="B87" s="3">
        <v>45422</v>
      </c>
      <c r="C87" s="40">
        <v>5222.68</v>
      </c>
      <c r="D87" s="46">
        <f t="shared" si="4"/>
        <v>1.6493801399288799E-3</v>
      </c>
      <c r="E87">
        <v>12761.81</v>
      </c>
      <c r="F87">
        <v>7.8132000000000001</v>
      </c>
      <c r="G87" s="14">
        <f t="shared" si="3"/>
        <v>1633.3653304663901</v>
      </c>
      <c r="H87">
        <f t="shared" si="5"/>
        <v>2.3707846066960192E-2</v>
      </c>
      <c r="I87"/>
      <c r="K87" s="38"/>
    </row>
    <row r="88" spans="1:11" x14ac:dyDescent="0.3">
      <c r="A88" s="16">
        <v>86</v>
      </c>
      <c r="B88" s="3">
        <v>45425</v>
      </c>
      <c r="C88" s="40">
        <v>5221.42</v>
      </c>
      <c r="D88" s="46">
        <f t="shared" si="4"/>
        <v>-2.4125544739483917E-4</v>
      </c>
      <c r="E88">
        <v>12892.88</v>
      </c>
      <c r="F88">
        <v>7.8117000000000001</v>
      </c>
      <c r="G88" s="14">
        <f t="shared" si="3"/>
        <v>1650.4576468630387</v>
      </c>
      <c r="H88">
        <f t="shared" si="5"/>
        <v>1.0464478508165787E-2</v>
      </c>
      <c r="I88"/>
      <c r="K88" s="38"/>
    </row>
    <row r="89" spans="1:11" x14ac:dyDescent="0.3">
      <c r="A89" s="16">
        <v>87</v>
      </c>
      <c r="B89" s="3">
        <v>45426</v>
      </c>
      <c r="C89" s="40">
        <v>5246.68</v>
      </c>
      <c r="D89" s="46">
        <f t="shared" si="4"/>
        <v>4.8377644395585229E-3</v>
      </c>
      <c r="E89">
        <v>12878.06</v>
      </c>
      <c r="F89">
        <v>7.8112000000000004</v>
      </c>
      <c r="G89" s="14">
        <f t="shared" si="3"/>
        <v>1648.6660180253994</v>
      </c>
      <c r="H89">
        <f t="shared" si="5"/>
        <v>-1.0855345734225308E-3</v>
      </c>
      <c r="I89"/>
      <c r="K89" s="38"/>
    </row>
    <row r="90" spans="1:11" x14ac:dyDescent="0.3">
      <c r="A90" s="16">
        <v>88</v>
      </c>
      <c r="B90" s="3">
        <v>45428</v>
      </c>
      <c r="C90" s="40">
        <v>5297.1</v>
      </c>
      <c r="D90" s="46">
        <f t="shared" si="4"/>
        <v>9.6098866330709409E-3</v>
      </c>
      <c r="E90">
        <v>13158.43</v>
      </c>
      <c r="F90">
        <v>7.8011999999999997</v>
      </c>
      <c r="G90" s="14">
        <f t="shared" si="3"/>
        <v>1686.7187099420603</v>
      </c>
      <c r="H90">
        <f t="shared" si="5"/>
        <v>2.3080897829286462E-2</v>
      </c>
      <c r="I90"/>
      <c r="K90" s="38"/>
    </row>
    <row r="91" spans="1:11" x14ac:dyDescent="0.3">
      <c r="A91" s="16">
        <v>89</v>
      </c>
      <c r="B91" s="3">
        <v>45429</v>
      </c>
      <c r="C91" s="40">
        <v>5303.27</v>
      </c>
      <c r="D91" s="46">
        <f t="shared" si="4"/>
        <v>1.1647882803798026E-3</v>
      </c>
      <c r="E91">
        <v>13329.46</v>
      </c>
      <c r="F91">
        <v>7.8021000000000003</v>
      </c>
      <c r="G91" s="14">
        <f t="shared" si="3"/>
        <v>1708.4451621999203</v>
      </c>
      <c r="H91">
        <f t="shared" si="5"/>
        <v>1.2880898355960291E-2</v>
      </c>
      <c r="I91"/>
      <c r="K91" s="38"/>
    </row>
    <row r="92" spans="1:11" x14ac:dyDescent="0.3">
      <c r="A92" s="16">
        <v>90</v>
      </c>
      <c r="B92" s="3">
        <v>45432</v>
      </c>
      <c r="C92" s="40">
        <v>5308.13</v>
      </c>
      <c r="D92" s="46">
        <f t="shared" si="4"/>
        <v>9.1641572086653689E-4</v>
      </c>
      <c r="E92">
        <v>13363.95</v>
      </c>
      <c r="F92">
        <v>7.7983000000000002</v>
      </c>
      <c r="G92" s="14">
        <f t="shared" si="3"/>
        <v>1713.7004218868215</v>
      </c>
      <c r="H92">
        <f t="shared" si="5"/>
        <v>3.0760482122436095E-3</v>
      </c>
      <c r="I92"/>
      <c r="K92" s="38"/>
    </row>
    <row r="93" spans="1:11" x14ac:dyDescent="0.3">
      <c r="A93" s="16">
        <v>91</v>
      </c>
      <c r="B93" s="3">
        <v>45433</v>
      </c>
      <c r="C93" s="40">
        <v>5321.41</v>
      </c>
      <c r="D93" s="46">
        <f t="shared" si="4"/>
        <v>2.5018226757822504E-3</v>
      </c>
      <c r="E93">
        <v>13082.77</v>
      </c>
      <c r="F93">
        <v>7.8044000000000002</v>
      </c>
      <c r="G93" s="14">
        <f t="shared" si="3"/>
        <v>1676.3325816206243</v>
      </c>
      <c r="H93">
        <f t="shared" si="5"/>
        <v>-2.1805351617439905E-2</v>
      </c>
      <c r="I93"/>
      <c r="K93" s="38"/>
    </row>
    <row r="94" spans="1:11" x14ac:dyDescent="0.3">
      <c r="A94" s="16">
        <v>92</v>
      </c>
      <c r="B94" s="3">
        <v>45434</v>
      </c>
      <c r="C94" s="40">
        <v>5307.01</v>
      </c>
      <c r="D94" s="46">
        <f t="shared" si="4"/>
        <v>-2.7060497123881921E-3</v>
      </c>
      <c r="E94">
        <v>13025.89</v>
      </c>
      <c r="F94">
        <v>7.8078000000000003</v>
      </c>
      <c r="G94" s="14">
        <f t="shared" si="3"/>
        <v>1668.3175798560412</v>
      </c>
      <c r="H94">
        <f t="shared" si="5"/>
        <v>-4.7812718385717989E-3</v>
      </c>
      <c r="I94"/>
      <c r="K94" s="38"/>
    </row>
    <row r="95" spans="1:11" x14ac:dyDescent="0.3">
      <c r="A95" s="16">
        <v>93</v>
      </c>
      <c r="B95" s="3">
        <v>45435</v>
      </c>
      <c r="C95" s="40">
        <v>5267.84</v>
      </c>
      <c r="D95" s="46">
        <f t="shared" si="4"/>
        <v>-7.3808038801509435E-3</v>
      </c>
      <c r="E95">
        <v>12756.95</v>
      </c>
      <c r="F95">
        <v>7.8091999999999997</v>
      </c>
      <c r="G95" s="14">
        <f t="shared" si="3"/>
        <v>1633.5796240331917</v>
      </c>
      <c r="H95">
        <f t="shared" si="5"/>
        <v>-2.0822148158294307E-2</v>
      </c>
      <c r="I95"/>
      <c r="K95" s="38"/>
    </row>
    <row r="96" spans="1:11" x14ac:dyDescent="0.3">
      <c r="A96" s="16">
        <v>94</v>
      </c>
      <c r="B96" s="3">
        <v>45436</v>
      </c>
      <c r="C96" s="40">
        <v>5304.72</v>
      </c>
      <c r="D96" s="46">
        <f t="shared" si="4"/>
        <v>7.0009719353663069E-3</v>
      </c>
      <c r="E96">
        <v>12568.52</v>
      </c>
      <c r="F96">
        <v>7.8122999999999996</v>
      </c>
      <c r="G96" s="14">
        <f t="shared" si="3"/>
        <v>1608.8117455806871</v>
      </c>
      <c r="H96">
        <f t="shared" si="5"/>
        <v>-1.5161720976510806E-2</v>
      </c>
      <c r="I96"/>
      <c r="K96" s="38"/>
    </row>
    <row r="97" spans="1:11" x14ac:dyDescent="0.3">
      <c r="A97" s="16">
        <v>95</v>
      </c>
      <c r="B97" s="3">
        <v>45440</v>
      </c>
      <c r="C97" s="40">
        <v>5306.04</v>
      </c>
      <c r="D97" s="46">
        <f t="shared" si="4"/>
        <v>2.4883499977379486E-4</v>
      </c>
      <c r="E97">
        <v>12677.14</v>
      </c>
      <c r="F97">
        <v>7.8113999999999999</v>
      </c>
      <c r="G97" s="14">
        <f t="shared" si="3"/>
        <v>1622.9024246613922</v>
      </c>
      <c r="H97">
        <f t="shared" si="5"/>
        <v>8.7584387169048483E-3</v>
      </c>
      <c r="I97"/>
      <c r="K97" s="38"/>
    </row>
    <row r="98" spans="1:11" x14ac:dyDescent="0.3">
      <c r="A98" s="16">
        <v>96</v>
      </c>
      <c r="B98" s="3">
        <v>45441</v>
      </c>
      <c r="C98" s="40">
        <v>5266.95</v>
      </c>
      <c r="D98" s="46">
        <f t="shared" si="4"/>
        <v>-7.3670760114887823E-3</v>
      </c>
      <c r="E98">
        <v>12407.53</v>
      </c>
      <c r="F98">
        <v>7.8135000000000003</v>
      </c>
      <c r="G98" s="14">
        <f t="shared" si="3"/>
        <v>1587.9605810456262</v>
      </c>
      <c r="H98">
        <f t="shared" si="5"/>
        <v>-2.1530464854075504E-2</v>
      </c>
      <c r="I98"/>
      <c r="K98" s="38"/>
    </row>
    <row r="99" spans="1:11" x14ac:dyDescent="0.3">
      <c r="A99" s="16">
        <v>97</v>
      </c>
      <c r="B99" s="3">
        <v>45442</v>
      </c>
      <c r="C99" s="40">
        <v>5235.4799999999996</v>
      </c>
      <c r="D99" s="46">
        <f t="shared" si="4"/>
        <v>-5.9749950160910004E-3</v>
      </c>
      <c r="E99">
        <v>12216.86</v>
      </c>
      <c r="F99">
        <v>7.8173000000000004</v>
      </c>
      <c r="G99" s="14">
        <f t="shared" si="3"/>
        <v>1562.7978969721003</v>
      </c>
      <c r="H99">
        <f t="shared" si="5"/>
        <v>-1.5845912281372332E-2</v>
      </c>
      <c r="I99"/>
      <c r="K99" s="38"/>
    </row>
    <row r="100" spans="1:11" x14ac:dyDescent="0.3">
      <c r="A100" s="16">
        <v>98</v>
      </c>
      <c r="B100" s="3">
        <v>45443</v>
      </c>
      <c r="C100" s="40">
        <v>5277.51</v>
      </c>
      <c r="D100" s="46">
        <f t="shared" si="4"/>
        <v>8.0279172110295782E-3</v>
      </c>
      <c r="E100">
        <v>12053.73</v>
      </c>
      <c r="F100">
        <v>7.8186999999999998</v>
      </c>
      <c r="G100" s="14">
        <f t="shared" si="3"/>
        <v>1541.6539833987747</v>
      </c>
      <c r="H100">
        <f t="shared" si="5"/>
        <v>-1.3529525227984784E-2</v>
      </c>
      <c r="I100"/>
      <c r="K100" s="38"/>
    </row>
    <row r="101" spans="1:11" x14ac:dyDescent="0.3">
      <c r="A101" s="16">
        <v>99</v>
      </c>
      <c r="B101" s="3">
        <v>45446</v>
      </c>
      <c r="C101" s="40">
        <v>5283.4</v>
      </c>
      <c r="D101" s="46">
        <f t="shared" si="4"/>
        <v>1.116056625188655E-3</v>
      </c>
      <c r="E101">
        <v>12332.94</v>
      </c>
      <c r="F101">
        <v>7.8194999999999997</v>
      </c>
      <c r="G101" s="14">
        <f t="shared" si="3"/>
        <v>1577.203145981201</v>
      </c>
      <c r="H101">
        <f t="shared" si="5"/>
        <v>2.3059105976591221E-2</v>
      </c>
      <c r="I101"/>
      <c r="K101" s="38"/>
    </row>
    <row r="102" spans="1:11" x14ac:dyDescent="0.3">
      <c r="A102" s="16">
        <v>100</v>
      </c>
      <c r="B102" s="3">
        <v>45447</v>
      </c>
      <c r="C102" s="40">
        <v>5291.34</v>
      </c>
      <c r="D102" s="46">
        <f t="shared" si="4"/>
        <v>1.5028201536890773E-3</v>
      </c>
      <c r="E102">
        <v>12367.53</v>
      </c>
      <c r="F102">
        <v>7.8132999999999999</v>
      </c>
      <c r="G102" s="14">
        <f t="shared" si="3"/>
        <v>1582.8817529085022</v>
      </c>
      <c r="H102">
        <f t="shared" si="5"/>
        <v>3.6004283543122906E-3</v>
      </c>
      <c r="I102"/>
      <c r="K102" s="38"/>
    </row>
    <row r="103" spans="1:11" x14ac:dyDescent="0.3">
      <c r="A103" s="16">
        <v>101</v>
      </c>
      <c r="B103" s="3">
        <v>45448</v>
      </c>
      <c r="C103" s="40">
        <v>5354.03</v>
      </c>
      <c r="D103" s="46">
        <f t="shared" si="4"/>
        <v>1.1847660516995706E-2</v>
      </c>
      <c r="E103">
        <v>12367.71</v>
      </c>
      <c r="F103">
        <v>7.8116000000000003</v>
      </c>
      <c r="G103" s="14">
        <f t="shared" si="3"/>
        <v>1583.2492703159403</v>
      </c>
      <c r="H103">
        <f t="shared" si="5"/>
        <v>2.3218247778955536E-4</v>
      </c>
      <c r="I103"/>
      <c r="K103" s="38"/>
    </row>
    <row r="104" spans="1:11" x14ac:dyDescent="0.3">
      <c r="A104" s="16">
        <v>102</v>
      </c>
      <c r="B104" s="3">
        <v>45449</v>
      </c>
      <c r="C104" s="40">
        <v>5352.96</v>
      </c>
      <c r="D104" s="46">
        <f t="shared" si="4"/>
        <v>-1.9984945919238051E-4</v>
      </c>
      <c r="E104">
        <v>12390.68</v>
      </c>
      <c r="F104">
        <v>7.8094000000000001</v>
      </c>
      <c r="G104" s="14">
        <f t="shared" si="3"/>
        <v>1586.6366174097882</v>
      </c>
      <c r="H104">
        <f t="shared" si="5"/>
        <v>2.1394907026686116E-3</v>
      </c>
      <c r="I104"/>
      <c r="K104" s="38"/>
    </row>
    <row r="105" spans="1:11" x14ac:dyDescent="0.3">
      <c r="A105" s="16">
        <v>103</v>
      </c>
      <c r="B105" s="3">
        <v>45450</v>
      </c>
      <c r="C105" s="40">
        <v>5346.99</v>
      </c>
      <c r="D105" s="46">
        <f t="shared" si="4"/>
        <v>-1.1152708034434244E-3</v>
      </c>
      <c r="E105">
        <v>12317.62</v>
      </c>
      <c r="F105">
        <v>7.8117999999999999</v>
      </c>
      <c r="G105" s="14">
        <f t="shared" si="3"/>
        <v>1576.796640979032</v>
      </c>
      <c r="H105">
        <f t="shared" si="5"/>
        <v>-6.2017832708413101E-3</v>
      </c>
      <c r="I105"/>
      <c r="K105" s="38"/>
    </row>
    <row r="106" spans="1:11" x14ac:dyDescent="0.3">
      <c r="A106" s="16">
        <v>104</v>
      </c>
      <c r="B106" s="3">
        <v>45454</v>
      </c>
      <c r="C106" s="40">
        <v>5375.32</v>
      </c>
      <c r="D106" s="46">
        <f t="shared" si="4"/>
        <v>5.2983080200261767E-3</v>
      </c>
      <c r="E106">
        <v>12206.31</v>
      </c>
      <c r="F106">
        <v>7.8121</v>
      </c>
      <c r="G106" s="14">
        <f t="shared" si="3"/>
        <v>1562.4876793691835</v>
      </c>
      <c r="H106">
        <f t="shared" si="5"/>
        <v>-9.0747032546720785E-3</v>
      </c>
      <c r="I106"/>
      <c r="K106" s="38"/>
    </row>
    <row r="107" spans="1:11" x14ac:dyDescent="0.3">
      <c r="A107" s="16">
        <v>105</v>
      </c>
      <c r="B107" s="3">
        <v>45455</v>
      </c>
      <c r="C107" s="40">
        <v>5421.03</v>
      </c>
      <c r="D107" s="46">
        <f t="shared" si="4"/>
        <v>8.503679780924589E-3</v>
      </c>
      <c r="E107">
        <v>12035.12</v>
      </c>
      <c r="F107">
        <v>7.8093000000000004</v>
      </c>
      <c r="G107" s="14">
        <f t="shared" si="3"/>
        <v>1541.1266054575954</v>
      </c>
      <c r="H107">
        <f t="shared" si="5"/>
        <v>-1.3671195103574951E-2</v>
      </c>
      <c r="I107"/>
      <c r="K107" s="38"/>
    </row>
    <row r="108" spans="1:11" x14ac:dyDescent="0.3">
      <c r="A108" s="16">
        <v>106</v>
      </c>
      <c r="B108" s="3">
        <v>45456</v>
      </c>
      <c r="C108" s="40">
        <v>5433.74</v>
      </c>
      <c r="D108" s="46">
        <f t="shared" si="4"/>
        <v>2.3445728948188194E-3</v>
      </c>
      <c r="E108">
        <v>12161.88</v>
      </c>
      <c r="F108">
        <v>7.8101000000000003</v>
      </c>
      <c r="G108" s="14">
        <f t="shared" si="3"/>
        <v>1557.1990115363437</v>
      </c>
      <c r="H108">
        <f t="shared" si="5"/>
        <v>1.0428997865477907E-2</v>
      </c>
      <c r="I108"/>
      <c r="K108" s="38"/>
    </row>
    <row r="109" spans="1:11" x14ac:dyDescent="0.3">
      <c r="A109" s="16">
        <v>107</v>
      </c>
      <c r="B109" s="3">
        <v>45457</v>
      </c>
      <c r="C109" s="40">
        <v>5431.6</v>
      </c>
      <c r="D109" s="46">
        <f t="shared" si="4"/>
        <v>-3.9383555341243603E-4</v>
      </c>
      <c r="E109">
        <v>12090.71</v>
      </c>
      <c r="F109">
        <v>7.8106</v>
      </c>
      <c r="G109" s="14">
        <f t="shared" si="3"/>
        <v>1547.9873505236471</v>
      </c>
      <c r="H109">
        <f t="shared" si="5"/>
        <v>-5.9155322758702722E-3</v>
      </c>
      <c r="I109"/>
      <c r="K109" s="38"/>
    </row>
    <row r="110" spans="1:11" x14ac:dyDescent="0.3">
      <c r="A110" s="16">
        <v>108</v>
      </c>
      <c r="B110" s="3">
        <v>45460</v>
      </c>
      <c r="C110" s="40">
        <v>5473.23</v>
      </c>
      <c r="D110" s="46">
        <f t="shared" si="4"/>
        <v>7.6644082774870448E-3</v>
      </c>
      <c r="E110">
        <v>12091.12</v>
      </c>
      <c r="F110">
        <v>7.8101000000000003</v>
      </c>
      <c r="G110" s="14">
        <f t="shared" si="3"/>
        <v>1548.1389482849131</v>
      </c>
      <c r="H110">
        <f t="shared" si="5"/>
        <v>9.7932170579184685E-5</v>
      </c>
      <c r="I110"/>
      <c r="K110" s="38"/>
    </row>
    <row r="111" spans="1:11" x14ac:dyDescent="0.3">
      <c r="A111" s="16">
        <v>109</v>
      </c>
      <c r="B111" s="3">
        <v>45461</v>
      </c>
      <c r="C111" s="40">
        <v>5487.03</v>
      </c>
      <c r="D111" s="46">
        <f t="shared" si="4"/>
        <v>2.5213630708009749E-3</v>
      </c>
      <c r="E111">
        <v>12043.6</v>
      </c>
      <c r="F111">
        <v>7.8071000000000002</v>
      </c>
      <c r="G111" s="14">
        <f t="shared" si="3"/>
        <v>1542.6470776600786</v>
      </c>
      <c r="H111">
        <f t="shared" si="5"/>
        <v>-3.547401627559732E-3</v>
      </c>
      <c r="I111"/>
      <c r="K111" s="38"/>
    </row>
    <row r="112" spans="1:11" x14ac:dyDescent="0.3">
      <c r="A112" s="16">
        <v>110</v>
      </c>
      <c r="B112" s="3">
        <v>45463</v>
      </c>
      <c r="C112" s="40">
        <v>5473.17</v>
      </c>
      <c r="D112" s="46">
        <f t="shared" si="4"/>
        <v>-2.5259566650810417E-3</v>
      </c>
      <c r="E112">
        <v>12369.04</v>
      </c>
      <c r="F112">
        <v>7.8042999999999996</v>
      </c>
      <c r="G112" s="14">
        <f t="shared" si="3"/>
        <v>1584.9006317030357</v>
      </c>
      <c r="H112">
        <f t="shared" si="5"/>
        <v>2.7390292086151291E-2</v>
      </c>
      <c r="I112"/>
      <c r="K112" s="38"/>
    </row>
    <row r="113" spans="1:11" x14ac:dyDescent="0.3">
      <c r="A113" s="16">
        <v>111</v>
      </c>
      <c r="B113" s="3">
        <v>45464</v>
      </c>
      <c r="C113" s="40">
        <v>5464.62</v>
      </c>
      <c r="D113" s="46">
        <f t="shared" si="4"/>
        <v>-1.5621659842468549E-3</v>
      </c>
      <c r="E113">
        <v>12141.65</v>
      </c>
      <c r="F113">
        <v>7.8056999999999999</v>
      </c>
      <c r="G113" s="14">
        <f t="shared" si="3"/>
        <v>1555.4850942260143</v>
      </c>
      <c r="H113">
        <f t="shared" si="5"/>
        <v>-1.8559862295854712E-2</v>
      </c>
      <c r="I113"/>
      <c r="K113" s="38"/>
    </row>
    <row r="114" spans="1:11" x14ac:dyDescent="0.3">
      <c r="A114" s="16">
        <v>112</v>
      </c>
      <c r="B114" s="3">
        <v>45467</v>
      </c>
      <c r="C114" s="40">
        <v>5447.87</v>
      </c>
      <c r="D114" s="46">
        <f t="shared" si="4"/>
        <v>-3.0651719607218686E-3</v>
      </c>
      <c r="E114">
        <v>12150.81</v>
      </c>
      <c r="F114">
        <v>7.8075000000000001</v>
      </c>
      <c r="G114" s="14">
        <f t="shared" si="3"/>
        <v>1556.299711815562</v>
      </c>
      <c r="H114">
        <f t="shared" si="5"/>
        <v>5.2370645824351136E-4</v>
      </c>
      <c r="I114"/>
      <c r="K114" s="38"/>
    </row>
    <row r="115" spans="1:11" x14ac:dyDescent="0.3">
      <c r="A115" s="16">
        <v>113</v>
      </c>
      <c r="B115" s="3">
        <v>45468</v>
      </c>
      <c r="C115" s="40">
        <v>5469.3</v>
      </c>
      <c r="D115" s="46">
        <f t="shared" si="4"/>
        <v>3.9336474622191364E-3</v>
      </c>
      <c r="E115">
        <v>12201.12</v>
      </c>
      <c r="F115">
        <v>7.8085000000000004</v>
      </c>
      <c r="G115" s="14">
        <f t="shared" si="3"/>
        <v>1562.5433822116925</v>
      </c>
      <c r="H115">
        <f t="shared" si="5"/>
        <v>4.0118688892172294E-3</v>
      </c>
      <c r="I115"/>
      <c r="K115" s="38"/>
    </row>
    <row r="116" spans="1:11" x14ac:dyDescent="0.3">
      <c r="A116" s="16">
        <v>114</v>
      </c>
      <c r="B116" s="3">
        <v>45469</v>
      </c>
      <c r="C116" s="40">
        <v>5477.9</v>
      </c>
      <c r="D116" s="46">
        <f t="shared" si="4"/>
        <v>1.5724132887204867E-3</v>
      </c>
      <c r="E116">
        <v>12209.28</v>
      </c>
      <c r="F116">
        <v>7.8090999999999999</v>
      </c>
      <c r="G116" s="14">
        <f t="shared" si="3"/>
        <v>1563.4682613873558</v>
      </c>
      <c r="H116">
        <f t="shared" si="5"/>
        <v>5.9190623837546141E-4</v>
      </c>
      <c r="I116"/>
      <c r="K116" s="38"/>
    </row>
    <row r="117" spans="1:11" x14ac:dyDescent="0.3">
      <c r="A117" s="16">
        <v>115</v>
      </c>
      <c r="B117" s="3">
        <v>45470</v>
      </c>
      <c r="C117" s="40">
        <v>5482.87</v>
      </c>
      <c r="D117" s="46">
        <f t="shared" si="4"/>
        <v>9.0728198762302092E-4</v>
      </c>
      <c r="E117">
        <v>11920.19</v>
      </c>
      <c r="F117">
        <v>7.8087</v>
      </c>
      <c r="G117" s="14">
        <f t="shared" si="3"/>
        <v>1526.5268226465353</v>
      </c>
      <c r="H117">
        <f t="shared" si="5"/>
        <v>-2.3627878897931831E-2</v>
      </c>
      <c r="I117"/>
      <c r="K117" s="38"/>
    </row>
    <row r="118" spans="1:11" x14ac:dyDescent="0.3">
      <c r="A118" s="16">
        <v>116</v>
      </c>
      <c r="B118" s="3">
        <v>45471</v>
      </c>
      <c r="C118" s="40">
        <v>5460.48</v>
      </c>
      <c r="D118" s="46">
        <f t="shared" si="4"/>
        <v>-4.0836277351096184E-3</v>
      </c>
      <c r="E118">
        <v>11908.38</v>
      </c>
      <c r="F118">
        <v>7.8079999999999998</v>
      </c>
      <c r="G118" s="14">
        <f t="shared" si="3"/>
        <v>1525.1511270491803</v>
      </c>
      <c r="H118">
        <f t="shared" si="5"/>
        <v>-9.01193203385664E-4</v>
      </c>
      <c r="I118"/>
      <c r="K118" s="38"/>
    </row>
    <row r="119" spans="1:11" x14ac:dyDescent="0.3">
      <c r="A119" s="16">
        <v>117</v>
      </c>
      <c r="B119" s="3">
        <v>45475</v>
      </c>
      <c r="C119" s="40">
        <v>5509.01</v>
      </c>
      <c r="D119" s="46">
        <f t="shared" si="4"/>
        <v>8.8874970698546996E-3</v>
      </c>
      <c r="E119">
        <v>11973.38</v>
      </c>
      <c r="F119">
        <v>7.8133999999999997</v>
      </c>
      <c r="G119" s="14">
        <f t="shared" si="3"/>
        <v>1532.4161056646274</v>
      </c>
      <c r="H119">
        <f t="shared" si="5"/>
        <v>4.7634483472487332E-3</v>
      </c>
      <c r="I119"/>
      <c r="K119" s="38"/>
    </row>
    <row r="120" spans="1:11" x14ac:dyDescent="0.3">
      <c r="A120" s="16">
        <v>118</v>
      </c>
      <c r="B120" s="3">
        <v>45476</v>
      </c>
      <c r="C120" s="40">
        <v>5537.02</v>
      </c>
      <c r="D120" s="46">
        <f t="shared" si="4"/>
        <v>5.0843981041965858E-3</v>
      </c>
      <c r="E120">
        <v>12116.53</v>
      </c>
      <c r="F120">
        <v>7.8097000000000003</v>
      </c>
      <c r="G120" s="14">
        <f t="shared" si="3"/>
        <v>1551.4718875244887</v>
      </c>
      <c r="H120">
        <f t="shared" si="5"/>
        <v>1.2435122411870392E-2</v>
      </c>
      <c r="I120"/>
      <c r="K120" s="38"/>
    </row>
    <row r="121" spans="1:11" x14ac:dyDescent="0.3">
      <c r="A121" s="16">
        <v>119</v>
      </c>
      <c r="B121" s="3">
        <v>45478</v>
      </c>
      <c r="C121" s="40">
        <v>5567.19</v>
      </c>
      <c r="D121" s="46">
        <f t="shared" si="4"/>
        <v>5.4487793072806046E-3</v>
      </c>
      <c r="E121">
        <v>12003.85</v>
      </c>
      <c r="F121">
        <v>7.8129</v>
      </c>
      <c r="G121" s="14">
        <f t="shared" si="3"/>
        <v>1536.4141355962574</v>
      </c>
      <c r="H121">
        <f t="shared" si="5"/>
        <v>-9.7054623092508452E-3</v>
      </c>
      <c r="I121"/>
      <c r="K121" s="38"/>
    </row>
    <row r="122" spans="1:11" x14ac:dyDescent="0.3">
      <c r="A122" s="16">
        <v>120</v>
      </c>
      <c r="B122" s="3">
        <v>45481</v>
      </c>
      <c r="C122" s="40">
        <v>5572.85</v>
      </c>
      <c r="D122" s="46">
        <f t="shared" si="4"/>
        <v>1.0166708878267539E-3</v>
      </c>
      <c r="E122">
        <v>11813.33</v>
      </c>
      <c r="F122">
        <v>7.8095999999999997</v>
      </c>
      <c r="G122" s="14">
        <f t="shared" si="3"/>
        <v>1512.6677422659291</v>
      </c>
      <c r="H122">
        <f t="shared" si="5"/>
        <v>-1.5455724325988962E-2</v>
      </c>
      <c r="I122"/>
      <c r="K122" s="38"/>
    </row>
    <row r="123" spans="1:11" x14ac:dyDescent="0.3">
      <c r="A123" s="16">
        <v>121</v>
      </c>
      <c r="B123" s="3">
        <v>45482</v>
      </c>
      <c r="C123" s="40">
        <v>5576.98</v>
      </c>
      <c r="D123" s="46">
        <f t="shared" si="4"/>
        <v>7.410929775606423E-4</v>
      </c>
      <c r="E123">
        <v>11805.03</v>
      </c>
      <c r="F123">
        <v>7.8117999999999999</v>
      </c>
      <c r="G123" s="14">
        <f t="shared" si="3"/>
        <v>1511.1792416600529</v>
      </c>
      <c r="H123">
        <f t="shared" si="5"/>
        <v>-9.8402349986415061E-4</v>
      </c>
      <c r="I123"/>
      <c r="K123" s="38"/>
    </row>
    <row r="124" spans="1:11" x14ac:dyDescent="0.3">
      <c r="A124" s="16">
        <v>122</v>
      </c>
      <c r="B124" s="3">
        <v>45483</v>
      </c>
      <c r="C124" s="40">
        <v>5633.91</v>
      </c>
      <c r="D124" s="46">
        <f t="shared" si="4"/>
        <v>1.0208033738690059E-2</v>
      </c>
      <c r="E124">
        <v>11797.72</v>
      </c>
      <c r="F124">
        <v>7.8108000000000004</v>
      </c>
      <c r="G124" s="14">
        <f t="shared" si="3"/>
        <v>1510.4368310544373</v>
      </c>
      <c r="H124">
        <f t="shared" si="5"/>
        <v>-4.9127898607181919E-4</v>
      </c>
      <c r="I124"/>
      <c r="K124" s="38"/>
    </row>
    <row r="125" spans="1:11" x14ac:dyDescent="0.3">
      <c r="A125" s="16">
        <v>123</v>
      </c>
      <c r="B125" s="3">
        <v>45484</v>
      </c>
      <c r="C125" s="40">
        <v>5584.54</v>
      </c>
      <c r="D125" s="46">
        <f t="shared" si="4"/>
        <v>-8.763008283767415E-3</v>
      </c>
      <c r="E125">
        <v>11997.69</v>
      </c>
      <c r="F125">
        <v>7.8074000000000003</v>
      </c>
      <c r="G125" s="14">
        <f t="shared" si="3"/>
        <v>1536.7074826446703</v>
      </c>
      <c r="H125">
        <f t="shared" si="5"/>
        <v>1.7392750924839051E-2</v>
      </c>
      <c r="I125"/>
      <c r="K125" s="38"/>
    </row>
    <row r="126" spans="1:11" x14ac:dyDescent="0.3">
      <c r="A126" s="16">
        <v>124</v>
      </c>
      <c r="B126" s="3">
        <v>45485</v>
      </c>
      <c r="C126" s="40">
        <v>5615.35</v>
      </c>
      <c r="D126" s="46">
        <f t="shared" si="4"/>
        <v>5.5170166208855509E-3</v>
      </c>
      <c r="E126">
        <v>12306.89</v>
      </c>
      <c r="F126">
        <v>7.8072999999999997</v>
      </c>
      <c r="G126" s="14">
        <f t="shared" si="3"/>
        <v>1576.3311259974639</v>
      </c>
      <c r="H126">
        <f t="shared" si="5"/>
        <v>2.5784766326901298E-2</v>
      </c>
      <c r="I126"/>
      <c r="K126" s="38"/>
    </row>
    <row r="127" spans="1:11" x14ac:dyDescent="0.3">
      <c r="A127" s="16">
        <v>125</v>
      </c>
      <c r="B127" s="3">
        <v>45488</v>
      </c>
      <c r="C127" s="40">
        <v>5631.22</v>
      </c>
      <c r="D127" s="46">
        <f t="shared" si="4"/>
        <v>2.826181805230199E-3</v>
      </c>
      <c r="E127">
        <v>12101.74</v>
      </c>
      <c r="F127">
        <v>7.8064</v>
      </c>
      <c r="G127" s="14">
        <f t="shared" si="3"/>
        <v>1550.2331420373027</v>
      </c>
      <c r="H127">
        <f t="shared" si="5"/>
        <v>-1.6556155955904872E-2</v>
      </c>
      <c r="I127"/>
      <c r="K127" s="38"/>
    </row>
    <row r="128" spans="1:11" x14ac:dyDescent="0.3">
      <c r="A128" s="16">
        <v>126</v>
      </c>
      <c r="B128" s="3">
        <v>45489</v>
      </c>
      <c r="C128" s="40">
        <v>5667.2</v>
      </c>
      <c r="D128" s="46">
        <f t="shared" si="4"/>
        <v>6.3893792108991043E-3</v>
      </c>
      <c r="E128">
        <v>11880.62</v>
      </c>
      <c r="F128">
        <v>7.8075999999999999</v>
      </c>
      <c r="G128" s="14">
        <f t="shared" si="3"/>
        <v>1521.6737537783699</v>
      </c>
      <c r="H128">
        <f t="shared" si="5"/>
        <v>-1.8422640752861374E-2</v>
      </c>
      <c r="I128"/>
      <c r="K128" s="38"/>
    </row>
    <row r="129" spans="1:11" x14ac:dyDescent="0.3">
      <c r="A129" s="16">
        <v>127</v>
      </c>
      <c r="B129" s="3">
        <v>45490</v>
      </c>
      <c r="C129" s="40">
        <v>5588.27</v>
      </c>
      <c r="D129" s="46">
        <f t="shared" si="4"/>
        <v>-1.3927512704686507E-2</v>
      </c>
      <c r="E129">
        <v>11874.29</v>
      </c>
      <c r="F129">
        <v>7.8071000000000002</v>
      </c>
      <c r="G129" s="14">
        <f t="shared" si="3"/>
        <v>1520.9604078338948</v>
      </c>
      <c r="H129">
        <f t="shared" si="5"/>
        <v>-4.687903321614062E-4</v>
      </c>
      <c r="I129"/>
      <c r="K129" s="38"/>
    </row>
    <row r="130" spans="1:11" x14ac:dyDescent="0.3">
      <c r="A130" s="16">
        <v>128</v>
      </c>
      <c r="B130" s="3">
        <v>45491</v>
      </c>
      <c r="C130" s="40">
        <v>5544.59</v>
      </c>
      <c r="D130" s="46">
        <f t="shared" si="4"/>
        <v>-7.8163725088444824E-3</v>
      </c>
      <c r="E130">
        <v>11873.82</v>
      </c>
      <c r="F130">
        <v>7.8101000000000003</v>
      </c>
      <c r="G130" s="14">
        <f t="shared" si="3"/>
        <v>1520.3160010755303</v>
      </c>
      <c r="H130">
        <f t="shared" si="5"/>
        <v>-4.2368411106918913E-4</v>
      </c>
      <c r="I130"/>
      <c r="K130" s="38"/>
    </row>
    <row r="131" spans="1:11" x14ac:dyDescent="0.3">
      <c r="A131" s="16">
        <v>129</v>
      </c>
      <c r="B131" s="3">
        <v>45492</v>
      </c>
      <c r="C131" s="40">
        <v>5505</v>
      </c>
      <c r="D131" s="46">
        <f t="shared" si="4"/>
        <v>-7.1402935113327182E-3</v>
      </c>
      <c r="E131">
        <v>11613.76</v>
      </c>
      <c r="F131">
        <v>7.8101000000000003</v>
      </c>
      <c r="G131" s="14">
        <f t="shared" ref="G131:G194" si="6">E131/F131</f>
        <v>1487.0180919578495</v>
      </c>
      <c r="H131">
        <f t="shared" si="5"/>
        <v>-2.1901965837447301E-2</v>
      </c>
      <c r="I131"/>
      <c r="K131" s="38"/>
    </row>
    <row r="132" spans="1:11" x14ac:dyDescent="0.3">
      <c r="A132" s="16">
        <v>130</v>
      </c>
      <c r="B132" s="3">
        <v>45495</v>
      </c>
      <c r="C132" s="40">
        <v>5564.41</v>
      </c>
      <c r="D132" s="46">
        <f t="shared" ref="D132:D195" si="7">$C132/$C131-1</f>
        <v>1.0792007266121617E-2</v>
      </c>
      <c r="E132">
        <v>11796.29</v>
      </c>
      <c r="F132">
        <v>7.8071000000000002</v>
      </c>
      <c r="G132" s="14">
        <f t="shared" si="6"/>
        <v>1510.9695021198654</v>
      </c>
      <c r="H132">
        <f t="shared" ref="H132:H195" si="8">$G132/$G131-1</f>
        <v>1.6107006560008186E-2</v>
      </c>
      <c r="I132"/>
      <c r="K132" s="38"/>
    </row>
    <row r="133" spans="1:11" x14ac:dyDescent="0.3">
      <c r="A133" s="16">
        <v>131</v>
      </c>
      <c r="B133" s="3">
        <v>45496</v>
      </c>
      <c r="C133" s="40">
        <v>5555.74</v>
      </c>
      <c r="D133" s="46">
        <f t="shared" si="7"/>
        <v>-1.558116673645582E-3</v>
      </c>
      <c r="E133">
        <v>11682.59</v>
      </c>
      <c r="F133">
        <v>7.8093000000000004</v>
      </c>
      <c r="G133" s="14">
        <f t="shared" si="6"/>
        <v>1495.9842751591052</v>
      </c>
      <c r="H133">
        <f t="shared" si="8"/>
        <v>-9.9176237109591669E-3</v>
      </c>
      <c r="I133"/>
      <c r="K133" s="38"/>
    </row>
    <row r="134" spans="1:11" x14ac:dyDescent="0.3">
      <c r="A134" s="16">
        <v>132</v>
      </c>
      <c r="B134" s="3">
        <v>45497</v>
      </c>
      <c r="C134" s="40">
        <v>5427.13</v>
      </c>
      <c r="D134" s="46">
        <f t="shared" si="7"/>
        <v>-2.3149031452155744E-2</v>
      </c>
      <c r="E134">
        <v>11618.29</v>
      </c>
      <c r="F134">
        <v>7.8083999999999998</v>
      </c>
      <c r="G134" s="14">
        <f t="shared" si="6"/>
        <v>1487.9219814558683</v>
      </c>
      <c r="H134">
        <f t="shared" si="8"/>
        <v>-5.3892904070662606E-3</v>
      </c>
      <c r="I134"/>
      <c r="K134" s="38"/>
    </row>
    <row r="135" spans="1:11" x14ac:dyDescent="0.3">
      <c r="A135" s="16">
        <v>133</v>
      </c>
      <c r="B135" s="3">
        <v>45498</v>
      </c>
      <c r="C135" s="40">
        <v>5399.22</v>
      </c>
      <c r="D135" s="46">
        <f t="shared" si="7"/>
        <v>-5.1426813066942634E-3</v>
      </c>
      <c r="E135">
        <v>11381.17</v>
      </c>
      <c r="F135">
        <v>7.8064</v>
      </c>
      <c r="G135" s="14">
        <f t="shared" si="6"/>
        <v>1457.9281102684977</v>
      </c>
      <c r="H135">
        <f t="shared" si="8"/>
        <v>-2.0158228429438818E-2</v>
      </c>
      <c r="I135"/>
      <c r="K135" s="38"/>
    </row>
    <row r="136" spans="1:11" x14ac:dyDescent="0.3">
      <c r="A136" s="16">
        <v>134</v>
      </c>
      <c r="B136" s="3">
        <v>45499</v>
      </c>
      <c r="C136" s="40">
        <v>5459.1</v>
      </c>
      <c r="D136" s="46">
        <f t="shared" si="7"/>
        <v>1.1090490848678192E-2</v>
      </c>
      <c r="E136">
        <v>11389.4</v>
      </c>
      <c r="F136">
        <v>7.8066000000000004</v>
      </c>
      <c r="G136" s="14">
        <f t="shared" si="6"/>
        <v>1458.9449952604205</v>
      </c>
      <c r="H136">
        <f t="shared" si="8"/>
        <v>6.9748637450683937E-4</v>
      </c>
      <c r="I136"/>
      <c r="K136" s="38"/>
    </row>
    <row r="137" spans="1:11" x14ac:dyDescent="0.3">
      <c r="A137" s="16">
        <v>135</v>
      </c>
      <c r="B137" s="3">
        <v>45502</v>
      </c>
      <c r="C137" s="40">
        <v>5463.54</v>
      </c>
      <c r="D137" s="46">
        <f t="shared" si="7"/>
        <v>8.1332087706753597E-4</v>
      </c>
      <c r="E137">
        <v>11516.59</v>
      </c>
      <c r="F137">
        <v>7.8098000000000001</v>
      </c>
      <c r="G137" s="14">
        <f t="shared" si="6"/>
        <v>1474.6331532177521</v>
      </c>
      <c r="H137">
        <f t="shared" si="8"/>
        <v>1.0753083912208306E-2</v>
      </c>
      <c r="I137"/>
      <c r="K137" s="38"/>
    </row>
    <row r="138" spans="1:11" x14ac:dyDescent="0.3">
      <c r="A138" s="16">
        <v>136</v>
      </c>
      <c r="B138" s="3">
        <v>45503</v>
      </c>
      <c r="C138" s="40">
        <v>5436.44</v>
      </c>
      <c r="D138" s="46">
        <f t="shared" si="7"/>
        <v>-4.9601540393225951E-3</v>
      </c>
      <c r="E138">
        <v>11372.68</v>
      </c>
      <c r="F138">
        <v>7.8132000000000001</v>
      </c>
      <c r="G138" s="14">
        <f t="shared" si="6"/>
        <v>1455.5726206931859</v>
      </c>
      <c r="H138">
        <f t="shared" si="8"/>
        <v>-1.2925609656187942E-2</v>
      </c>
      <c r="I138"/>
      <c r="K138" s="38"/>
    </row>
    <row r="139" spans="1:11" x14ac:dyDescent="0.3">
      <c r="A139" s="16">
        <v>137</v>
      </c>
      <c r="B139" s="3">
        <v>45504</v>
      </c>
      <c r="C139" s="40">
        <v>5522.3</v>
      </c>
      <c r="D139" s="46">
        <f t="shared" si="7"/>
        <v>1.579342363752767E-2</v>
      </c>
      <c r="E139">
        <v>11605.32</v>
      </c>
      <c r="F139">
        <v>7.8120000000000003</v>
      </c>
      <c r="G139" s="14">
        <f t="shared" si="6"/>
        <v>1485.5760368663593</v>
      </c>
      <c r="H139">
        <f t="shared" si="8"/>
        <v>2.0612792344833375E-2</v>
      </c>
      <c r="I139"/>
      <c r="K139" s="38"/>
    </row>
    <row r="140" spans="1:11" x14ac:dyDescent="0.3">
      <c r="A140" s="16">
        <v>138</v>
      </c>
      <c r="B140" s="3">
        <v>45505</v>
      </c>
      <c r="C140" s="40">
        <v>5446.68</v>
      </c>
      <c r="D140" s="46">
        <f t="shared" si="7"/>
        <v>-1.3693569708273734E-2</v>
      </c>
      <c r="E140">
        <v>11542.18</v>
      </c>
      <c r="F140">
        <v>7.8147000000000002</v>
      </c>
      <c r="G140" s="14">
        <f t="shared" si="6"/>
        <v>1476.9831215529707</v>
      </c>
      <c r="H140">
        <f t="shared" si="8"/>
        <v>-5.7842312343124869E-3</v>
      </c>
      <c r="I140"/>
      <c r="K140" s="38"/>
    </row>
    <row r="141" spans="1:11" x14ac:dyDescent="0.3">
      <c r="A141" s="16">
        <v>139</v>
      </c>
      <c r="B141" s="3">
        <v>45506</v>
      </c>
      <c r="C141" s="40">
        <v>5346.56</v>
      </c>
      <c r="D141" s="46">
        <f t="shared" si="7"/>
        <v>-1.8381839946536194E-2</v>
      </c>
      <c r="E141">
        <v>11322.44</v>
      </c>
      <c r="F141">
        <v>7.8061999999999996</v>
      </c>
      <c r="G141" s="14">
        <f t="shared" si="6"/>
        <v>1450.441956393636</v>
      </c>
      <c r="H141">
        <f t="shared" si="8"/>
        <v>-1.7969850008460519E-2</v>
      </c>
      <c r="I141"/>
      <c r="K141" s="38"/>
    </row>
    <row r="142" spans="1:11" x14ac:dyDescent="0.3">
      <c r="A142" s="16">
        <v>140</v>
      </c>
      <c r="B142" s="3">
        <v>45509</v>
      </c>
      <c r="C142" s="40">
        <v>5186.33</v>
      </c>
      <c r="D142" s="46">
        <f t="shared" si="7"/>
        <v>-2.9968802370122227E-2</v>
      </c>
      <c r="E142">
        <v>11168.88</v>
      </c>
      <c r="F142">
        <v>7.7885</v>
      </c>
      <c r="G142" s="14">
        <f t="shared" si="6"/>
        <v>1434.0219554471335</v>
      </c>
      <c r="H142">
        <f t="shared" si="8"/>
        <v>-1.1320688066228546E-2</v>
      </c>
      <c r="I142"/>
      <c r="K142" s="38"/>
    </row>
    <row r="143" spans="1:11" x14ac:dyDescent="0.3">
      <c r="A143" s="16">
        <v>141</v>
      </c>
      <c r="B143" s="3">
        <v>45510</v>
      </c>
      <c r="C143" s="40">
        <v>5240.03</v>
      </c>
      <c r="D143" s="46">
        <f t="shared" si="7"/>
        <v>1.0354142524675369E-2</v>
      </c>
      <c r="E143">
        <v>11108.4</v>
      </c>
      <c r="F143">
        <v>7.7944000000000004</v>
      </c>
      <c r="G143" s="14">
        <f t="shared" si="6"/>
        <v>1425.1770501898798</v>
      </c>
      <c r="H143">
        <f t="shared" si="8"/>
        <v>-6.1679008634814014E-3</v>
      </c>
      <c r="I143"/>
      <c r="K143" s="38"/>
    </row>
    <row r="144" spans="1:11" x14ac:dyDescent="0.3">
      <c r="A144" s="16">
        <v>142</v>
      </c>
      <c r="B144" s="3">
        <v>45511</v>
      </c>
      <c r="C144" s="40">
        <v>5199.5</v>
      </c>
      <c r="D144" s="46">
        <f t="shared" si="7"/>
        <v>-7.7346885418594358E-3</v>
      </c>
      <c r="E144">
        <v>11277.29</v>
      </c>
      <c r="F144">
        <v>7.7984</v>
      </c>
      <c r="G144" s="14">
        <f t="shared" si="6"/>
        <v>1446.1030467788266</v>
      </c>
      <c r="H144">
        <f t="shared" si="8"/>
        <v>1.4683085576040478E-2</v>
      </c>
      <c r="I144"/>
      <c r="K144" s="38"/>
    </row>
    <row r="145" spans="1:11" x14ac:dyDescent="0.3">
      <c r="A145" s="16">
        <v>143</v>
      </c>
      <c r="B145" s="3">
        <v>45512</v>
      </c>
      <c r="C145" s="40">
        <v>5319.31</v>
      </c>
      <c r="D145" s="46">
        <f t="shared" si="7"/>
        <v>2.3042600250024137E-2</v>
      </c>
      <c r="E145">
        <v>11266.47</v>
      </c>
      <c r="F145">
        <v>7.7946</v>
      </c>
      <c r="G145" s="14">
        <f t="shared" si="6"/>
        <v>1445.4199060888307</v>
      </c>
      <c r="H145">
        <f t="shared" si="8"/>
        <v>-4.7240111381940952E-4</v>
      </c>
      <c r="I145"/>
      <c r="K145" s="38"/>
    </row>
    <row r="146" spans="1:11" x14ac:dyDescent="0.3">
      <c r="A146" s="16">
        <v>144</v>
      </c>
      <c r="B146" s="3">
        <v>45513</v>
      </c>
      <c r="C146" s="40">
        <v>5344.16</v>
      </c>
      <c r="D146" s="46">
        <f t="shared" si="7"/>
        <v>4.6716585421793244E-3</v>
      </c>
      <c r="E146">
        <v>11438.88</v>
      </c>
      <c r="F146">
        <v>7.7975000000000003</v>
      </c>
      <c r="G146" s="14">
        <f t="shared" si="6"/>
        <v>1466.9932670727796</v>
      </c>
      <c r="H146">
        <f t="shared" si="8"/>
        <v>1.4925324394019501E-2</v>
      </c>
      <c r="I146"/>
      <c r="K146" s="38"/>
    </row>
    <row r="147" spans="1:11" x14ac:dyDescent="0.3">
      <c r="A147" s="16">
        <v>145</v>
      </c>
      <c r="B147" s="3">
        <v>45516</v>
      </c>
      <c r="C147" s="40">
        <v>5344.39</v>
      </c>
      <c r="D147" s="46">
        <f t="shared" si="7"/>
        <v>4.3037633603804082E-5</v>
      </c>
      <c r="E147">
        <v>11487.79</v>
      </c>
      <c r="F147">
        <v>7.7907999999999999</v>
      </c>
      <c r="G147" s="14">
        <f t="shared" si="6"/>
        <v>1474.5327822559943</v>
      </c>
      <c r="H147">
        <f t="shared" si="8"/>
        <v>5.1394340740629207E-3</v>
      </c>
      <c r="I147"/>
      <c r="K147" s="38"/>
    </row>
    <row r="148" spans="1:11" x14ac:dyDescent="0.3">
      <c r="A148" s="16">
        <v>146</v>
      </c>
      <c r="B148" s="3">
        <v>45517</v>
      </c>
      <c r="C148" s="40">
        <v>5434.43</v>
      </c>
      <c r="D148" s="46">
        <f t="shared" si="7"/>
        <v>1.6847572875482442E-2</v>
      </c>
      <c r="E148">
        <v>11517.21</v>
      </c>
      <c r="F148">
        <v>7.7881</v>
      </c>
      <c r="G148" s="14">
        <f t="shared" si="6"/>
        <v>1478.8215354194219</v>
      </c>
      <c r="H148">
        <f t="shared" si="8"/>
        <v>2.9085505693986491E-3</v>
      </c>
      <c r="I148"/>
      <c r="K148" s="38"/>
    </row>
    <row r="149" spans="1:11" x14ac:dyDescent="0.3">
      <c r="A149" s="16">
        <v>147</v>
      </c>
      <c r="B149" s="3">
        <v>45518</v>
      </c>
      <c r="C149" s="40">
        <v>5455.21</v>
      </c>
      <c r="D149" s="46">
        <f t="shared" si="7"/>
        <v>3.8237680860733203E-3</v>
      </c>
      <c r="E149">
        <v>11438.72</v>
      </c>
      <c r="F149">
        <v>7.7919999999999998</v>
      </c>
      <c r="G149" s="14">
        <f t="shared" si="6"/>
        <v>1468.0082135523614</v>
      </c>
      <c r="H149">
        <f t="shared" si="8"/>
        <v>-7.3121209071340676E-3</v>
      </c>
      <c r="I149"/>
      <c r="K149" s="38"/>
    </row>
    <row r="150" spans="1:11" x14ac:dyDescent="0.3">
      <c r="A150" s="16">
        <v>148</v>
      </c>
      <c r="B150" s="3">
        <v>45519</v>
      </c>
      <c r="C150" s="40">
        <v>5543.22</v>
      </c>
      <c r="D150" s="46">
        <f t="shared" si="7"/>
        <v>1.6133201104998829E-2</v>
      </c>
      <c r="E150">
        <v>11461.95</v>
      </c>
      <c r="F150">
        <v>7.7968000000000002</v>
      </c>
      <c r="G150" s="14">
        <f t="shared" si="6"/>
        <v>1470.0838805663864</v>
      </c>
      <c r="H150">
        <f t="shared" si="8"/>
        <v>1.4139341965955232E-3</v>
      </c>
      <c r="I150"/>
      <c r="K150" s="38"/>
    </row>
    <row r="151" spans="1:11" x14ac:dyDescent="0.3">
      <c r="A151" s="16">
        <v>149</v>
      </c>
      <c r="B151" s="3">
        <v>45520</v>
      </c>
      <c r="C151" s="40">
        <v>5554.25</v>
      </c>
      <c r="D151" s="46">
        <f t="shared" si="7"/>
        <v>1.9898181923141411E-3</v>
      </c>
      <c r="E151">
        <v>11720.1</v>
      </c>
      <c r="F151">
        <v>7.7942999999999998</v>
      </c>
      <c r="G151" s="14">
        <f t="shared" si="6"/>
        <v>1503.6757630576192</v>
      </c>
      <c r="H151">
        <f t="shared" si="8"/>
        <v>2.2850316866470655E-2</v>
      </c>
      <c r="I151"/>
      <c r="K151" s="38"/>
    </row>
    <row r="152" spans="1:11" x14ac:dyDescent="0.3">
      <c r="A152" s="16">
        <v>150</v>
      </c>
      <c r="B152" s="3">
        <v>45523</v>
      </c>
      <c r="C152" s="40">
        <v>5608.25</v>
      </c>
      <c r="D152" s="46">
        <f t="shared" si="7"/>
        <v>9.7222847369131671E-3</v>
      </c>
      <c r="E152">
        <v>11847.63</v>
      </c>
      <c r="F152">
        <v>7.7882999999999996</v>
      </c>
      <c r="G152" s="14">
        <f t="shared" si="6"/>
        <v>1521.2087361811948</v>
      </c>
      <c r="H152">
        <f t="shared" si="8"/>
        <v>1.166007563221183E-2</v>
      </c>
      <c r="I152"/>
      <c r="K152" s="38"/>
    </row>
    <row r="153" spans="1:11" x14ac:dyDescent="0.3">
      <c r="A153" s="16">
        <v>151</v>
      </c>
      <c r="B153" s="3">
        <v>45524</v>
      </c>
      <c r="C153" s="40">
        <v>5597.12</v>
      </c>
      <c r="D153" s="46">
        <f t="shared" si="7"/>
        <v>-1.9845762938528466E-3</v>
      </c>
      <c r="E153">
        <v>11812.44</v>
      </c>
      <c r="F153">
        <v>7.7880000000000003</v>
      </c>
      <c r="G153" s="14">
        <f t="shared" si="6"/>
        <v>1516.748844375963</v>
      </c>
      <c r="H153">
        <f t="shared" si="8"/>
        <v>-2.9318079098256122E-3</v>
      </c>
      <c r="I153"/>
      <c r="K153" s="38"/>
    </row>
    <row r="154" spans="1:11" x14ac:dyDescent="0.3">
      <c r="A154" s="16">
        <v>152</v>
      </c>
      <c r="B154" s="3">
        <v>45525</v>
      </c>
      <c r="C154" s="40">
        <v>5620.85</v>
      </c>
      <c r="D154" s="46">
        <f t="shared" si="7"/>
        <v>4.2396804070665706E-3</v>
      </c>
      <c r="E154">
        <v>11680.38</v>
      </c>
      <c r="F154">
        <v>7.7937000000000003</v>
      </c>
      <c r="G154" s="14">
        <f t="shared" si="6"/>
        <v>1498.6950998883713</v>
      </c>
      <c r="H154">
        <f t="shared" si="8"/>
        <v>-1.1902922856697251E-2</v>
      </c>
      <c r="I154"/>
      <c r="K154" s="38"/>
    </row>
    <row r="155" spans="1:11" x14ac:dyDescent="0.3">
      <c r="A155" s="16">
        <v>153</v>
      </c>
      <c r="B155" s="3">
        <v>45526</v>
      </c>
      <c r="C155" s="40">
        <v>5570.64</v>
      </c>
      <c r="D155" s="46">
        <f t="shared" si="7"/>
        <v>-8.9328126528905871E-3</v>
      </c>
      <c r="E155">
        <v>11879.51</v>
      </c>
      <c r="F155">
        <v>7.7965</v>
      </c>
      <c r="G155" s="14">
        <f t="shared" si="6"/>
        <v>1523.6978131212725</v>
      </c>
      <c r="H155">
        <f t="shared" si="8"/>
        <v>1.6682988577705782E-2</v>
      </c>
      <c r="I155"/>
      <c r="K155" s="38"/>
    </row>
    <row r="156" spans="1:11" x14ac:dyDescent="0.3">
      <c r="A156" s="16">
        <v>154</v>
      </c>
      <c r="B156" s="3">
        <v>45527</v>
      </c>
      <c r="C156" s="40">
        <v>5634.61</v>
      </c>
      <c r="D156" s="46">
        <f t="shared" si="7"/>
        <v>1.1483420217425433E-2</v>
      </c>
      <c r="E156">
        <v>11823.23</v>
      </c>
      <c r="F156">
        <v>7.7953999999999999</v>
      </c>
      <c r="G156" s="14">
        <f t="shared" si="6"/>
        <v>1516.6931780280679</v>
      </c>
      <c r="H156">
        <f t="shared" si="8"/>
        <v>-4.597128796067329E-3</v>
      </c>
      <c r="I156"/>
      <c r="K156" s="38"/>
    </row>
    <row r="157" spans="1:11" x14ac:dyDescent="0.3">
      <c r="A157" s="16">
        <v>155</v>
      </c>
      <c r="B157" s="3">
        <v>45530</v>
      </c>
      <c r="C157" s="40">
        <v>5616.84</v>
      </c>
      <c r="D157" s="46">
        <f t="shared" si="7"/>
        <v>-3.1537231503155905E-3</v>
      </c>
      <c r="E157">
        <v>11929.61</v>
      </c>
      <c r="F157">
        <v>7.7958999999999996</v>
      </c>
      <c r="G157" s="14">
        <f t="shared" si="6"/>
        <v>1530.2415372182816</v>
      </c>
      <c r="H157">
        <f t="shared" si="8"/>
        <v>8.9328279354619067E-3</v>
      </c>
      <c r="I157"/>
      <c r="K157" s="38"/>
    </row>
    <row r="158" spans="1:11" x14ac:dyDescent="0.3">
      <c r="A158" s="16">
        <v>156</v>
      </c>
      <c r="B158" s="3">
        <v>45531</v>
      </c>
      <c r="C158" s="40">
        <v>5625.8</v>
      </c>
      <c r="D158" s="46">
        <f t="shared" si="7"/>
        <v>1.5952029967027936E-3</v>
      </c>
      <c r="E158">
        <v>11968.33</v>
      </c>
      <c r="F158">
        <v>7.8010999999999999</v>
      </c>
      <c r="G158" s="14">
        <f t="shared" si="6"/>
        <v>1534.184922639115</v>
      </c>
      <c r="H158">
        <f t="shared" si="8"/>
        <v>2.5769692724468829E-3</v>
      </c>
      <c r="I158"/>
      <c r="K158" s="38"/>
    </row>
    <row r="159" spans="1:11" x14ac:dyDescent="0.3">
      <c r="A159" s="16">
        <v>157</v>
      </c>
      <c r="B159" s="3">
        <v>45532</v>
      </c>
      <c r="C159" s="40">
        <v>5592.18</v>
      </c>
      <c r="D159" s="46">
        <f t="shared" si="7"/>
        <v>-5.9760389633474187E-3</v>
      </c>
      <c r="E159">
        <v>11813.57</v>
      </c>
      <c r="F159">
        <v>7.8007</v>
      </c>
      <c r="G159" s="14">
        <f t="shared" si="6"/>
        <v>1514.4243465330035</v>
      </c>
      <c r="H159">
        <f t="shared" si="8"/>
        <v>-1.2880178793648445E-2</v>
      </c>
      <c r="I159"/>
      <c r="K159" s="38"/>
    </row>
    <row r="160" spans="1:11" x14ac:dyDescent="0.3">
      <c r="A160" s="16">
        <v>158</v>
      </c>
      <c r="B160" s="3">
        <v>45533</v>
      </c>
      <c r="C160" s="40">
        <v>5591.96</v>
      </c>
      <c r="D160" s="46">
        <f t="shared" si="7"/>
        <v>-3.9340650694441592E-5</v>
      </c>
      <c r="E160">
        <v>11836.74</v>
      </c>
      <c r="F160">
        <v>7.7975000000000003</v>
      </c>
      <c r="G160" s="14">
        <f t="shared" si="6"/>
        <v>1518.0173132414234</v>
      </c>
      <c r="H160">
        <f t="shared" si="8"/>
        <v>2.3724966629368183E-3</v>
      </c>
      <c r="I160"/>
      <c r="K160" s="38"/>
    </row>
    <row r="161" spans="1:11" x14ac:dyDescent="0.3">
      <c r="A161" s="16">
        <v>159</v>
      </c>
      <c r="B161" s="3">
        <v>45534</v>
      </c>
      <c r="C161" s="40">
        <v>5648.4</v>
      </c>
      <c r="D161" s="46">
        <f t="shared" si="7"/>
        <v>1.0093062182132906E-2</v>
      </c>
      <c r="E161">
        <v>11984.28</v>
      </c>
      <c r="F161">
        <v>7.7972999999999999</v>
      </c>
      <c r="G161" s="14">
        <f t="shared" si="6"/>
        <v>1536.978184756262</v>
      </c>
      <c r="H161">
        <f t="shared" si="8"/>
        <v>1.2490550239082188E-2</v>
      </c>
      <c r="I161"/>
      <c r="K161" s="38"/>
    </row>
    <row r="162" spans="1:11" x14ac:dyDescent="0.3">
      <c r="A162" s="16">
        <v>160</v>
      </c>
      <c r="B162" s="3">
        <v>45538</v>
      </c>
      <c r="C162" s="40">
        <v>5528.93</v>
      </c>
      <c r="D162" s="46">
        <f t="shared" si="7"/>
        <v>-2.1151122441753323E-2</v>
      </c>
      <c r="E162">
        <v>11747.92</v>
      </c>
      <c r="F162">
        <v>7.7986000000000004</v>
      </c>
      <c r="G162" s="14">
        <f t="shared" si="6"/>
        <v>1506.4139717385171</v>
      </c>
      <c r="H162">
        <f t="shared" si="8"/>
        <v>-1.9885912058401622E-2</v>
      </c>
      <c r="I162"/>
      <c r="K162" s="38"/>
    </row>
    <row r="163" spans="1:11" x14ac:dyDescent="0.3">
      <c r="A163" s="16">
        <v>161</v>
      </c>
      <c r="B163" s="3">
        <v>45539</v>
      </c>
      <c r="C163" s="40">
        <v>5520.07</v>
      </c>
      <c r="D163" s="46">
        <f t="shared" si="7"/>
        <v>-1.6024800458679378E-3</v>
      </c>
      <c r="E163">
        <v>11660.53</v>
      </c>
      <c r="F163">
        <v>7.7967000000000004</v>
      </c>
      <c r="G163" s="14">
        <f t="shared" si="6"/>
        <v>1495.5724857952723</v>
      </c>
      <c r="H163">
        <f t="shared" si="8"/>
        <v>-7.1968835570032086E-3</v>
      </c>
      <c r="I163"/>
      <c r="K163" s="38"/>
    </row>
    <row r="164" spans="1:11" x14ac:dyDescent="0.3">
      <c r="A164" s="16">
        <v>162</v>
      </c>
      <c r="B164" s="3">
        <v>45540</v>
      </c>
      <c r="C164" s="40">
        <v>5503.41</v>
      </c>
      <c r="D164" s="46">
        <f t="shared" si="7"/>
        <v>-3.0180776693048417E-3</v>
      </c>
      <c r="E164">
        <v>11611.16</v>
      </c>
      <c r="F164">
        <v>7.7930000000000001</v>
      </c>
      <c r="G164" s="14">
        <f t="shared" si="6"/>
        <v>1489.9473886821506</v>
      </c>
      <c r="H164">
        <f t="shared" si="8"/>
        <v>-3.7611664874475093E-3</v>
      </c>
      <c r="I164"/>
      <c r="K164" s="38"/>
    </row>
    <row r="165" spans="1:11" x14ac:dyDescent="0.3">
      <c r="A165" s="16">
        <v>163</v>
      </c>
      <c r="B165" s="3">
        <v>45541</v>
      </c>
      <c r="C165" s="40">
        <v>5408.42</v>
      </c>
      <c r="D165" s="46">
        <f t="shared" si="7"/>
        <v>-1.726020776209658E-2</v>
      </c>
      <c r="E165">
        <v>11610.22</v>
      </c>
      <c r="F165">
        <v>7.7953999999999999</v>
      </c>
      <c r="G165" s="14">
        <f t="shared" si="6"/>
        <v>1489.368088872925</v>
      </c>
      <c r="H165">
        <f t="shared" si="8"/>
        <v>-3.8880554684417312E-4</v>
      </c>
      <c r="I165"/>
      <c r="K165" s="38"/>
    </row>
    <row r="166" spans="1:11" x14ac:dyDescent="0.3">
      <c r="A166" s="16">
        <v>164</v>
      </c>
      <c r="B166" s="3">
        <v>45544</v>
      </c>
      <c r="C166" s="40">
        <v>5471.05</v>
      </c>
      <c r="D166" s="46">
        <f t="shared" si="7"/>
        <v>1.1580091782812829E-2</v>
      </c>
      <c r="E166">
        <v>11417.44</v>
      </c>
      <c r="F166">
        <v>7.7965</v>
      </c>
      <c r="G166" s="14">
        <f t="shared" si="6"/>
        <v>1464.4314756621561</v>
      </c>
      <c r="H166">
        <f t="shared" si="8"/>
        <v>-1.6743082785961705E-2</v>
      </c>
      <c r="I166"/>
      <c r="K166" s="38"/>
    </row>
    <row r="167" spans="1:11" x14ac:dyDescent="0.3">
      <c r="A167" s="16">
        <v>165</v>
      </c>
      <c r="B167" s="3">
        <v>45545</v>
      </c>
      <c r="C167" s="40">
        <v>5495.52</v>
      </c>
      <c r="D167" s="46">
        <f t="shared" si="7"/>
        <v>4.4726332239699573E-3</v>
      </c>
      <c r="E167">
        <v>11476.23</v>
      </c>
      <c r="F167">
        <v>7.7972999999999999</v>
      </c>
      <c r="G167" s="14">
        <f t="shared" si="6"/>
        <v>1471.8210149667193</v>
      </c>
      <c r="H167">
        <f t="shared" si="8"/>
        <v>5.0460123449762584E-3</v>
      </c>
      <c r="I167"/>
      <c r="K167" s="38"/>
    </row>
    <row r="168" spans="1:11" x14ac:dyDescent="0.3">
      <c r="A168" s="16">
        <v>166</v>
      </c>
      <c r="B168" s="3">
        <v>45546</v>
      </c>
      <c r="C168" s="40">
        <v>5554.13</v>
      </c>
      <c r="D168" s="46">
        <f t="shared" si="7"/>
        <v>1.0665050805019227E-2</v>
      </c>
      <c r="E168">
        <v>11421.37</v>
      </c>
      <c r="F168">
        <v>7.7984999999999998</v>
      </c>
      <c r="G168" s="14">
        <f t="shared" si="6"/>
        <v>1464.5598512534464</v>
      </c>
      <c r="H168">
        <f t="shared" si="8"/>
        <v>-4.9334556576073885E-3</v>
      </c>
      <c r="I168"/>
      <c r="K168" s="38"/>
    </row>
    <row r="169" spans="1:11" x14ac:dyDescent="0.3">
      <c r="A169" s="16">
        <v>167</v>
      </c>
      <c r="B169" s="3">
        <v>45547</v>
      </c>
      <c r="C169" s="40">
        <v>5595.76</v>
      </c>
      <c r="D169" s="46">
        <f t="shared" si="7"/>
        <v>7.4953232999588337E-3</v>
      </c>
      <c r="E169">
        <v>11519.81</v>
      </c>
      <c r="F169">
        <v>7.8029999999999999</v>
      </c>
      <c r="G169" s="14">
        <f t="shared" si="6"/>
        <v>1476.3308983724207</v>
      </c>
      <c r="H169">
        <f t="shared" si="8"/>
        <v>8.0372591867106102E-3</v>
      </c>
      <c r="I169"/>
      <c r="K169" s="38"/>
    </row>
    <row r="170" spans="1:11" x14ac:dyDescent="0.3">
      <c r="A170" s="16">
        <v>168</v>
      </c>
      <c r="B170" s="3">
        <v>45548</v>
      </c>
      <c r="C170" s="40">
        <v>5626.02</v>
      </c>
      <c r="D170" s="46">
        <f t="shared" si="7"/>
        <v>5.4076658041088965E-3</v>
      </c>
      <c r="E170">
        <v>11611.85</v>
      </c>
      <c r="F170">
        <v>7.7987000000000002</v>
      </c>
      <c r="G170" s="14">
        <f t="shared" si="6"/>
        <v>1488.9468757613449</v>
      </c>
      <c r="H170">
        <f t="shared" si="8"/>
        <v>8.5454943758425106E-3</v>
      </c>
      <c r="I170"/>
      <c r="K170" s="38"/>
    </row>
    <row r="171" spans="1:11" x14ac:dyDescent="0.3">
      <c r="A171" s="16">
        <v>169</v>
      </c>
      <c r="B171" s="3">
        <v>45551</v>
      </c>
      <c r="C171" s="40">
        <v>5633.09</v>
      </c>
      <c r="D171" s="46">
        <f t="shared" si="7"/>
        <v>1.2566610143582846E-3</v>
      </c>
      <c r="E171">
        <v>11648.91</v>
      </c>
      <c r="F171">
        <v>7.7927</v>
      </c>
      <c r="G171" s="14">
        <f t="shared" si="6"/>
        <v>1494.8490253698974</v>
      </c>
      <c r="H171">
        <f t="shared" si="8"/>
        <v>3.9639759514822348E-3</v>
      </c>
      <c r="I171"/>
      <c r="K171" s="38"/>
    </row>
    <row r="172" spans="1:11" x14ac:dyDescent="0.3">
      <c r="A172" s="16">
        <v>170</v>
      </c>
      <c r="B172" s="3">
        <v>45552</v>
      </c>
      <c r="C172" s="40">
        <v>5634.58</v>
      </c>
      <c r="D172" s="46">
        <f t="shared" si="7"/>
        <v>2.6450846693371055E-4</v>
      </c>
      <c r="E172">
        <v>11795.61</v>
      </c>
      <c r="F172">
        <v>7.7942</v>
      </c>
      <c r="G172" s="14">
        <f t="shared" si="6"/>
        <v>1513.3830284057376</v>
      </c>
      <c r="H172">
        <f t="shared" si="8"/>
        <v>1.2398578532874849E-2</v>
      </c>
      <c r="I172"/>
      <c r="K172" s="38"/>
    </row>
    <row r="173" spans="1:11" x14ac:dyDescent="0.3">
      <c r="A173" s="16">
        <v>171</v>
      </c>
      <c r="B173" s="3">
        <v>45554</v>
      </c>
      <c r="C173" s="40">
        <v>5713.64</v>
      </c>
      <c r="D173" s="46">
        <f t="shared" si="7"/>
        <v>1.4031214393974478E-2</v>
      </c>
      <c r="E173">
        <v>12075.79</v>
      </c>
      <c r="F173">
        <v>7.7946</v>
      </c>
      <c r="G173" s="14">
        <f t="shared" si="6"/>
        <v>1549.2507633489854</v>
      </c>
      <c r="H173">
        <f t="shared" si="8"/>
        <v>2.37003681619401E-2</v>
      </c>
      <c r="I173"/>
      <c r="K173" s="38"/>
    </row>
    <row r="174" spans="1:11" x14ac:dyDescent="0.3">
      <c r="A174" s="16">
        <v>172</v>
      </c>
      <c r="B174" s="3">
        <v>45555</v>
      </c>
      <c r="C174" s="40">
        <v>5702.55</v>
      </c>
      <c r="D174" s="46">
        <f t="shared" si="7"/>
        <v>-1.9409693295342478E-3</v>
      </c>
      <c r="E174">
        <v>12213.83</v>
      </c>
      <c r="F174">
        <v>7.7897999999999996</v>
      </c>
      <c r="G174" s="14">
        <f t="shared" si="6"/>
        <v>1567.9260058024597</v>
      </c>
      <c r="H174">
        <f t="shared" si="8"/>
        <v>1.2054370341638254E-2</v>
      </c>
      <c r="I174"/>
      <c r="K174" s="38"/>
    </row>
    <row r="175" spans="1:11" x14ac:dyDescent="0.3">
      <c r="A175" s="16">
        <v>173</v>
      </c>
      <c r="B175" s="3">
        <v>45558</v>
      </c>
      <c r="C175" s="40">
        <v>5718.57</v>
      </c>
      <c r="D175" s="46">
        <f t="shared" si="7"/>
        <v>2.8092695373120868E-3</v>
      </c>
      <c r="E175">
        <v>12242.92</v>
      </c>
      <c r="F175">
        <v>7.7858000000000001</v>
      </c>
      <c r="G175" s="14">
        <f t="shared" si="6"/>
        <v>1572.467826042282</v>
      </c>
      <c r="H175">
        <f t="shared" si="8"/>
        <v>2.8967057265549823E-3</v>
      </c>
      <c r="I175"/>
      <c r="K175" s="38"/>
    </row>
    <row r="176" spans="1:11" x14ac:dyDescent="0.3">
      <c r="A176" s="16">
        <v>174</v>
      </c>
      <c r="B176" s="3">
        <v>45559</v>
      </c>
      <c r="C176" s="40">
        <v>5732.93</v>
      </c>
      <c r="D176" s="46">
        <f t="shared" si="7"/>
        <v>2.5111172898120149E-3</v>
      </c>
      <c r="E176">
        <v>12897.36</v>
      </c>
      <c r="F176">
        <v>7.7845000000000004</v>
      </c>
      <c r="G176" s="14">
        <f t="shared" si="6"/>
        <v>1656.8000513841607</v>
      </c>
      <c r="H176">
        <f t="shared" si="8"/>
        <v>5.3630493384486666E-2</v>
      </c>
      <c r="I176"/>
      <c r="K176" s="38"/>
    </row>
    <row r="177" spans="1:11" x14ac:dyDescent="0.3">
      <c r="A177" s="16">
        <v>175</v>
      </c>
      <c r="B177" s="3">
        <v>45560</v>
      </c>
      <c r="C177" s="40">
        <v>5722.26</v>
      </c>
      <c r="D177" s="46">
        <f t="shared" si="7"/>
        <v>-1.8611774432969463E-3</v>
      </c>
      <c r="E177">
        <v>13012.24</v>
      </c>
      <c r="F177">
        <v>7.7845000000000004</v>
      </c>
      <c r="G177" s="14">
        <f t="shared" si="6"/>
        <v>1671.5575823752326</v>
      </c>
      <c r="H177">
        <f t="shared" si="8"/>
        <v>8.9072492355024568E-3</v>
      </c>
      <c r="I177"/>
      <c r="K177" s="38"/>
    </row>
    <row r="178" spans="1:11" x14ac:dyDescent="0.3">
      <c r="A178" s="16">
        <v>176</v>
      </c>
      <c r="B178" s="3">
        <v>45561</v>
      </c>
      <c r="C178" s="40">
        <v>5745.37</v>
      </c>
      <c r="D178" s="46">
        <f t="shared" si="7"/>
        <v>4.0386141140038578E-3</v>
      </c>
      <c r="E178">
        <v>13708.31</v>
      </c>
      <c r="F178">
        <v>7.7789000000000001</v>
      </c>
      <c r="G178" s="14">
        <f t="shared" si="6"/>
        <v>1762.2427335484451</v>
      </c>
      <c r="H178">
        <f t="shared" si="8"/>
        <v>5.4251885863454197E-2</v>
      </c>
      <c r="I178"/>
      <c r="K178" s="38"/>
    </row>
    <row r="179" spans="1:11" x14ac:dyDescent="0.3">
      <c r="A179" s="16">
        <v>177</v>
      </c>
      <c r="B179" s="3">
        <v>45562</v>
      </c>
      <c r="C179" s="40">
        <v>5738.17</v>
      </c>
      <c r="D179" s="46">
        <f t="shared" si="7"/>
        <v>-1.2531829977877607E-3</v>
      </c>
      <c r="E179">
        <v>14157.5</v>
      </c>
      <c r="F179">
        <v>7.7721</v>
      </c>
      <c r="G179" s="14">
        <f t="shared" si="6"/>
        <v>1821.5797532198505</v>
      </c>
      <c r="H179">
        <f t="shared" si="8"/>
        <v>3.367130903239679E-2</v>
      </c>
      <c r="I179"/>
      <c r="K179" s="38"/>
    </row>
    <row r="180" spans="1:11" x14ac:dyDescent="0.3">
      <c r="A180" s="16">
        <v>178</v>
      </c>
      <c r="B180" s="3">
        <v>45565</v>
      </c>
      <c r="C180" s="40">
        <v>5762.48</v>
      </c>
      <c r="D180" s="46">
        <f t="shared" si="7"/>
        <v>4.2365423122701085E-3</v>
      </c>
      <c r="E180">
        <v>14612.96</v>
      </c>
      <c r="F180">
        <v>7.7727000000000004</v>
      </c>
      <c r="G180" s="14">
        <f t="shared" si="6"/>
        <v>1880.0365381398997</v>
      </c>
      <c r="H180">
        <f t="shared" si="8"/>
        <v>3.2091257501473791E-2</v>
      </c>
      <c r="I180"/>
      <c r="K180" s="38"/>
    </row>
    <row r="181" spans="1:11" x14ac:dyDescent="0.3">
      <c r="A181" s="16">
        <v>179</v>
      </c>
      <c r="B181" s="3">
        <v>45567</v>
      </c>
      <c r="C181" s="40">
        <v>5709.54</v>
      </c>
      <c r="D181" s="46">
        <f t="shared" si="7"/>
        <v>-9.1870167011425252E-3</v>
      </c>
      <c r="E181">
        <v>15720.63</v>
      </c>
      <c r="F181">
        <v>7.7625999999999999</v>
      </c>
      <c r="G181" s="14">
        <f t="shared" si="6"/>
        <v>2025.1758431453379</v>
      </c>
      <c r="H181">
        <f t="shared" si="8"/>
        <v>7.7200257580652298E-2</v>
      </c>
      <c r="I181"/>
      <c r="K181" s="38"/>
    </row>
    <row r="182" spans="1:11" x14ac:dyDescent="0.3">
      <c r="A182" s="16">
        <v>180</v>
      </c>
      <c r="B182" s="3">
        <v>45568</v>
      </c>
      <c r="C182" s="40">
        <v>5699.94</v>
      </c>
      <c r="D182" s="46">
        <f t="shared" si="7"/>
        <v>-1.681396399709989E-3</v>
      </c>
      <c r="E182">
        <v>15475.37</v>
      </c>
      <c r="F182">
        <v>7.7637999999999998</v>
      </c>
      <c r="G182" s="14">
        <f t="shared" si="6"/>
        <v>1993.2726242304027</v>
      </c>
      <c r="H182">
        <f t="shared" si="8"/>
        <v>-1.5753308051208892E-2</v>
      </c>
      <c r="I182"/>
      <c r="K182" s="38"/>
    </row>
    <row r="183" spans="1:11" x14ac:dyDescent="0.3">
      <c r="A183" s="16">
        <v>181</v>
      </c>
      <c r="B183" s="3">
        <v>45569</v>
      </c>
      <c r="C183" s="40">
        <v>5751.07</v>
      </c>
      <c r="D183" s="46">
        <f t="shared" si="7"/>
        <v>8.9702698624898325E-3</v>
      </c>
      <c r="E183">
        <v>15986.29</v>
      </c>
      <c r="F183">
        <v>7.7662000000000004</v>
      </c>
      <c r="G183" s="14">
        <f t="shared" si="6"/>
        <v>2058.4442842059179</v>
      </c>
      <c r="H183">
        <f t="shared" si="8"/>
        <v>3.2695808482634314E-2</v>
      </c>
      <c r="I183"/>
      <c r="K183" s="38"/>
    </row>
    <row r="184" spans="1:11" x14ac:dyDescent="0.3">
      <c r="A184" s="16">
        <v>182</v>
      </c>
      <c r="B184" s="3">
        <v>45572</v>
      </c>
      <c r="C184" s="40">
        <v>5695.94</v>
      </c>
      <c r="D184" s="46">
        <f t="shared" si="7"/>
        <v>-9.5860422495291919E-3</v>
      </c>
      <c r="E184">
        <v>16279.14</v>
      </c>
      <c r="F184">
        <v>7.7656999999999998</v>
      </c>
      <c r="G184" s="14">
        <f t="shared" si="6"/>
        <v>2096.287520764387</v>
      </c>
      <c r="H184">
        <f t="shared" si="8"/>
        <v>1.8384387106725963E-2</v>
      </c>
      <c r="I184"/>
      <c r="K184" s="38"/>
    </row>
    <row r="185" spans="1:11" x14ac:dyDescent="0.3">
      <c r="A185" s="16">
        <v>183</v>
      </c>
      <c r="B185" s="3">
        <v>45573</v>
      </c>
      <c r="C185" s="40">
        <v>5751.13</v>
      </c>
      <c r="D185" s="46">
        <f t="shared" si="7"/>
        <v>9.68935768284096E-3</v>
      </c>
      <c r="E185">
        <v>14579.45</v>
      </c>
      <c r="F185">
        <v>7.7747999999999999</v>
      </c>
      <c r="G185" s="14">
        <f t="shared" si="6"/>
        <v>1875.2186551422546</v>
      </c>
      <c r="H185">
        <f t="shared" si="8"/>
        <v>-0.10545732082664028</v>
      </c>
      <c r="I185"/>
      <c r="K185" s="38"/>
    </row>
    <row r="186" spans="1:11" x14ac:dyDescent="0.3">
      <c r="A186" s="16">
        <v>184</v>
      </c>
      <c r="B186" s="3">
        <v>45574</v>
      </c>
      <c r="C186" s="40">
        <v>5792.04</v>
      </c>
      <c r="D186" s="46">
        <f t="shared" si="7"/>
        <v>7.1133846739683815E-3</v>
      </c>
      <c r="E186">
        <v>14329.43</v>
      </c>
      <c r="F186">
        <v>7.7708000000000004</v>
      </c>
      <c r="G186" s="14">
        <f t="shared" si="6"/>
        <v>1844.0096257785556</v>
      </c>
      <c r="H186">
        <f t="shared" si="8"/>
        <v>-1.6642874833885157E-2</v>
      </c>
      <c r="I186"/>
      <c r="K186" s="38"/>
    </row>
    <row r="187" spans="1:11" x14ac:dyDescent="0.3">
      <c r="A187" s="16">
        <v>185</v>
      </c>
      <c r="B187" s="3">
        <v>45575</v>
      </c>
      <c r="C187" s="40">
        <v>5780.05</v>
      </c>
      <c r="D187" s="46">
        <f t="shared" si="7"/>
        <v>-2.0700823889336917E-3</v>
      </c>
      <c r="E187">
        <v>14817.86</v>
      </c>
      <c r="F187">
        <v>7.7698</v>
      </c>
      <c r="G187" s="14">
        <f t="shared" si="6"/>
        <v>1907.1095781101187</v>
      </c>
      <c r="H187">
        <f t="shared" si="8"/>
        <v>3.4218884462125176E-2</v>
      </c>
      <c r="I187"/>
      <c r="K187" s="38"/>
    </row>
    <row r="188" spans="1:11" x14ac:dyDescent="0.3">
      <c r="A188" s="16">
        <v>186</v>
      </c>
      <c r="B188" s="3">
        <v>45579</v>
      </c>
      <c r="C188" s="40">
        <v>5859.85</v>
      </c>
      <c r="D188" s="46">
        <f t="shared" si="7"/>
        <v>1.3806108943694273E-2</v>
      </c>
      <c r="E188">
        <v>14695.69</v>
      </c>
      <c r="F188">
        <v>7.7638999999999996</v>
      </c>
      <c r="G188" s="14">
        <f t="shared" si="6"/>
        <v>1892.8231945285231</v>
      </c>
      <c r="H188">
        <f t="shared" si="8"/>
        <v>-7.4911183633994405E-3</v>
      </c>
      <c r="I188"/>
      <c r="K188" s="38"/>
    </row>
    <row r="189" spans="1:11" x14ac:dyDescent="0.3">
      <c r="A189" s="16">
        <v>187</v>
      </c>
      <c r="B189" s="3">
        <v>45580</v>
      </c>
      <c r="C189" s="40">
        <v>5815.26</v>
      </c>
      <c r="D189" s="46">
        <f t="shared" si="7"/>
        <v>-7.6094097971791674E-3</v>
      </c>
      <c r="E189">
        <v>14082.55</v>
      </c>
      <c r="F189">
        <v>7.7671999999999999</v>
      </c>
      <c r="G189" s="14">
        <f t="shared" si="6"/>
        <v>1813.0793593572973</v>
      </c>
      <c r="H189">
        <f t="shared" si="8"/>
        <v>-4.2129574173508044E-2</v>
      </c>
      <c r="I189"/>
      <c r="K189" s="38"/>
    </row>
    <row r="190" spans="1:11" x14ac:dyDescent="0.3">
      <c r="A190" s="16">
        <v>188</v>
      </c>
      <c r="B190" s="3">
        <v>45581</v>
      </c>
      <c r="C190" s="40">
        <v>5842.47</v>
      </c>
      <c r="D190" s="46">
        <f t="shared" si="7"/>
        <v>4.6790685197222182E-3</v>
      </c>
      <c r="E190">
        <v>14058.54</v>
      </c>
      <c r="F190">
        <v>7.7705000000000002</v>
      </c>
      <c r="G190" s="14">
        <f t="shared" si="6"/>
        <v>1809.2194839456922</v>
      </c>
      <c r="H190">
        <f t="shared" si="8"/>
        <v>-2.1289059365682261E-3</v>
      </c>
      <c r="I190"/>
      <c r="K190" s="38"/>
    </row>
    <row r="191" spans="1:11" x14ac:dyDescent="0.3">
      <c r="A191" s="16">
        <v>189</v>
      </c>
      <c r="B191" s="3">
        <v>45582</v>
      </c>
      <c r="C191" s="40">
        <v>5841.47</v>
      </c>
      <c r="D191" s="46">
        <f t="shared" si="7"/>
        <v>-1.7116048520571248E-4</v>
      </c>
      <c r="E191">
        <v>13879.7</v>
      </c>
      <c r="F191">
        <v>7.7736000000000001</v>
      </c>
      <c r="G191" s="14">
        <f t="shared" si="6"/>
        <v>1785.4919213749101</v>
      </c>
      <c r="H191">
        <f t="shared" si="8"/>
        <v>-1.3114806015152469E-2</v>
      </c>
      <c r="I191"/>
      <c r="K191" s="38"/>
    </row>
    <row r="192" spans="1:11" x14ac:dyDescent="0.3">
      <c r="A192" s="16">
        <v>190</v>
      </c>
      <c r="B192" s="3">
        <v>45583</v>
      </c>
      <c r="C192" s="40">
        <v>5864.67</v>
      </c>
      <c r="D192" s="46">
        <f t="shared" si="7"/>
        <v>3.9716030382763723E-3</v>
      </c>
      <c r="E192">
        <v>14464.53</v>
      </c>
      <c r="F192">
        <v>7.77</v>
      </c>
      <c r="G192" s="14">
        <f t="shared" si="6"/>
        <v>1861.5868725868727</v>
      </c>
      <c r="H192">
        <f t="shared" si="8"/>
        <v>4.2618479703546264E-2</v>
      </c>
      <c r="I192"/>
      <c r="K192" s="38"/>
    </row>
    <row r="193" spans="1:11" x14ac:dyDescent="0.3">
      <c r="A193" s="16">
        <v>191</v>
      </c>
      <c r="B193" s="3">
        <v>45586</v>
      </c>
      <c r="C193" s="40">
        <v>5853.98</v>
      </c>
      <c r="D193" s="46">
        <f t="shared" si="7"/>
        <v>-1.8227794573267841E-3</v>
      </c>
      <c r="E193">
        <v>14190.33</v>
      </c>
      <c r="F193">
        <v>7.7728999999999999</v>
      </c>
      <c r="G193" s="14">
        <f t="shared" si="6"/>
        <v>1825.6159219853594</v>
      </c>
      <c r="H193">
        <f t="shared" si="8"/>
        <v>-1.9322735420629567E-2</v>
      </c>
      <c r="I193"/>
      <c r="K193" s="38"/>
    </row>
    <row r="194" spans="1:11" x14ac:dyDescent="0.3">
      <c r="A194" s="16">
        <v>192</v>
      </c>
      <c r="B194" s="3">
        <v>45587</v>
      </c>
      <c r="C194" s="40">
        <v>5851.2</v>
      </c>
      <c r="D194" s="46">
        <f t="shared" si="7"/>
        <v>-4.7489058725858069E-4</v>
      </c>
      <c r="E194">
        <v>14216.95</v>
      </c>
      <c r="F194">
        <v>7.7721</v>
      </c>
      <c r="G194" s="14">
        <f t="shared" si="6"/>
        <v>1829.2289085317998</v>
      </c>
      <c r="H194">
        <f t="shared" si="8"/>
        <v>1.9790507427823734E-3</v>
      </c>
      <c r="I194"/>
      <c r="K194" s="38"/>
    </row>
    <row r="195" spans="1:11" x14ac:dyDescent="0.3">
      <c r="A195" s="16">
        <v>193</v>
      </c>
      <c r="B195" s="3">
        <v>45588</v>
      </c>
      <c r="C195" s="40">
        <v>5797.42</v>
      </c>
      <c r="D195" s="46">
        <f t="shared" si="7"/>
        <v>-9.1912770030079249E-3</v>
      </c>
      <c r="E195">
        <v>14467.29</v>
      </c>
      <c r="F195">
        <v>7.7686000000000002</v>
      </c>
      <c r="G195" s="14">
        <f t="shared" ref="G195:G258" si="9">E195/F195</f>
        <v>1862.277630461087</v>
      </c>
      <c r="H195">
        <f t="shared" si="8"/>
        <v>1.8067023637743151E-2</v>
      </c>
      <c r="I195"/>
      <c r="K195" s="38"/>
    </row>
    <row r="196" spans="1:11" x14ac:dyDescent="0.3">
      <c r="A196" s="16">
        <v>194</v>
      </c>
      <c r="B196" s="3">
        <v>45589</v>
      </c>
      <c r="C196" s="40">
        <v>5809.86</v>
      </c>
      <c r="D196" s="46">
        <f t="shared" ref="D196:D259" si="10">$C196/$C195-1</f>
        <v>2.1457820892740731E-3</v>
      </c>
      <c r="E196">
        <v>14235.1</v>
      </c>
      <c r="F196">
        <v>7.7701000000000002</v>
      </c>
      <c r="G196" s="14">
        <f t="shared" si="9"/>
        <v>1832.0356237371461</v>
      </c>
      <c r="H196">
        <f t="shared" ref="H196:H259" si="11">$G196/$G195-1</f>
        <v>-1.6239257900796056E-2</v>
      </c>
      <c r="I196"/>
      <c r="K196" s="38"/>
    </row>
    <row r="197" spans="1:11" x14ac:dyDescent="0.3">
      <c r="A197" s="16">
        <v>195</v>
      </c>
      <c r="B197" s="3">
        <v>45590</v>
      </c>
      <c r="C197" s="40">
        <v>5808.12</v>
      </c>
      <c r="D197" s="46">
        <f t="shared" si="10"/>
        <v>-2.994908655286066E-4</v>
      </c>
      <c r="E197">
        <v>14277.59</v>
      </c>
      <c r="F197">
        <v>7.7701000000000002</v>
      </c>
      <c r="G197" s="14">
        <f t="shared" si="9"/>
        <v>1837.5040218272609</v>
      </c>
      <c r="H197">
        <f t="shared" si="11"/>
        <v>2.9848754135903821E-3</v>
      </c>
      <c r="I197"/>
      <c r="K197" s="38"/>
    </row>
    <row r="198" spans="1:11" x14ac:dyDescent="0.3">
      <c r="A198" s="16">
        <v>196</v>
      </c>
      <c r="B198" s="3">
        <v>45593</v>
      </c>
      <c r="C198" s="40">
        <v>5823.52</v>
      </c>
      <c r="D198" s="46">
        <f t="shared" si="10"/>
        <v>2.6514603692762151E-3</v>
      </c>
      <c r="E198">
        <v>14283.94</v>
      </c>
      <c r="F198">
        <v>7.7713999999999999</v>
      </c>
      <c r="G198" s="14">
        <f t="shared" si="9"/>
        <v>1838.0137426975834</v>
      </c>
      <c r="H198">
        <f t="shared" si="11"/>
        <v>2.7739850594477033E-4</v>
      </c>
      <c r="I198"/>
      <c r="K198" s="38"/>
    </row>
    <row r="199" spans="1:11" x14ac:dyDescent="0.3">
      <c r="A199" s="16">
        <v>197</v>
      </c>
      <c r="B199" s="3">
        <v>45594</v>
      </c>
      <c r="C199" s="40">
        <v>5832.92</v>
      </c>
      <c r="D199" s="46">
        <f t="shared" si="10"/>
        <v>1.6141440228589765E-3</v>
      </c>
      <c r="E199">
        <v>14378.25</v>
      </c>
      <c r="F199">
        <v>7.7709999999999999</v>
      </c>
      <c r="G199" s="14">
        <f t="shared" si="9"/>
        <v>1850.2444987775061</v>
      </c>
      <c r="H199">
        <f t="shared" si="11"/>
        <v>6.6543333141633187E-3</v>
      </c>
      <c r="I199"/>
      <c r="K199" s="38"/>
    </row>
    <row r="200" spans="1:11" x14ac:dyDescent="0.3">
      <c r="A200" s="16">
        <v>198</v>
      </c>
      <c r="B200" s="3">
        <v>45595</v>
      </c>
      <c r="C200" s="40">
        <v>5813.67</v>
      </c>
      <c r="D200" s="46">
        <f t="shared" si="10"/>
        <v>-3.3002338451409985E-3</v>
      </c>
      <c r="E200">
        <v>14111.08</v>
      </c>
      <c r="F200">
        <v>7.7718999999999996</v>
      </c>
      <c r="G200" s="14">
        <f t="shared" si="9"/>
        <v>1815.6538298228234</v>
      </c>
      <c r="H200">
        <f t="shared" si="11"/>
        <v>-1.8695188110294358E-2</v>
      </c>
      <c r="I200"/>
      <c r="K200" s="38"/>
    </row>
    <row r="201" spans="1:11" x14ac:dyDescent="0.3">
      <c r="A201" s="16">
        <v>199</v>
      </c>
      <c r="B201" s="3">
        <v>45596</v>
      </c>
      <c r="C201" s="40">
        <v>5705.45</v>
      </c>
      <c r="D201" s="46">
        <f t="shared" si="10"/>
        <v>-1.8614747655095742E-2</v>
      </c>
      <c r="E201">
        <v>14040.5</v>
      </c>
      <c r="F201">
        <v>7.7728999999999999</v>
      </c>
      <c r="G201" s="14">
        <f t="shared" si="9"/>
        <v>1806.3399760707073</v>
      </c>
      <c r="H201">
        <f t="shared" si="11"/>
        <v>-5.1297519379147616E-3</v>
      </c>
      <c r="I201"/>
      <c r="K201" s="38"/>
    </row>
    <row r="202" spans="1:11" x14ac:dyDescent="0.3">
      <c r="A202" s="16">
        <v>200</v>
      </c>
      <c r="B202" s="3">
        <v>45597</v>
      </c>
      <c r="C202" s="40">
        <v>5728.8</v>
      </c>
      <c r="D202" s="46">
        <f t="shared" si="10"/>
        <v>4.0925781489629109E-3</v>
      </c>
      <c r="E202">
        <v>14212.21</v>
      </c>
      <c r="F202">
        <v>7.7769000000000004</v>
      </c>
      <c r="G202" s="14">
        <f t="shared" si="9"/>
        <v>1827.4903882009539</v>
      </c>
      <c r="H202">
        <f t="shared" si="11"/>
        <v>1.1708987461072962E-2</v>
      </c>
      <c r="I202"/>
      <c r="K202" s="38"/>
    </row>
    <row r="203" spans="1:11" x14ac:dyDescent="0.3">
      <c r="A203" s="16">
        <v>201</v>
      </c>
      <c r="B203" s="3">
        <v>45600</v>
      </c>
      <c r="C203" s="40">
        <v>5712.69</v>
      </c>
      <c r="D203" s="46">
        <f t="shared" si="10"/>
        <v>-2.8121072475911779E-3</v>
      </c>
      <c r="E203">
        <v>14284.2</v>
      </c>
      <c r="F203">
        <v>7.7721</v>
      </c>
      <c r="G203" s="14">
        <f t="shared" si="9"/>
        <v>1837.8816536071333</v>
      </c>
      <c r="H203">
        <f t="shared" si="11"/>
        <v>5.6860848479804993E-3</v>
      </c>
      <c r="I203"/>
      <c r="K203" s="38"/>
    </row>
    <row r="204" spans="1:11" x14ac:dyDescent="0.3">
      <c r="A204" s="16">
        <v>202</v>
      </c>
      <c r="B204" s="3">
        <v>45601</v>
      </c>
      <c r="C204" s="40">
        <v>5782.76</v>
      </c>
      <c r="D204" s="46">
        <f t="shared" si="10"/>
        <v>1.2265675189796932E-2</v>
      </c>
      <c r="E204">
        <v>14646.72</v>
      </c>
      <c r="F204">
        <v>7.7727000000000004</v>
      </c>
      <c r="G204" s="14">
        <f t="shared" si="9"/>
        <v>1884.37994519279</v>
      </c>
      <c r="H204">
        <f t="shared" si="11"/>
        <v>2.5299937835712383E-2</v>
      </c>
      <c r="I204"/>
      <c r="K204" s="38"/>
    </row>
    <row r="205" spans="1:11" x14ac:dyDescent="0.3">
      <c r="A205" s="16">
        <v>203</v>
      </c>
      <c r="B205" s="3">
        <v>45602</v>
      </c>
      <c r="C205" s="40">
        <v>5929.04</v>
      </c>
      <c r="D205" s="46">
        <f t="shared" si="10"/>
        <v>2.5295879476236127E-2</v>
      </c>
      <c r="E205">
        <v>14279.46</v>
      </c>
      <c r="F205">
        <v>7.7759</v>
      </c>
      <c r="G205" s="14">
        <f t="shared" si="9"/>
        <v>1836.3739245617869</v>
      </c>
      <c r="H205">
        <f t="shared" si="11"/>
        <v>-2.5475764987560212E-2</v>
      </c>
      <c r="I205"/>
      <c r="K205" s="38"/>
    </row>
    <row r="206" spans="1:11" x14ac:dyDescent="0.3">
      <c r="A206" s="16">
        <v>204</v>
      </c>
      <c r="B206" s="3">
        <v>45603</v>
      </c>
      <c r="C206" s="40">
        <v>5973.1</v>
      </c>
      <c r="D206" s="46">
        <f t="shared" si="10"/>
        <v>7.4312198939459062E-3</v>
      </c>
      <c r="E206">
        <v>14625.97</v>
      </c>
      <c r="F206">
        <v>7.7706</v>
      </c>
      <c r="G206" s="14">
        <f t="shared" si="9"/>
        <v>1882.21887627725</v>
      </c>
      <c r="H206">
        <f t="shared" si="11"/>
        <v>2.4964932850700894E-2</v>
      </c>
      <c r="I206"/>
      <c r="K206" s="38"/>
    </row>
    <row r="207" spans="1:11" x14ac:dyDescent="0.3">
      <c r="A207" s="16">
        <v>205</v>
      </c>
      <c r="B207" s="3">
        <v>45604</v>
      </c>
      <c r="C207" s="40">
        <v>5995.54</v>
      </c>
      <c r="D207" s="46">
        <f t="shared" si="10"/>
        <v>3.7568431802581514E-3</v>
      </c>
      <c r="E207">
        <v>14426.1</v>
      </c>
      <c r="F207">
        <v>7.7744999999999997</v>
      </c>
      <c r="G207" s="14">
        <f t="shared" si="9"/>
        <v>1855.5662743584799</v>
      </c>
      <c r="H207">
        <f t="shared" si="11"/>
        <v>-1.4160203287029605E-2</v>
      </c>
      <c r="I207"/>
      <c r="K207" s="38"/>
    </row>
    <row r="208" spans="1:11" x14ac:dyDescent="0.3">
      <c r="A208" s="16">
        <v>206</v>
      </c>
      <c r="B208" s="3">
        <v>45607</v>
      </c>
      <c r="C208" s="40">
        <v>6001.35</v>
      </c>
      <c r="D208" s="46">
        <f t="shared" si="10"/>
        <v>9.6905366322297404E-4</v>
      </c>
      <c r="E208">
        <v>14195.34</v>
      </c>
      <c r="F208">
        <v>7.7755999999999998</v>
      </c>
      <c r="G208" s="14">
        <f t="shared" si="9"/>
        <v>1825.6263182262462</v>
      </c>
      <c r="H208">
        <f t="shared" si="11"/>
        <v>-1.6135212493331608E-2</v>
      </c>
      <c r="I208"/>
      <c r="K208" s="38"/>
    </row>
    <row r="209" spans="1:11" x14ac:dyDescent="0.3">
      <c r="A209" s="16">
        <v>207</v>
      </c>
      <c r="B209" s="3">
        <v>45608</v>
      </c>
      <c r="C209" s="40">
        <v>5983.99</v>
      </c>
      <c r="D209" s="46">
        <f t="shared" si="10"/>
        <v>-2.8926824797754769E-3</v>
      </c>
      <c r="E209">
        <v>13761.95</v>
      </c>
      <c r="F209">
        <v>7.7778999999999998</v>
      </c>
      <c r="G209" s="14">
        <f t="shared" si="9"/>
        <v>1769.365767109374</v>
      </c>
      <c r="H209">
        <f t="shared" si="11"/>
        <v>-3.0817123173122352E-2</v>
      </c>
      <c r="I209"/>
      <c r="K209" s="38"/>
    </row>
    <row r="210" spans="1:11" x14ac:dyDescent="0.3">
      <c r="A210" s="16">
        <v>208</v>
      </c>
      <c r="B210" s="3">
        <v>45609</v>
      </c>
      <c r="C210" s="40">
        <v>5985.38</v>
      </c>
      <c r="D210" s="46">
        <f t="shared" si="10"/>
        <v>2.3228648443596178E-4</v>
      </c>
      <c r="E210">
        <v>13750.41</v>
      </c>
      <c r="F210">
        <v>7.7805999999999997</v>
      </c>
      <c r="G210" s="14">
        <f t="shared" si="9"/>
        <v>1767.2685911112253</v>
      </c>
      <c r="H210">
        <f t="shared" si="11"/>
        <v>-1.1852699069536676E-3</v>
      </c>
      <c r="I210"/>
      <c r="K210" s="38"/>
    </row>
    <row r="211" spans="1:11" x14ac:dyDescent="0.3">
      <c r="A211" s="16">
        <v>209</v>
      </c>
      <c r="B211" s="3">
        <v>45610</v>
      </c>
      <c r="C211" s="40">
        <v>5949.17</v>
      </c>
      <c r="D211" s="46">
        <f t="shared" si="10"/>
        <v>-6.0497412027306074E-3</v>
      </c>
      <c r="E211">
        <v>13446.07</v>
      </c>
      <c r="F211">
        <v>7.7812000000000001</v>
      </c>
      <c r="G211" s="14">
        <f t="shared" si="9"/>
        <v>1728.0200997275483</v>
      </c>
      <c r="H211">
        <f t="shared" si="11"/>
        <v>-2.2208560476366657E-2</v>
      </c>
      <c r="I211"/>
      <c r="K211" s="38"/>
    </row>
    <row r="212" spans="1:11" x14ac:dyDescent="0.3">
      <c r="A212" s="16">
        <v>210</v>
      </c>
      <c r="B212" s="3">
        <v>45611</v>
      </c>
      <c r="C212" s="40">
        <v>5870.62</v>
      </c>
      <c r="D212" s="46">
        <f t="shared" si="10"/>
        <v>-1.3203522508181798E-2</v>
      </c>
      <c r="E212">
        <v>13478.38</v>
      </c>
      <c r="F212">
        <v>7.7850999999999999</v>
      </c>
      <c r="G212" s="14">
        <f t="shared" si="9"/>
        <v>1731.304671744743</v>
      </c>
      <c r="H212">
        <f t="shared" si="11"/>
        <v>1.9007718820589492E-3</v>
      </c>
      <c r="I212"/>
      <c r="K212" s="38"/>
    </row>
    <row r="213" spans="1:11" x14ac:dyDescent="0.3">
      <c r="A213" s="16">
        <v>211</v>
      </c>
      <c r="B213" s="3">
        <v>45614</v>
      </c>
      <c r="C213" s="40">
        <v>5893.62</v>
      </c>
      <c r="D213" s="46">
        <f t="shared" si="10"/>
        <v>3.9178144727474162E-3</v>
      </c>
      <c r="E213">
        <v>13639.48</v>
      </c>
      <c r="F213">
        <v>7.7835999999999999</v>
      </c>
      <c r="G213" s="14">
        <f t="shared" si="9"/>
        <v>1752.3356801480036</v>
      </c>
      <c r="H213">
        <f t="shared" si="11"/>
        <v>1.2147491280126044E-2</v>
      </c>
      <c r="I213"/>
      <c r="K213" s="38"/>
    </row>
    <row r="214" spans="1:11" x14ac:dyDescent="0.3">
      <c r="A214" s="16">
        <v>212</v>
      </c>
      <c r="B214" s="3">
        <v>45615</v>
      </c>
      <c r="C214" s="40">
        <v>5916.98</v>
      </c>
      <c r="D214" s="46">
        <f t="shared" si="10"/>
        <v>3.9636081050355987E-3</v>
      </c>
      <c r="E214">
        <v>13700.66</v>
      </c>
      <c r="F214">
        <v>7.7831000000000001</v>
      </c>
      <c r="G214" s="14">
        <f t="shared" si="9"/>
        <v>1760.3088743559763</v>
      </c>
      <c r="H214">
        <f t="shared" si="11"/>
        <v>4.5500381566727643E-3</v>
      </c>
      <c r="I214"/>
      <c r="K214" s="38"/>
    </row>
    <row r="215" spans="1:11" x14ac:dyDescent="0.3">
      <c r="A215" s="16">
        <v>213</v>
      </c>
      <c r="B215" s="3">
        <v>45616</v>
      </c>
      <c r="C215" s="40">
        <v>5917.11</v>
      </c>
      <c r="D215" s="46">
        <f t="shared" si="10"/>
        <v>2.1970667468895755E-5</v>
      </c>
      <c r="E215">
        <v>13720.73</v>
      </c>
      <c r="F215">
        <v>7.7835000000000001</v>
      </c>
      <c r="G215" s="14">
        <f t="shared" si="9"/>
        <v>1762.7969422496305</v>
      </c>
      <c r="H215">
        <f t="shared" si="11"/>
        <v>1.4134268876901945E-3</v>
      </c>
      <c r="I215"/>
      <c r="K215" s="38"/>
    </row>
    <row r="216" spans="1:11" x14ac:dyDescent="0.3">
      <c r="A216" s="16">
        <v>214</v>
      </c>
      <c r="B216" s="3">
        <v>45617</v>
      </c>
      <c r="C216" s="40">
        <v>5948.71</v>
      </c>
      <c r="D216" s="46">
        <f t="shared" si="10"/>
        <v>5.3404449131417842E-3</v>
      </c>
      <c r="E216">
        <v>13618.9</v>
      </c>
      <c r="F216">
        <v>7.7826000000000004</v>
      </c>
      <c r="G216" s="14">
        <f t="shared" si="9"/>
        <v>1749.9164803536091</v>
      </c>
      <c r="H216">
        <f t="shared" si="11"/>
        <v>-7.3068324475216162E-3</v>
      </c>
      <c r="I216"/>
      <c r="K216" s="38"/>
    </row>
    <row r="217" spans="1:11" x14ac:dyDescent="0.3">
      <c r="A217" s="16">
        <v>215</v>
      </c>
      <c r="B217" s="3">
        <v>45618</v>
      </c>
      <c r="C217" s="40">
        <v>5969.34</v>
      </c>
      <c r="D217" s="46">
        <f t="shared" si="10"/>
        <v>3.4679787718681077E-3</v>
      </c>
      <c r="E217">
        <v>13316.61</v>
      </c>
      <c r="F217">
        <v>7.7840999999999996</v>
      </c>
      <c r="G217" s="14">
        <f t="shared" si="9"/>
        <v>1710.7449801518483</v>
      </c>
      <c r="H217">
        <f t="shared" si="11"/>
        <v>-2.2384782726227792E-2</v>
      </c>
      <c r="I217"/>
      <c r="K217" s="38"/>
    </row>
    <row r="218" spans="1:11" x14ac:dyDescent="0.3">
      <c r="A218" s="16">
        <v>216</v>
      </c>
      <c r="B218" s="3">
        <v>45621</v>
      </c>
      <c r="C218" s="40">
        <v>5987.37</v>
      </c>
      <c r="D218" s="46">
        <f t="shared" si="10"/>
        <v>3.0204344198856425E-3</v>
      </c>
      <c r="E218">
        <v>13245.05</v>
      </c>
      <c r="F218">
        <v>7.7821999999999996</v>
      </c>
      <c r="G218" s="14">
        <f t="shared" si="9"/>
        <v>1701.9673100151629</v>
      </c>
      <c r="H218">
        <f t="shared" si="11"/>
        <v>-5.1309050960396396E-3</v>
      </c>
      <c r="I218"/>
      <c r="K218" s="38"/>
    </row>
    <row r="219" spans="1:11" x14ac:dyDescent="0.3">
      <c r="A219" s="16">
        <v>217</v>
      </c>
      <c r="B219" s="3">
        <v>45622</v>
      </c>
      <c r="C219" s="40">
        <v>6021.63</v>
      </c>
      <c r="D219" s="46">
        <f t="shared" si="10"/>
        <v>5.722044904524104E-3</v>
      </c>
      <c r="E219">
        <v>13240.89</v>
      </c>
      <c r="F219">
        <v>7.7828999999999997</v>
      </c>
      <c r="G219" s="14">
        <f t="shared" si="9"/>
        <v>1701.2797286358555</v>
      </c>
      <c r="H219">
        <f t="shared" si="11"/>
        <v>-4.0399211856856354E-4</v>
      </c>
      <c r="I219"/>
      <c r="K219" s="38"/>
    </row>
    <row r="220" spans="1:11" x14ac:dyDescent="0.3">
      <c r="A220" s="16">
        <v>218</v>
      </c>
      <c r="B220" s="3">
        <v>45623</v>
      </c>
      <c r="C220" s="40">
        <v>5998.74</v>
      </c>
      <c r="D220" s="46">
        <f t="shared" si="10"/>
        <v>-3.8012963267421984E-3</v>
      </c>
      <c r="E220">
        <v>13590.09</v>
      </c>
      <c r="F220">
        <v>7.7816000000000001</v>
      </c>
      <c r="G220" s="14">
        <f t="shared" si="9"/>
        <v>1746.4390356738975</v>
      </c>
      <c r="H220">
        <f t="shared" si="11"/>
        <v>2.6544316186176031E-2</v>
      </c>
      <c r="I220"/>
      <c r="K220" s="38"/>
    </row>
    <row r="221" spans="1:11" x14ac:dyDescent="0.3">
      <c r="A221" s="16">
        <v>219</v>
      </c>
      <c r="B221" s="3">
        <v>45625</v>
      </c>
      <c r="C221" s="40">
        <v>6032.38</v>
      </c>
      <c r="D221" s="46">
        <f t="shared" si="10"/>
        <v>5.6078443139726541E-3</v>
      </c>
      <c r="E221">
        <v>13420.64</v>
      </c>
      <c r="F221">
        <v>7.7817999999999996</v>
      </c>
      <c r="G221" s="14">
        <f t="shared" si="9"/>
        <v>1724.6189827546327</v>
      </c>
      <c r="H221">
        <f t="shared" si="11"/>
        <v>-1.2494024969411544E-2</v>
      </c>
      <c r="I221"/>
      <c r="K221" s="38"/>
    </row>
    <row r="222" spans="1:11" x14ac:dyDescent="0.3">
      <c r="A222" s="16">
        <v>220</v>
      </c>
      <c r="B222" s="3">
        <v>45628</v>
      </c>
      <c r="C222" s="40">
        <v>6047.15</v>
      </c>
      <c r="D222" s="46">
        <f t="shared" si="10"/>
        <v>2.4484531809998433E-3</v>
      </c>
      <c r="E222">
        <v>13547.14</v>
      </c>
      <c r="F222">
        <v>7.7815000000000003</v>
      </c>
      <c r="G222" s="14">
        <f t="shared" si="9"/>
        <v>1740.9419777677824</v>
      </c>
      <c r="H222">
        <f t="shared" si="11"/>
        <v>9.4646963627165182E-3</v>
      </c>
      <c r="I222"/>
      <c r="K222" s="38"/>
    </row>
    <row r="223" spans="1:11" x14ac:dyDescent="0.3">
      <c r="A223" s="16">
        <v>221</v>
      </c>
      <c r="B223" s="3">
        <v>45629</v>
      </c>
      <c r="C223" s="40">
        <v>6049.88</v>
      </c>
      <c r="D223" s="46">
        <f t="shared" si="10"/>
        <v>4.5145233705135013E-4</v>
      </c>
      <c r="E223">
        <v>13675.72</v>
      </c>
      <c r="F223">
        <v>7.7827000000000002</v>
      </c>
      <c r="G223" s="14">
        <f t="shared" si="9"/>
        <v>1757.1948038598428</v>
      </c>
      <c r="H223">
        <f t="shared" si="11"/>
        <v>9.3356506417860974E-3</v>
      </c>
      <c r="I223"/>
      <c r="K223" s="38"/>
    </row>
    <row r="224" spans="1:11" x14ac:dyDescent="0.3">
      <c r="A224" s="16">
        <v>222</v>
      </c>
      <c r="B224" s="3">
        <v>45630</v>
      </c>
      <c r="C224" s="40">
        <v>6086.49</v>
      </c>
      <c r="D224" s="46">
        <f t="shared" si="10"/>
        <v>6.0513596963907013E-3</v>
      </c>
      <c r="E224">
        <v>13694.47</v>
      </c>
      <c r="F224">
        <v>7.7843999999999998</v>
      </c>
      <c r="G224" s="14">
        <f t="shared" si="9"/>
        <v>1759.2197214942705</v>
      </c>
      <c r="H224">
        <f t="shared" si="11"/>
        <v>1.1523580823138424E-3</v>
      </c>
      <c r="I224"/>
      <c r="K224" s="38"/>
    </row>
    <row r="225" spans="1:11" x14ac:dyDescent="0.3">
      <c r="A225" s="16">
        <v>223</v>
      </c>
      <c r="B225" s="3">
        <v>45631</v>
      </c>
      <c r="C225" s="40">
        <v>6075.11</v>
      </c>
      <c r="D225" s="46">
        <f t="shared" si="10"/>
        <v>-1.8697147288503357E-3</v>
      </c>
      <c r="E225">
        <v>13556.07</v>
      </c>
      <c r="F225">
        <v>7.7820999999999998</v>
      </c>
      <c r="G225" s="14">
        <f t="shared" si="9"/>
        <v>1741.9552562932884</v>
      </c>
      <c r="H225">
        <f t="shared" si="11"/>
        <v>-9.8137060368547191E-3</v>
      </c>
      <c r="I225"/>
      <c r="K225" s="38"/>
    </row>
    <row r="226" spans="1:11" x14ac:dyDescent="0.3">
      <c r="A226" s="16">
        <v>224</v>
      </c>
      <c r="B226" s="3">
        <v>45632</v>
      </c>
      <c r="C226" s="40">
        <v>6090.27</v>
      </c>
      <c r="D226" s="46">
        <f t="shared" si="10"/>
        <v>2.4954280663231909E-3</v>
      </c>
      <c r="E226">
        <v>13826.07</v>
      </c>
      <c r="F226">
        <v>7.7790999999999997</v>
      </c>
      <c r="G226" s="14">
        <f t="shared" si="9"/>
        <v>1777.3354244064224</v>
      </c>
      <c r="H226">
        <f t="shared" si="11"/>
        <v>2.0310606707786283E-2</v>
      </c>
      <c r="I226"/>
      <c r="K226" s="38"/>
    </row>
    <row r="227" spans="1:11" x14ac:dyDescent="0.3">
      <c r="A227" s="16">
        <v>225</v>
      </c>
      <c r="B227" s="3">
        <v>45635</v>
      </c>
      <c r="C227" s="40">
        <v>6052.85</v>
      </c>
      <c r="D227" s="46">
        <f t="shared" si="10"/>
        <v>-6.1442267748391677E-3</v>
      </c>
      <c r="E227">
        <v>14293.47</v>
      </c>
      <c r="F227">
        <v>7.7742000000000004</v>
      </c>
      <c r="G227" s="14">
        <f t="shared" si="9"/>
        <v>1838.5776028401635</v>
      </c>
      <c r="H227">
        <f t="shared" si="11"/>
        <v>3.4457299164109223E-2</v>
      </c>
      <c r="I227"/>
      <c r="K227" s="38"/>
    </row>
    <row r="228" spans="1:11" x14ac:dyDescent="0.3">
      <c r="A228" s="16">
        <v>226</v>
      </c>
      <c r="B228" s="3">
        <v>45636</v>
      </c>
      <c r="C228" s="40">
        <v>6034.91</v>
      </c>
      <c r="D228" s="46">
        <f t="shared" si="10"/>
        <v>-2.9638930421207466E-3</v>
      </c>
      <c r="E228">
        <v>14173.75</v>
      </c>
      <c r="F228">
        <v>7.7740999999999998</v>
      </c>
      <c r="G228" s="14">
        <f t="shared" si="9"/>
        <v>1823.2013995189154</v>
      </c>
      <c r="H228">
        <f t="shared" si="11"/>
        <v>-8.3630972646983048E-3</v>
      </c>
      <c r="I228"/>
      <c r="K228" s="38"/>
    </row>
    <row r="229" spans="1:11" x14ac:dyDescent="0.3">
      <c r="A229" s="16">
        <v>227</v>
      </c>
      <c r="B229" s="3">
        <v>45637</v>
      </c>
      <c r="C229" s="40">
        <v>6084.19</v>
      </c>
      <c r="D229" s="46">
        <f t="shared" si="10"/>
        <v>8.1658218598121834E-3</v>
      </c>
      <c r="E229">
        <v>14023.43</v>
      </c>
      <c r="F229">
        <v>7.7746000000000004</v>
      </c>
      <c r="G229" s="14">
        <f t="shared" si="9"/>
        <v>1803.7493890360918</v>
      </c>
      <c r="H229">
        <f t="shared" si="11"/>
        <v>-1.0669150697205754E-2</v>
      </c>
      <c r="I229"/>
      <c r="K229" s="38"/>
    </row>
    <row r="230" spans="1:11" x14ac:dyDescent="0.3">
      <c r="A230" s="16">
        <v>228</v>
      </c>
      <c r="B230" s="3">
        <v>45638</v>
      </c>
      <c r="C230" s="40">
        <v>6051.25</v>
      </c>
      <c r="D230" s="46">
        <f t="shared" si="10"/>
        <v>-5.4140321061636465E-3</v>
      </c>
      <c r="E230">
        <v>14237.58</v>
      </c>
      <c r="F230">
        <v>7.7746000000000004</v>
      </c>
      <c r="G230" s="14">
        <f t="shared" si="9"/>
        <v>1831.29421449335</v>
      </c>
      <c r="H230">
        <f t="shared" si="11"/>
        <v>1.5270871676900777E-2</v>
      </c>
      <c r="I230"/>
      <c r="K230" s="38"/>
    </row>
    <row r="231" spans="1:11" x14ac:dyDescent="0.3">
      <c r="A231" s="16">
        <v>229</v>
      </c>
      <c r="B231" s="3">
        <v>45639</v>
      </c>
      <c r="C231" s="40">
        <v>6051.09</v>
      </c>
      <c r="D231" s="46">
        <f t="shared" si="10"/>
        <v>-2.6440818012729572E-5</v>
      </c>
      <c r="E231">
        <v>13898.96</v>
      </c>
      <c r="F231">
        <v>7.7751000000000001</v>
      </c>
      <c r="G231" s="14">
        <f t="shared" si="9"/>
        <v>1787.6245964682125</v>
      </c>
      <c r="H231">
        <f t="shared" si="11"/>
        <v>-2.3846314633402144E-2</v>
      </c>
      <c r="I231"/>
      <c r="K231" s="38"/>
    </row>
    <row r="232" spans="1:11" x14ac:dyDescent="0.3">
      <c r="A232" s="16">
        <v>230</v>
      </c>
      <c r="B232" s="3">
        <v>45642</v>
      </c>
      <c r="C232" s="40">
        <v>6074.08</v>
      </c>
      <c r="D232" s="46">
        <f t="shared" si="10"/>
        <v>3.7993154952247199E-3</v>
      </c>
      <c r="E232">
        <v>13782.78</v>
      </c>
      <c r="F232">
        <v>7.774</v>
      </c>
      <c r="G232" s="14">
        <f t="shared" si="9"/>
        <v>1772.9328531000772</v>
      </c>
      <c r="H232">
        <f t="shared" si="11"/>
        <v>-8.2185842582170876E-3</v>
      </c>
      <c r="I232"/>
      <c r="K232" s="38"/>
    </row>
    <row r="233" spans="1:11" x14ac:dyDescent="0.3">
      <c r="A233" s="16">
        <v>231</v>
      </c>
      <c r="B233" s="3">
        <v>45643</v>
      </c>
      <c r="C233" s="40">
        <v>6050.61</v>
      </c>
      <c r="D233" s="46">
        <f t="shared" si="10"/>
        <v>-3.8639596449174807E-3</v>
      </c>
      <c r="E233">
        <v>13713.16</v>
      </c>
      <c r="F233">
        <v>7.7691999999999997</v>
      </c>
      <c r="G233" s="14">
        <f t="shared" si="9"/>
        <v>1765.0671883849045</v>
      </c>
      <c r="H233">
        <f t="shared" si="11"/>
        <v>-4.4365271371779036E-3</v>
      </c>
      <c r="I233"/>
      <c r="K233" s="38"/>
    </row>
    <row r="234" spans="1:11" x14ac:dyDescent="0.3">
      <c r="A234" s="16">
        <v>232</v>
      </c>
      <c r="B234" s="3">
        <v>45644</v>
      </c>
      <c r="C234" s="40">
        <v>5872.16</v>
      </c>
      <c r="D234" s="46">
        <f t="shared" si="10"/>
        <v>-2.9492894104891865E-2</v>
      </c>
      <c r="E234">
        <v>13859.21</v>
      </c>
      <c r="F234">
        <v>7.7704000000000004</v>
      </c>
      <c r="G234" s="14">
        <f t="shared" si="9"/>
        <v>1783.5902913620919</v>
      </c>
      <c r="H234">
        <f t="shared" si="11"/>
        <v>1.0494276421362025E-2</v>
      </c>
      <c r="I234"/>
      <c r="K234" s="38"/>
    </row>
    <row r="235" spans="1:11" x14ac:dyDescent="0.3">
      <c r="A235" s="16">
        <v>233</v>
      </c>
      <c r="B235" s="3">
        <v>45645</v>
      </c>
      <c r="C235" s="40">
        <v>5867.08</v>
      </c>
      <c r="D235" s="46">
        <f t="shared" si="10"/>
        <v>-8.6509904362275236E-4</v>
      </c>
      <c r="E235">
        <v>13769.75</v>
      </c>
      <c r="F235">
        <v>7.7694999999999999</v>
      </c>
      <c r="G235" s="14">
        <f t="shared" si="9"/>
        <v>1772.2826436707639</v>
      </c>
      <c r="H235">
        <f t="shared" si="11"/>
        <v>-6.3398235267879688E-3</v>
      </c>
      <c r="I235"/>
      <c r="K235" s="38"/>
    </row>
    <row r="236" spans="1:11" x14ac:dyDescent="0.3">
      <c r="A236" s="16">
        <v>234</v>
      </c>
      <c r="B236" s="3">
        <v>45646</v>
      </c>
      <c r="C236" s="40">
        <v>5930.85</v>
      </c>
      <c r="D236" s="46">
        <f t="shared" si="10"/>
        <v>1.0869120584686254E-2</v>
      </c>
      <c r="E236">
        <v>13706.68</v>
      </c>
      <c r="F236">
        <v>7.7750000000000004</v>
      </c>
      <c r="G236" s="14">
        <f t="shared" si="9"/>
        <v>1762.9170418006431</v>
      </c>
      <c r="H236">
        <f t="shared" si="11"/>
        <v>-5.2844854648707029E-3</v>
      </c>
      <c r="I236"/>
      <c r="K236" s="38"/>
    </row>
    <row r="237" spans="1:11" x14ac:dyDescent="0.3">
      <c r="A237" s="16">
        <v>235</v>
      </c>
      <c r="B237" s="3">
        <v>45649</v>
      </c>
      <c r="C237" s="40">
        <v>5974.07</v>
      </c>
      <c r="D237" s="46">
        <f t="shared" si="10"/>
        <v>7.2873196927927264E-3</v>
      </c>
      <c r="E237">
        <v>13843.91</v>
      </c>
      <c r="F237">
        <v>7.7698999999999998</v>
      </c>
      <c r="G237" s="14">
        <f t="shared" si="9"/>
        <v>1781.7359296773448</v>
      </c>
      <c r="H237">
        <f t="shared" si="11"/>
        <v>1.0674857313467179E-2</v>
      </c>
      <c r="I237"/>
      <c r="K237" s="38"/>
    </row>
    <row r="238" spans="1:11" x14ac:dyDescent="0.3">
      <c r="A238" s="16">
        <v>236</v>
      </c>
      <c r="B238" s="3">
        <v>45650</v>
      </c>
      <c r="C238" s="40">
        <v>6040.04</v>
      </c>
      <c r="D238" s="46">
        <f t="shared" si="10"/>
        <v>1.1042722967758989E-2</v>
      </c>
      <c r="E238">
        <v>14006.29</v>
      </c>
      <c r="F238">
        <v>7.7672999999999996</v>
      </c>
      <c r="G238" s="14">
        <f t="shared" si="9"/>
        <v>1803.2379333874064</v>
      </c>
      <c r="H238">
        <f t="shared" si="11"/>
        <v>1.2068008144144882E-2</v>
      </c>
      <c r="I238"/>
      <c r="K238" s="38"/>
    </row>
    <row r="239" spans="1:11" x14ac:dyDescent="0.3">
      <c r="A239" s="16">
        <v>237</v>
      </c>
      <c r="B239" s="3">
        <v>45652</v>
      </c>
      <c r="C239" s="40">
        <v>6037.59</v>
      </c>
      <c r="D239" s="46">
        <f t="shared" si="10"/>
        <v>-4.0562645280495246E-4</v>
      </c>
      <c r="E239">
        <v>13972.25</v>
      </c>
      <c r="F239">
        <v>7.7618</v>
      </c>
      <c r="G239" s="14">
        <f t="shared" si="9"/>
        <v>1800.1301244556676</v>
      </c>
      <c r="H239">
        <f t="shared" si="11"/>
        <v>-1.7234602678865008E-3</v>
      </c>
      <c r="I239"/>
      <c r="K239" s="38"/>
    </row>
    <row r="240" spans="1:11" x14ac:dyDescent="0.3">
      <c r="A240" s="16">
        <v>238</v>
      </c>
      <c r="B240" s="3">
        <v>45653</v>
      </c>
      <c r="C240" s="40">
        <v>5970.84</v>
      </c>
      <c r="D240" s="46">
        <f t="shared" si="10"/>
        <v>-1.1055735815118317E-2</v>
      </c>
      <c r="E240">
        <v>13906.51</v>
      </c>
      <c r="F240">
        <v>7.7663000000000002</v>
      </c>
      <c r="G240" s="14">
        <f t="shared" si="9"/>
        <v>1790.6223040572731</v>
      </c>
      <c r="H240">
        <f t="shared" si="11"/>
        <v>-5.2817406193174099E-3</v>
      </c>
      <c r="I240"/>
      <c r="K240" s="38"/>
    </row>
    <row r="241" spans="1:11" x14ac:dyDescent="0.3">
      <c r="A241" s="16">
        <v>239</v>
      </c>
      <c r="B241" s="3">
        <v>45656</v>
      </c>
      <c r="C241" s="40">
        <v>5906.94</v>
      </c>
      <c r="D241" s="46">
        <f t="shared" si="10"/>
        <v>-1.0702011777237508E-2</v>
      </c>
      <c r="E241">
        <v>13913.11</v>
      </c>
      <c r="F241">
        <v>7.7676999999999996</v>
      </c>
      <c r="G241" s="14">
        <f t="shared" si="9"/>
        <v>1791.1492462376252</v>
      </c>
      <c r="H241">
        <f t="shared" si="11"/>
        <v>2.94278798582015E-4</v>
      </c>
      <c r="I241"/>
      <c r="K241" s="38"/>
    </row>
    <row r="242" spans="1:11" x14ac:dyDescent="0.3">
      <c r="A242" s="16">
        <v>240</v>
      </c>
      <c r="B242" s="3">
        <v>45657</v>
      </c>
      <c r="C242" s="40">
        <v>5881.63</v>
      </c>
      <c r="D242" s="46">
        <f t="shared" si="10"/>
        <v>-4.2847904329482711E-3</v>
      </c>
      <c r="E242">
        <v>13550.66</v>
      </c>
      <c r="F242">
        <v>7.7766999999999999</v>
      </c>
      <c r="G242" s="14">
        <f t="shared" si="9"/>
        <v>1742.4691707279437</v>
      </c>
      <c r="H242">
        <f t="shared" si="11"/>
        <v>-2.7178123549411515E-2</v>
      </c>
      <c r="I242"/>
      <c r="K242" s="38"/>
    </row>
    <row r="243" spans="1:11" x14ac:dyDescent="0.3">
      <c r="A243" s="16">
        <v>241</v>
      </c>
      <c r="B243" s="3">
        <v>45659</v>
      </c>
      <c r="C243" s="40">
        <v>5868.55</v>
      </c>
      <c r="D243" s="46">
        <f t="shared" si="10"/>
        <v>-2.2238733140302891E-3</v>
      </c>
      <c r="E243">
        <v>13667.84</v>
      </c>
      <c r="F243">
        <v>7.7778999999999998</v>
      </c>
      <c r="G243" s="14">
        <f t="shared" si="9"/>
        <v>1757.2661001041413</v>
      </c>
      <c r="H243">
        <f t="shared" si="11"/>
        <v>8.4919318084784035E-3</v>
      </c>
      <c r="I243"/>
      <c r="K243" s="38"/>
    </row>
    <row r="244" spans="1:11" x14ac:dyDescent="0.3">
      <c r="A244" s="16">
        <v>242</v>
      </c>
      <c r="B244" s="3">
        <v>45660</v>
      </c>
      <c r="C244" s="40">
        <v>5942.47</v>
      </c>
      <c r="D244" s="46">
        <f t="shared" si="10"/>
        <v>1.2595956411720177E-2</v>
      </c>
      <c r="E244">
        <v>13612.58</v>
      </c>
      <c r="F244">
        <v>7.7752999999999997</v>
      </c>
      <c r="G244" s="14">
        <f t="shared" si="9"/>
        <v>1750.7465949866887</v>
      </c>
      <c r="H244">
        <f t="shared" si="11"/>
        <v>-3.7100272503215459E-3</v>
      </c>
      <c r="I244"/>
      <c r="K244" s="38"/>
    </row>
    <row r="245" spans="1:11" x14ac:dyDescent="0.3">
      <c r="A245" s="16">
        <v>243</v>
      </c>
      <c r="B245" s="3">
        <v>45663</v>
      </c>
      <c r="C245" s="40">
        <v>5975.38</v>
      </c>
      <c r="D245" s="46">
        <f t="shared" si="10"/>
        <v>5.5381011599553442E-3</v>
      </c>
      <c r="E245">
        <v>13421.89</v>
      </c>
      <c r="F245">
        <v>7.7766999999999999</v>
      </c>
      <c r="G245" s="14">
        <f t="shared" si="9"/>
        <v>1725.9107333444776</v>
      </c>
      <c r="H245">
        <f t="shared" si="11"/>
        <v>-1.418586888206963E-2</v>
      </c>
      <c r="I245"/>
      <c r="K245" s="38"/>
    </row>
    <row r="246" spans="1:11" x14ac:dyDescent="0.3">
      <c r="A246" s="16">
        <v>244</v>
      </c>
      <c r="B246" s="3">
        <v>45664</v>
      </c>
      <c r="C246" s="40">
        <v>5909.03</v>
      </c>
      <c r="D246" s="46">
        <f t="shared" si="10"/>
        <v>-1.1103896321238205E-2</v>
      </c>
      <c r="E246">
        <v>13329.01</v>
      </c>
      <c r="F246">
        <v>7.7781000000000002</v>
      </c>
      <c r="G246" s="14">
        <f t="shared" si="9"/>
        <v>1713.6588627042593</v>
      </c>
      <c r="H246">
        <f t="shared" si="11"/>
        <v>-7.0987858198648945E-3</v>
      </c>
      <c r="I246"/>
      <c r="K246" s="38"/>
    </row>
    <row r="247" spans="1:11" x14ac:dyDescent="0.3">
      <c r="A247" s="16">
        <v>245</v>
      </c>
      <c r="B247" s="3">
        <v>45665</v>
      </c>
      <c r="C247" s="40">
        <v>5918.25</v>
      </c>
      <c r="D247" s="46">
        <f t="shared" si="10"/>
        <v>1.5603237756451893E-3</v>
      </c>
      <c r="E247">
        <v>13297.66</v>
      </c>
      <c r="F247">
        <v>7.7824999999999998</v>
      </c>
      <c r="G247" s="14">
        <f t="shared" si="9"/>
        <v>1708.6617410857693</v>
      </c>
      <c r="H247">
        <f t="shared" si="11"/>
        <v>-2.9160539050369083E-3</v>
      </c>
      <c r="I247"/>
      <c r="K247" s="38"/>
    </row>
    <row r="248" spans="1:11" x14ac:dyDescent="0.3">
      <c r="A248" s="16">
        <v>246</v>
      </c>
      <c r="B248" s="3">
        <v>45667</v>
      </c>
      <c r="C248" s="40">
        <v>5827.04</v>
      </c>
      <c r="D248" s="46">
        <f t="shared" si="10"/>
        <v>-1.5411650403413191E-2</v>
      </c>
      <c r="E248">
        <v>13136.56</v>
      </c>
      <c r="F248">
        <v>7.7873000000000001</v>
      </c>
      <c r="G248" s="14">
        <f t="shared" si="9"/>
        <v>1686.9210124176543</v>
      </c>
      <c r="H248">
        <f t="shared" si="11"/>
        <v>-1.2723834182826521E-2</v>
      </c>
      <c r="I248"/>
      <c r="K248" s="38"/>
    </row>
    <row r="249" spans="1:11" x14ac:dyDescent="0.3">
      <c r="A249" s="16">
        <v>247</v>
      </c>
      <c r="B249" s="3">
        <v>45670</v>
      </c>
      <c r="C249" s="40">
        <v>5836.22</v>
      </c>
      <c r="D249" s="46">
        <f t="shared" si="10"/>
        <v>1.5754139322881056E-3</v>
      </c>
      <c r="E249">
        <v>13010.54</v>
      </c>
      <c r="F249">
        <v>7.7858000000000001</v>
      </c>
      <c r="G249" s="14">
        <f t="shared" si="9"/>
        <v>1671.0601351177786</v>
      </c>
      <c r="H249">
        <f t="shared" si="11"/>
        <v>-9.4022643521075588E-3</v>
      </c>
      <c r="I249"/>
      <c r="K249" s="38"/>
    </row>
    <row r="250" spans="1:11" x14ac:dyDescent="0.3">
      <c r="A250" s="16">
        <v>248</v>
      </c>
      <c r="B250" s="3">
        <v>45671</v>
      </c>
      <c r="C250" s="40">
        <v>5842.91</v>
      </c>
      <c r="D250" s="46">
        <f t="shared" si="10"/>
        <v>1.146289893115604E-3</v>
      </c>
      <c r="E250">
        <v>13314.03</v>
      </c>
      <c r="F250">
        <v>7.7866</v>
      </c>
      <c r="G250" s="14">
        <f t="shared" si="9"/>
        <v>1709.8643824005344</v>
      </c>
      <c r="H250">
        <f t="shared" si="11"/>
        <v>2.3221335047898028E-2</v>
      </c>
      <c r="I250"/>
      <c r="K250" s="38"/>
    </row>
    <row r="251" spans="1:11" x14ac:dyDescent="0.3">
      <c r="A251" s="16">
        <v>249</v>
      </c>
      <c r="B251" s="3">
        <v>45672</v>
      </c>
      <c r="C251" s="40">
        <v>5949.91</v>
      </c>
      <c r="D251" s="46">
        <f t="shared" si="10"/>
        <v>1.8312792769356268E-2</v>
      </c>
      <c r="E251">
        <v>13374.25</v>
      </c>
      <c r="F251">
        <v>7.7866999999999997</v>
      </c>
      <c r="G251" s="14">
        <f t="shared" si="9"/>
        <v>1717.5761233898827</v>
      </c>
      <c r="H251">
        <f t="shared" si="11"/>
        <v>4.510147745472981E-3</v>
      </c>
      <c r="I251"/>
      <c r="K251" s="38"/>
    </row>
    <row r="252" spans="1:11" x14ac:dyDescent="0.3">
      <c r="A252" s="16">
        <v>250</v>
      </c>
      <c r="B252" s="3">
        <v>45673</v>
      </c>
      <c r="C252" s="40">
        <v>5937.34</v>
      </c>
      <c r="D252" s="46">
        <f t="shared" si="10"/>
        <v>-2.112636997870454E-3</v>
      </c>
      <c r="E252">
        <v>13538.15</v>
      </c>
      <c r="F252">
        <v>7.7869999999999999</v>
      </c>
      <c r="G252" s="14">
        <f t="shared" si="9"/>
        <v>1738.5578528316425</v>
      </c>
      <c r="H252">
        <f t="shared" si="11"/>
        <v>1.2215894920773129E-2</v>
      </c>
      <c r="I252"/>
      <c r="K252" s="38"/>
    </row>
    <row r="253" spans="1:11" x14ac:dyDescent="0.3">
      <c r="A253" s="16">
        <v>251</v>
      </c>
      <c r="B253" s="3">
        <v>45674</v>
      </c>
      <c r="C253" s="40">
        <v>5996.66</v>
      </c>
      <c r="D253" s="46">
        <f t="shared" si="10"/>
        <v>9.9910060734267336E-3</v>
      </c>
      <c r="E253">
        <v>13545.54</v>
      </c>
      <c r="F253">
        <v>7.7858999999999998</v>
      </c>
      <c r="G253" s="14">
        <f t="shared" si="9"/>
        <v>1739.7526297537859</v>
      </c>
      <c r="H253">
        <f t="shared" si="11"/>
        <v>6.8722298783296942E-4</v>
      </c>
      <c r="I253"/>
      <c r="K253" s="38"/>
    </row>
    <row r="254" spans="1:11" x14ac:dyDescent="0.3">
      <c r="A254" s="16">
        <v>252</v>
      </c>
      <c r="B254" s="3">
        <v>45678</v>
      </c>
      <c r="C254" s="40">
        <v>6049.24</v>
      </c>
      <c r="D254" s="46">
        <f t="shared" si="10"/>
        <v>8.7682143059637507E-3</v>
      </c>
      <c r="E254">
        <v>14001.53</v>
      </c>
      <c r="F254">
        <v>7.7850999999999999</v>
      </c>
      <c r="G254" s="14">
        <f t="shared" si="9"/>
        <v>1798.5035516563694</v>
      </c>
      <c r="H254">
        <f t="shared" si="11"/>
        <v>3.3769698575422336E-2</v>
      </c>
      <c r="I254"/>
      <c r="K254" s="38"/>
    </row>
    <row r="255" spans="1:11" x14ac:dyDescent="0.3">
      <c r="A255" s="16">
        <v>253</v>
      </c>
      <c r="B255" s="3">
        <v>45679</v>
      </c>
      <c r="C255" s="40">
        <v>6086.37</v>
      </c>
      <c r="D255" s="46">
        <f t="shared" si="10"/>
        <v>6.1379611323075789E-3</v>
      </c>
      <c r="E255">
        <v>13714.54</v>
      </c>
      <c r="F255">
        <v>7.7884000000000002</v>
      </c>
      <c r="G255" s="14">
        <f t="shared" si="9"/>
        <v>1760.8931231061579</v>
      </c>
      <c r="H255">
        <f t="shared" si="11"/>
        <v>-2.0912067988730576E-2</v>
      </c>
      <c r="I255"/>
      <c r="K255" s="38"/>
    </row>
    <row r="256" spans="1:11" x14ac:dyDescent="0.3">
      <c r="A256" s="16">
        <v>254</v>
      </c>
      <c r="B256" s="3">
        <v>45680</v>
      </c>
      <c r="C256" s="40">
        <v>6118.71</v>
      </c>
      <c r="D256" s="46">
        <f t="shared" si="10"/>
        <v>5.31351199483443E-3</v>
      </c>
      <c r="E256">
        <v>13741.64</v>
      </c>
      <c r="F256">
        <v>7.7892000000000001</v>
      </c>
      <c r="G256" s="14">
        <f t="shared" si="9"/>
        <v>1764.1914445642683</v>
      </c>
      <c r="H256">
        <f t="shared" si="11"/>
        <v>1.8730957687496108E-3</v>
      </c>
      <c r="I256"/>
      <c r="K256" s="38"/>
    </row>
    <row r="257" spans="1:11" x14ac:dyDescent="0.3">
      <c r="A257" s="16">
        <v>255</v>
      </c>
      <c r="B257" s="3">
        <v>45681</v>
      </c>
      <c r="C257" s="40">
        <v>6101.24</v>
      </c>
      <c r="D257" s="46">
        <f t="shared" si="10"/>
        <v>-2.8551769899211044E-3</v>
      </c>
      <c r="E257">
        <v>14023.32</v>
      </c>
      <c r="F257">
        <v>7.7869000000000002</v>
      </c>
      <c r="G257" s="14">
        <f t="shared" si="9"/>
        <v>1800.8861035842247</v>
      </c>
      <c r="H257">
        <f t="shared" si="11"/>
        <v>2.0799703531619418E-2</v>
      </c>
      <c r="I257"/>
      <c r="K257" s="38"/>
    </row>
    <row r="258" spans="1:11" x14ac:dyDescent="0.3">
      <c r="A258" s="16">
        <v>256</v>
      </c>
      <c r="B258" s="3">
        <v>45684</v>
      </c>
      <c r="C258" s="40">
        <v>6012.28</v>
      </c>
      <c r="D258" s="46">
        <f t="shared" si="10"/>
        <v>-1.45806426234667E-2</v>
      </c>
      <c r="E258">
        <v>14195.05</v>
      </c>
      <c r="F258">
        <v>7.7881</v>
      </c>
      <c r="G258" s="14">
        <f t="shared" si="9"/>
        <v>1822.6589283650696</v>
      </c>
      <c r="H258">
        <f t="shared" si="11"/>
        <v>1.2090062074170849E-2</v>
      </c>
      <c r="I258"/>
      <c r="K258" s="38"/>
    </row>
    <row r="259" spans="1:11" x14ac:dyDescent="0.3">
      <c r="A259" s="16">
        <v>257</v>
      </c>
      <c r="B259" s="3">
        <v>45691</v>
      </c>
      <c r="C259" s="40">
        <v>5994.57</v>
      </c>
      <c r="D259" s="46">
        <f t="shared" si="10"/>
        <v>-2.945637927707967E-3</v>
      </c>
      <c r="E259">
        <v>14150.16</v>
      </c>
      <c r="F259">
        <v>7.7927</v>
      </c>
      <c r="G259" s="14">
        <f t="shared" ref="G259:G317" si="12">E259/F259</f>
        <v>1815.8225005453821</v>
      </c>
      <c r="H259">
        <f t="shared" si="11"/>
        <v>-3.7507992928879075E-3</v>
      </c>
      <c r="I259"/>
      <c r="K259" s="38"/>
    </row>
    <row r="260" spans="1:11" x14ac:dyDescent="0.3">
      <c r="A260" s="16">
        <v>258</v>
      </c>
      <c r="B260" s="3">
        <v>45692</v>
      </c>
      <c r="C260" s="40">
        <v>6037.88</v>
      </c>
      <c r="D260" s="46">
        <f t="shared" ref="D260:D317" si="13">$C260/$C259-1</f>
        <v>7.2248718423506553E-3</v>
      </c>
      <c r="E260">
        <v>14618.07</v>
      </c>
      <c r="F260">
        <v>7.7869000000000002</v>
      </c>
      <c r="G260" s="14">
        <f t="shared" si="12"/>
        <v>1877.2643799201221</v>
      </c>
      <c r="H260">
        <f t="shared" ref="H260:H317" si="14">$G260/$G259-1</f>
        <v>3.3836941306920609E-2</v>
      </c>
      <c r="I260"/>
      <c r="K260" s="38"/>
    </row>
    <row r="261" spans="1:11" x14ac:dyDescent="0.3">
      <c r="A261" s="16">
        <v>259</v>
      </c>
      <c r="B261" s="3">
        <v>45693</v>
      </c>
      <c r="C261" s="40">
        <v>6061.48</v>
      </c>
      <c r="D261" s="46">
        <f t="shared" si="13"/>
        <v>3.9086566808217427E-3</v>
      </c>
      <c r="E261">
        <v>14468.58</v>
      </c>
      <c r="F261">
        <v>7.7864000000000004</v>
      </c>
      <c r="G261" s="14">
        <f t="shared" si="12"/>
        <v>1858.1860680160278</v>
      </c>
      <c r="H261">
        <f t="shared" si="14"/>
        <v>-1.0162826348895093E-2</v>
      </c>
      <c r="I261"/>
      <c r="K261" s="38"/>
    </row>
    <row r="262" spans="1:11" x14ac:dyDescent="0.3">
      <c r="A262" s="16">
        <v>260</v>
      </c>
      <c r="B262" s="3">
        <v>45694</v>
      </c>
      <c r="C262" s="40">
        <v>6083.57</v>
      </c>
      <c r="D262" s="46">
        <f t="shared" si="13"/>
        <v>3.64432448840879E-3</v>
      </c>
      <c r="E262">
        <v>14660.71</v>
      </c>
      <c r="F262">
        <v>7.7862999999999998</v>
      </c>
      <c r="G262" s="14">
        <f t="shared" si="12"/>
        <v>1882.8853242233154</v>
      </c>
      <c r="H262">
        <f t="shared" si="14"/>
        <v>1.3292132920606159E-2</v>
      </c>
      <c r="I262"/>
      <c r="K262" s="38"/>
    </row>
    <row r="263" spans="1:11" x14ac:dyDescent="0.3">
      <c r="A263" s="16">
        <v>261</v>
      </c>
      <c r="B263" s="3">
        <v>45695</v>
      </c>
      <c r="C263" s="40">
        <v>6025.99</v>
      </c>
      <c r="D263" s="46">
        <f t="shared" si="13"/>
        <v>-9.464837258386094E-3</v>
      </c>
      <c r="E263">
        <v>14823.48</v>
      </c>
      <c r="F263">
        <v>7.7906000000000004</v>
      </c>
      <c r="G263" s="14">
        <f t="shared" si="12"/>
        <v>1902.7391985212948</v>
      </c>
      <c r="H263">
        <f t="shared" si="14"/>
        <v>1.0544388467295107E-2</v>
      </c>
      <c r="I263"/>
      <c r="K263" s="38"/>
    </row>
    <row r="264" spans="1:11" x14ac:dyDescent="0.3">
      <c r="A264" s="16">
        <v>262</v>
      </c>
      <c r="B264" s="3">
        <v>45698</v>
      </c>
      <c r="C264" s="40">
        <v>6066.44</v>
      </c>
      <c r="D264" s="46">
        <f t="shared" si="13"/>
        <v>6.712589964470439E-3</v>
      </c>
      <c r="E264">
        <v>15146.56</v>
      </c>
      <c r="F264">
        <v>7.7885999999999997</v>
      </c>
      <c r="G264" s="14">
        <f t="shared" si="12"/>
        <v>1944.7089335695759</v>
      </c>
      <c r="H264">
        <f t="shared" si="14"/>
        <v>2.2057534254246614E-2</v>
      </c>
      <c r="I264"/>
      <c r="K264" s="38"/>
    </row>
    <row r="265" spans="1:11" x14ac:dyDescent="0.3">
      <c r="A265" s="16">
        <v>263</v>
      </c>
      <c r="B265" s="3">
        <v>45699</v>
      </c>
      <c r="C265" s="40">
        <v>6068.5</v>
      </c>
      <c r="D265" s="46">
        <f t="shared" si="13"/>
        <v>3.3957312690802155E-4</v>
      </c>
      <c r="E265">
        <v>14957.39</v>
      </c>
      <c r="F265">
        <v>7.7916999999999996</v>
      </c>
      <c r="G265" s="14">
        <f t="shared" si="12"/>
        <v>1919.6568143023987</v>
      </c>
      <c r="H265">
        <f t="shared" si="14"/>
        <v>-1.2882194777186107E-2</v>
      </c>
      <c r="I265"/>
      <c r="K265" s="38"/>
    </row>
    <row r="266" spans="1:11" x14ac:dyDescent="0.3">
      <c r="A266" s="16">
        <v>264</v>
      </c>
      <c r="B266" s="3">
        <v>45700</v>
      </c>
      <c r="C266" s="40">
        <v>6051.97</v>
      </c>
      <c r="D266" s="46">
        <f t="shared" si="13"/>
        <v>-2.7239021174919609E-3</v>
      </c>
      <c r="E266">
        <v>15324.69</v>
      </c>
      <c r="F266">
        <v>7.7896999999999998</v>
      </c>
      <c r="G266" s="14">
        <f t="shared" si="12"/>
        <v>1967.3016932616149</v>
      </c>
      <c r="H266">
        <f t="shared" si="14"/>
        <v>2.4819477421296421E-2</v>
      </c>
      <c r="I266"/>
      <c r="K266" s="38"/>
    </row>
    <row r="267" spans="1:11" x14ac:dyDescent="0.3">
      <c r="A267" s="16">
        <v>265</v>
      </c>
      <c r="B267" s="3">
        <v>45701</v>
      </c>
      <c r="C267" s="40">
        <v>6115.07</v>
      </c>
      <c r="D267" s="46">
        <f t="shared" si="13"/>
        <v>1.0426357037460532E-2</v>
      </c>
      <c r="E267">
        <v>15263.15</v>
      </c>
      <c r="F267">
        <v>7.7881999999999998</v>
      </c>
      <c r="G267" s="14">
        <f t="shared" si="12"/>
        <v>1959.7788962789862</v>
      </c>
      <c r="H267">
        <f t="shared" si="14"/>
        <v>-3.8239162851309016E-3</v>
      </c>
      <c r="I267"/>
      <c r="K267" s="38"/>
    </row>
    <row r="268" spans="1:11" x14ac:dyDescent="0.3">
      <c r="A268" s="16">
        <v>266</v>
      </c>
      <c r="B268" s="3">
        <v>45702</v>
      </c>
      <c r="C268" s="40">
        <v>6114.63</v>
      </c>
      <c r="D268" s="46">
        <f t="shared" si="13"/>
        <v>-7.195338728738232E-5</v>
      </c>
      <c r="E268">
        <v>15937.76</v>
      </c>
      <c r="F268">
        <v>7.7842000000000002</v>
      </c>
      <c r="G268" s="14">
        <f t="shared" si="12"/>
        <v>2047.4499627450475</v>
      </c>
      <c r="H268">
        <f t="shared" si="14"/>
        <v>4.4735182439468835E-2</v>
      </c>
      <c r="I268"/>
      <c r="K268" s="38"/>
    </row>
    <row r="269" spans="1:11" x14ac:dyDescent="0.3">
      <c r="A269" s="16">
        <v>267</v>
      </c>
      <c r="B269" s="3">
        <v>45706</v>
      </c>
      <c r="C269" s="40">
        <v>6129.58</v>
      </c>
      <c r="D269" s="46">
        <f t="shared" si="13"/>
        <v>2.4449557863681637E-3</v>
      </c>
      <c r="E269">
        <v>16133.11</v>
      </c>
      <c r="F269">
        <v>7.7744999999999997</v>
      </c>
      <c r="G269" s="14">
        <f t="shared" si="12"/>
        <v>2075.1315197118788</v>
      </c>
      <c r="H269">
        <f t="shared" si="14"/>
        <v>1.3520016347416952E-2</v>
      </c>
      <c r="I269"/>
      <c r="K269" s="38"/>
    </row>
    <row r="270" spans="1:11" x14ac:dyDescent="0.3">
      <c r="A270" s="16">
        <v>268</v>
      </c>
      <c r="B270" s="3">
        <v>45707</v>
      </c>
      <c r="C270" s="40">
        <v>6144.15</v>
      </c>
      <c r="D270" s="46">
        <f t="shared" si="13"/>
        <v>2.3769980977488281E-3</v>
      </c>
      <c r="E270">
        <v>15998.39</v>
      </c>
      <c r="F270">
        <v>7.7770000000000001</v>
      </c>
      <c r="G270" s="14">
        <f t="shared" si="12"/>
        <v>2057.1415712999869</v>
      </c>
      <c r="H270">
        <f t="shared" si="14"/>
        <v>-8.6693051698186752E-3</v>
      </c>
      <c r="I270"/>
      <c r="K270" s="38"/>
    </row>
    <row r="271" spans="1:11" x14ac:dyDescent="0.3">
      <c r="A271" s="16">
        <v>269</v>
      </c>
      <c r="B271" s="3">
        <v>45708</v>
      </c>
      <c r="C271" s="40">
        <v>6117.52</v>
      </c>
      <c r="D271" s="46">
        <f t="shared" si="13"/>
        <v>-4.3342040803039383E-3</v>
      </c>
      <c r="E271">
        <v>15717.75</v>
      </c>
      <c r="F271">
        <v>7.7763</v>
      </c>
      <c r="G271" s="14">
        <f t="shared" si="12"/>
        <v>2021.2376065738204</v>
      </c>
      <c r="H271">
        <f t="shared" si="14"/>
        <v>-1.7453327095751314E-2</v>
      </c>
      <c r="I271"/>
      <c r="K271" s="38"/>
    </row>
    <row r="272" spans="1:11" x14ac:dyDescent="0.3">
      <c r="A272" s="16">
        <v>270</v>
      </c>
      <c r="B272" s="3">
        <v>45709</v>
      </c>
      <c r="C272" s="40">
        <v>6013.13</v>
      </c>
      <c r="D272" s="46">
        <f t="shared" si="13"/>
        <v>-1.70641044083224E-2</v>
      </c>
      <c r="E272">
        <v>16371.95</v>
      </c>
      <c r="F272">
        <v>7.7694999999999999</v>
      </c>
      <c r="G272" s="14">
        <f t="shared" si="12"/>
        <v>2107.2076710213014</v>
      </c>
      <c r="H272">
        <f t="shared" si="14"/>
        <v>4.253337864280482E-2</v>
      </c>
      <c r="I272"/>
      <c r="K272" s="38"/>
    </row>
    <row r="273" spans="1:11" x14ac:dyDescent="0.3">
      <c r="A273" s="16">
        <v>271</v>
      </c>
      <c r="B273" s="3">
        <v>45712</v>
      </c>
      <c r="C273" s="40">
        <v>5983.25</v>
      </c>
      <c r="D273" s="46">
        <f t="shared" si="13"/>
        <v>-4.9691258961639395E-3</v>
      </c>
      <c r="E273">
        <v>16297.38</v>
      </c>
      <c r="F273">
        <v>7.7748999999999997</v>
      </c>
      <c r="G273" s="14">
        <f t="shared" si="12"/>
        <v>2096.1530051833465</v>
      </c>
      <c r="H273">
        <f t="shared" si="14"/>
        <v>-5.2461207264858922E-3</v>
      </c>
      <c r="I273"/>
      <c r="K273" s="38"/>
    </row>
    <row r="274" spans="1:11" x14ac:dyDescent="0.3">
      <c r="A274" s="16">
        <v>272</v>
      </c>
      <c r="B274" s="3">
        <v>45713</v>
      </c>
      <c r="C274" s="40">
        <v>5955.25</v>
      </c>
      <c r="D274" s="46">
        <f t="shared" si="13"/>
        <v>-4.6797309154723576E-3</v>
      </c>
      <c r="E274">
        <v>15957.64</v>
      </c>
      <c r="F274">
        <v>7.7736999999999998</v>
      </c>
      <c r="G274" s="14">
        <f t="shared" si="12"/>
        <v>2052.7728108879942</v>
      </c>
      <c r="H274">
        <f t="shared" si="14"/>
        <v>-2.0695146865749914E-2</v>
      </c>
      <c r="I274"/>
      <c r="K274" s="38"/>
    </row>
    <row r="275" spans="1:11" x14ac:dyDescent="0.3">
      <c r="A275" s="16">
        <v>273</v>
      </c>
      <c r="B275" s="3">
        <v>45714</v>
      </c>
      <c r="C275" s="40">
        <v>5956.06</v>
      </c>
      <c r="D275" s="46">
        <f t="shared" si="13"/>
        <v>1.3601444103938931E-4</v>
      </c>
      <c r="E275">
        <v>16583.64</v>
      </c>
      <c r="F275">
        <v>7.7739000000000003</v>
      </c>
      <c r="G275" s="14">
        <f t="shared" si="12"/>
        <v>2133.2458611507736</v>
      </c>
      <c r="H275">
        <f t="shared" si="14"/>
        <v>3.9202122044849297E-2</v>
      </c>
      <c r="I275"/>
      <c r="K275" s="38"/>
    </row>
    <row r="276" spans="1:11" x14ac:dyDescent="0.3">
      <c r="A276" s="16">
        <v>274</v>
      </c>
      <c r="B276" s="3">
        <v>45715</v>
      </c>
      <c r="C276" s="40">
        <v>5861.57</v>
      </c>
      <c r="D276" s="46">
        <f t="shared" si="13"/>
        <v>-1.586451446090209E-2</v>
      </c>
      <c r="E276">
        <v>16424.330000000002</v>
      </c>
      <c r="F276">
        <v>7.7774000000000001</v>
      </c>
      <c r="G276" s="14">
        <f t="shared" si="12"/>
        <v>2111.8021446755988</v>
      </c>
      <c r="H276">
        <f t="shared" si="14"/>
        <v>-1.0052154262053525E-2</v>
      </c>
      <c r="I276"/>
      <c r="K276" s="38"/>
    </row>
    <row r="277" spans="1:11" x14ac:dyDescent="0.3">
      <c r="A277" s="16">
        <v>275</v>
      </c>
      <c r="B277" s="3">
        <v>45716</v>
      </c>
      <c r="C277" s="40">
        <v>5954.5</v>
      </c>
      <c r="D277" s="46">
        <f t="shared" si="13"/>
        <v>1.5854114170776867E-2</v>
      </c>
      <c r="E277">
        <v>15821.3</v>
      </c>
      <c r="F277">
        <v>7.7782999999999998</v>
      </c>
      <c r="G277" s="14">
        <f t="shared" si="12"/>
        <v>2034.0305722330072</v>
      </c>
      <c r="H277">
        <f t="shared" si="14"/>
        <v>-3.6827111213365238E-2</v>
      </c>
      <c r="I277"/>
      <c r="K277" s="38"/>
    </row>
    <row r="278" spans="1:11" x14ac:dyDescent="0.3">
      <c r="A278" s="16">
        <v>276</v>
      </c>
      <c r="B278" s="3">
        <v>45719</v>
      </c>
      <c r="C278" s="40">
        <v>5849.72</v>
      </c>
      <c r="D278" s="46">
        <f t="shared" si="13"/>
        <v>-1.7596775547904953E-2</v>
      </c>
      <c r="E278">
        <v>15852.09</v>
      </c>
      <c r="F278">
        <v>7.7767999999999997</v>
      </c>
      <c r="G278" s="14">
        <f t="shared" si="12"/>
        <v>2038.382110893941</v>
      </c>
      <c r="H278">
        <f t="shared" si="14"/>
        <v>2.1393673823479897E-3</v>
      </c>
      <c r="I278"/>
      <c r="K278" s="38"/>
    </row>
    <row r="279" spans="1:11" x14ac:dyDescent="0.3">
      <c r="A279" s="16">
        <v>277</v>
      </c>
      <c r="B279" s="3">
        <v>45720</v>
      </c>
      <c r="C279" s="40">
        <v>5778.15</v>
      </c>
      <c r="D279" s="46">
        <f t="shared" si="13"/>
        <v>-1.2234773630190987E-2</v>
      </c>
      <c r="E279">
        <v>15769.74</v>
      </c>
      <c r="F279">
        <v>7.7713999999999999</v>
      </c>
      <c r="G279" s="14">
        <f t="shared" si="12"/>
        <v>2029.2019455953882</v>
      </c>
      <c r="H279">
        <f t="shared" si="14"/>
        <v>-4.5036527987025732E-3</v>
      </c>
      <c r="I279"/>
      <c r="K279" s="38"/>
    </row>
    <row r="280" spans="1:11" x14ac:dyDescent="0.3">
      <c r="A280" s="16">
        <v>278</v>
      </c>
      <c r="B280" s="3">
        <v>45721</v>
      </c>
      <c r="C280" s="40">
        <v>5842.63</v>
      </c>
      <c r="D280" s="46">
        <f t="shared" si="13"/>
        <v>1.1159281084776262E-2</v>
      </c>
      <c r="E280">
        <v>16242.87</v>
      </c>
      <c r="F280">
        <v>7.7706999999999997</v>
      </c>
      <c r="G280" s="14">
        <f t="shared" si="12"/>
        <v>2090.271146743537</v>
      </c>
      <c r="H280">
        <f t="shared" si="14"/>
        <v>3.0095181645526381E-2</v>
      </c>
      <c r="I280"/>
      <c r="K280" s="38"/>
    </row>
    <row r="281" spans="1:11" x14ac:dyDescent="0.3">
      <c r="A281" s="16">
        <v>279</v>
      </c>
      <c r="B281" s="3">
        <v>45722</v>
      </c>
      <c r="C281" s="40">
        <v>5738.52</v>
      </c>
      <c r="D281" s="46">
        <f t="shared" si="13"/>
        <v>-1.7819030128555013E-2</v>
      </c>
      <c r="E281">
        <v>16887.28</v>
      </c>
      <c r="F281">
        <v>7.7718999999999996</v>
      </c>
      <c r="G281" s="14">
        <f t="shared" si="12"/>
        <v>2172.8637784840257</v>
      </c>
      <c r="H281">
        <f t="shared" si="14"/>
        <v>3.9512879402828105E-2</v>
      </c>
      <c r="I281"/>
      <c r="K281" s="38"/>
    </row>
    <row r="282" spans="1:11" x14ac:dyDescent="0.3">
      <c r="A282" s="16">
        <v>280</v>
      </c>
      <c r="B282" s="3">
        <v>45723</v>
      </c>
      <c r="C282" s="40">
        <v>5770.2</v>
      </c>
      <c r="D282" s="46">
        <f t="shared" si="13"/>
        <v>5.5205871897281433E-3</v>
      </c>
      <c r="E282">
        <v>16824.46</v>
      </c>
      <c r="F282">
        <v>7.7701000000000002</v>
      </c>
      <c r="G282" s="14">
        <f t="shared" si="12"/>
        <v>2165.2823000990975</v>
      </c>
      <c r="H282">
        <f t="shared" si="14"/>
        <v>-3.4891641436527454E-3</v>
      </c>
      <c r="I282"/>
      <c r="K282" s="38"/>
    </row>
    <row r="283" spans="1:11" x14ac:dyDescent="0.3">
      <c r="A283" s="16">
        <v>281</v>
      </c>
      <c r="B283" s="3">
        <v>45726</v>
      </c>
      <c r="C283" s="40">
        <v>5614.56</v>
      </c>
      <c r="D283" s="46">
        <f t="shared" si="13"/>
        <v>-2.6973068524487775E-2</v>
      </c>
      <c r="E283">
        <v>16466.88</v>
      </c>
      <c r="F283">
        <v>7.7683999999999997</v>
      </c>
      <c r="G283" s="14">
        <f t="shared" si="12"/>
        <v>2119.7260697183465</v>
      </c>
      <c r="H283">
        <f t="shared" si="14"/>
        <v>-2.1039395361365121E-2</v>
      </c>
      <c r="I283"/>
      <c r="K283" s="38"/>
    </row>
    <row r="284" spans="1:11" x14ac:dyDescent="0.3">
      <c r="A284" s="16">
        <v>282</v>
      </c>
      <c r="B284" s="3">
        <v>45727</v>
      </c>
      <c r="C284" s="40">
        <v>5572.07</v>
      </c>
      <c r="D284" s="46">
        <f t="shared" si="13"/>
        <v>-7.5678236584880709E-3</v>
      </c>
      <c r="E284">
        <v>16491.5</v>
      </c>
      <c r="F284">
        <v>7.7704000000000004</v>
      </c>
      <c r="G284" s="14">
        <f t="shared" si="12"/>
        <v>2122.3489138268301</v>
      </c>
      <c r="H284">
        <f t="shared" si="14"/>
        <v>1.2373504982330363E-3</v>
      </c>
      <c r="I284"/>
      <c r="K284" s="38"/>
    </row>
    <row r="285" spans="1:11" x14ac:dyDescent="0.3">
      <c r="A285" s="16">
        <v>283</v>
      </c>
      <c r="B285" s="3">
        <v>45728</v>
      </c>
      <c r="C285" s="40">
        <v>5599.3</v>
      </c>
      <c r="D285" s="46">
        <f t="shared" si="13"/>
        <v>4.8868732804865367E-3</v>
      </c>
      <c r="E285">
        <v>16404.169999999998</v>
      </c>
      <c r="F285">
        <v>7.7690999999999999</v>
      </c>
      <c r="G285" s="14">
        <f t="shared" si="12"/>
        <v>2111.4633612644961</v>
      </c>
      <c r="H285">
        <f t="shared" si="14"/>
        <v>-5.1290117715404593E-3</v>
      </c>
      <c r="I285"/>
      <c r="K285" s="38"/>
    </row>
    <row r="286" spans="1:11" x14ac:dyDescent="0.3">
      <c r="A286" s="16">
        <v>284</v>
      </c>
      <c r="B286" s="3">
        <v>45729</v>
      </c>
      <c r="C286" s="40">
        <v>5521.52</v>
      </c>
      <c r="D286" s="46">
        <f t="shared" si="13"/>
        <v>-1.3891022092047178E-2</v>
      </c>
      <c r="E286">
        <v>16317.89</v>
      </c>
      <c r="F286">
        <v>7.7717000000000001</v>
      </c>
      <c r="G286" s="14">
        <f t="shared" si="12"/>
        <v>2099.6551591028988</v>
      </c>
      <c r="H286">
        <f t="shared" si="14"/>
        <v>-5.5924257925678011E-3</v>
      </c>
      <c r="I286"/>
      <c r="K286" s="38"/>
    </row>
    <row r="287" spans="1:11" x14ac:dyDescent="0.3">
      <c r="A287" s="16">
        <v>285</v>
      </c>
      <c r="B287" s="3">
        <v>45730</v>
      </c>
      <c r="C287" s="40">
        <v>5638.94</v>
      </c>
      <c r="D287" s="46">
        <f t="shared" si="13"/>
        <v>2.1265883307494793E-2</v>
      </c>
      <c r="E287">
        <v>16823.439999999999</v>
      </c>
      <c r="F287">
        <v>7.7728000000000002</v>
      </c>
      <c r="G287" s="14">
        <f t="shared" si="12"/>
        <v>2164.3989296006584</v>
      </c>
      <c r="H287">
        <f t="shared" si="14"/>
        <v>3.0835430388208129E-2</v>
      </c>
      <c r="I287"/>
      <c r="K287" s="38"/>
    </row>
    <row r="288" spans="1:11" x14ac:dyDescent="0.3">
      <c r="A288" s="16">
        <v>286</v>
      </c>
      <c r="B288" s="3">
        <v>45733</v>
      </c>
      <c r="C288" s="40">
        <v>5675.12</v>
      </c>
      <c r="D288" s="46">
        <f t="shared" si="13"/>
        <v>6.4160994796895743E-3</v>
      </c>
      <c r="E288">
        <v>16912.36</v>
      </c>
      <c r="F288">
        <v>7.7694999999999999</v>
      </c>
      <c r="G288" s="14">
        <f t="shared" si="12"/>
        <v>2176.7629834609693</v>
      </c>
      <c r="H288">
        <f t="shared" si="14"/>
        <v>5.7124653367814915E-3</v>
      </c>
      <c r="I288"/>
      <c r="K288" s="38"/>
    </row>
    <row r="289" spans="1:11" x14ac:dyDescent="0.3">
      <c r="A289" s="16">
        <v>287</v>
      </c>
      <c r="B289" s="3">
        <v>45734</v>
      </c>
      <c r="C289" s="40">
        <v>5614.66</v>
      </c>
      <c r="D289" s="46">
        <f t="shared" si="13"/>
        <v>-1.0653519220738983E-2</v>
      </c>
      <c r="E289">
        <v>17451.96</v>
      </c>
      <c r="F289">
        <v>7.7690999999999999</v>
      </c>
      <c r="G289" s="14">
        <f t="shared" si="12"/>
        <v>2246.3296906977644</v>
      </c>
      <c r="H289">
        <f t="shared" si="14"/>
        <v>3.1958788239859981E-2</v>
      </c>
      <c r="I289"/>
      <c r="K289" s="38"/>
    </row>
    <row r="290" spans="1:11" x14ac:dyDescent="0.3">
      <c r="A290" s="16">
        <v>288</v>
      </c>
      <c r="B290" s="3">
        <v>45735</v>
      </c>
      <c r="C290" s="40">
        <v>5675.29</v>
      </c>
      <c r="D290" s="46">
        <f t="shared" si="13"/>
        <v>1.0798516740105457E-2</v>
      </c>
      <c r="E290">
        <v>17415.16</v>
      </c>
      <c r="F290">
        <v>7.7706999999999997</v>
      </c>
      <c r="G290" s="14">
        <f t="shared" si="12"/>
        <v>2241.1314296009368</v>
      </c>
      <c r="H290">
        <f t="shared" si="14"/>
        <v>-2.3141131590584951E-3</v>
      </c>
      <c r="I290"/>
      <c r="K290" s="38"/>
    </row>
    <row r="291" spans="1:11" x14ac:dyDescent="0.3">
      <c r="A291" s="16">
        <v>289</v>
      </c>
      <c r="B291" s="3">
        <v>45736</v>
      </c>
      <c r="C291" s="40">
        <v>5662.89</v>
      </c>
      <c r="D291" s="46">
        <f t="shared" si="13"/>
        <v>-2.1849103746239829E-3</v>
      </c>
      <c r="E291">
        <v>16957.39</v>
      </c>
      <c r="F291">
        <v>7.7725999999999997</v>
      </c>
      <c r="G291" s="14">
        <f t="shared" si="12"/>
        <v>2181.6882381699816</v>
      </c>
      <c r="H291">
        <f t="shared" si="14"/>
        <v>-2.6523741823361036E-2</v>
      </c>
      <c r="I291"/>
      <c r="K291" s="38"/>
    </row>
    <row r="292" spans="1:11" x14ac:dyDescent="0.3">
      <c r="A292" s="16">
        <v>290</v>
      </c>
      <c r="B292" s="3">
        <v>45737</v>
      </c>
      <c r="C292" s="40">
        <v>5667.56</v>
      </c>
      <c r="D292" s="46">
        <f t="shared" si="13"/>
        <v>8.2466726353502828E-4</v>
      </c>
      <c r="E292">
        <v>16551.36</v>
      </c>
      <c r="F292">
        <v>7.7732999999999999</v>
      </c>
      <c r="G292" s="14">
        <f t="shared" si="12"/>
        <v>2129.2578441588516</v>
      </c>
      <c r="H292">
        <f t="shared" si="14"/>
        <v>-2.4032028542771533E-2</v>
      </c>
      <c r="I292"/>
      <c r="K292" s="38"/>
    </row>
    <row r="293" spans="1:11" x14ac:dyDescent="0.3">
      <c r="A293" s="16">
        <v>291</v>
      </c>
      <c r="B293" s="3">
        <v>45740</v>
      </c>
      <c r="C293" s="40">
        <v>5767.57</v>
      </c>
      <c r="D293" s="46">
        <f t="shared" si="13"/>
        <v>1.7646041682840563E-2</v>
      </c>
      <c r="E293">
        <v>16796.41</v>
      </c>
      <c r="F293">
        <v>7.7742000000000004</v>
      </c>
      <c r="G293" s="14">
        <f t="shared" si="12"/>
        <v>2160.5322734172005</v>
      </c>
      <c r="H293">
        <f t="shared" si="14"/>
        <v>1.4687948359163316E-2</v>
      </c>
      <c r="I293"/>
      <c r="K293" s="38"/>
    </row>
    <row r="294" spans="1:11" x14ac:dyDescent="0.3">
      <c r="A294" s="16">
        <v>292</v>
      </c>
      <c r="B294" s="3">
        <v>45741</v>
      </c>
      <c r="C294" s="40">
        <v>5776.65</v>
      </c>
      <c r="D294" s="46">
        <f t="shared" si="13"/>
        <v>1.5743198608773046E-3</v>
      </c>
      <c r="E294">
        <v>16357.06</v>
      </c>
      <c r="F294">
        <v>7.7747000000000002</v>
      </c>
      <c r="G294" s="14">
        <f t="shared" si="12"/>
        <v>2103.8831080298919</v>
      </c>
      <c r="H294">
        <f t="shared" si="14"/>
        <v>-2.6220004248170503E-2</v>
      </c>
      <c r="I294"/>
      <c r="K294" s="38"/>
    </row>
    <row r="295" spans="1:11" x14ac:dyDescent="0.3">
      <c r="A295" s="16">
        <v>293</v>
      </c>
      <c r="B295" s="3">
        <v>45742</v>
      </c>
      <c r="C295" s="40">
        <v>5712.2</v>
      </c>
      <c r="D295" s="46">
        <f t="shared" si="13"/>
        <v>-1.115698545004451E-2</v>
      </c>
      <c r="E295">
        <v>16404.669999999998</v>
      </c>
      <c r="F295">
        <v>7.7760999999999996</v>
      </c>
      <c r="G295" s="14">
        <f t="shared" si="12"/>
        <v>2109.6269338100074</v>
      </c>
      <c r="H295">
        <f t="shared" si="14"/>
        <v>2.7301068952894081E-3</v>
      </c>
      <c r="I295"/>
      <c r="K295" s="38"/>
    </row>
    <row r="296" spans="1:11" x14ac:dyDescent="0.3">
      <c r="A296" s="16">
        <v>294</v>
      </c>
      <c r="B296" s="3">
        <v>45743</v>
      </c>
      <c r="C296" s="40">
        <v>5693.31</v>
      </c>
      <c r="D296" s="46">
        <f t="shared" si="13"/>
        <v>-3.3069570393192693E-3</v>
      </c>
      <c r="E296">
        <v>16438.990000000002</v>
      </c>
      <c r="F296">
        <v>7.7754000000000003</v>
      </c>
      <c r="G296" s="14">
        <f t="shared" si="12"/>
        <v>2114.2307791239036</v>
      </c>
      <c r="H296">
        <f t="shared" si="14"/>
        <v>2.1823030603718152E-3</v>
      </c>
      <c r="I296"/>
      <c r="K296" s="38"/>
    </row>
    <row r="297" spans="1:11" x14ac:dyDescent="0.3">
      <c r="A297" s="16">
        <v>295</v>
      </c>
      <c r="B297" s="3">
        <v>45744</v>
      </c>
      <c r="C297" s="40">
        <v>5580.94</v>
      </c>
      <c r="D297" s="46">
        <f t="shared" si="13"/>
        <v>-1.9737200328104554E-2</v>
      </c>
      <c r="E297">
        <v>16337.11</v>
      </c>
      <c r="F297">
        <v>7.7778</v>
      </c>
      <c r="G297" s="14">
        <f t="shared" si="12"/>
        <v>2100.4795700583713</v>
      </c>
      <c r="H297">
        <f t="shared" si="14"/>
        <v>-6.50411922923122E-3</v>
      </c>
      <c r="I297"/>
      <c r="K297" s="38"/>
    </row>
    <row r="298" spans="1:11" x14ac:dyDescent="0.3">
      <c r="A298" s="16">
        <v>296</v>
      </c>
      <c r="B298" s="3">
        <v>45747</v>
      </c>
      <c r="C298" s="40">
        <v>5611.85</v>
      </c>
      <c r="D298" s="46">
        <f t="shared" si="13"/>
        <v>5.5384935154294546E-3</v>
      </c>
      <c r="E298">
        <v>16113.16</v>
      </c>
      <c r="F298">
        <v>7.7801999999999998</v>
      </c>
      <c r="G298" s="14">
        <f t="shared" si="12"/>
        <v>2071.0470167862009</v>
      </c>
      <c r="H298">
        <f t="shared" si="14"/>
        <v>-1.4012301615174749E-2</v>
      </c>
      <c r="I298"/>
      <c r="K298" s="38"/>
    </row>
    <row r="299" spans="1:11" x14ac:dyDescent="0.3">
      <c r="A299" s="16">
        <v>297</v>
      </c>
      <c r="B299" s="3">
        <v>45748</v>
      </c>
      <c r="C299" s="40">
        <v>5633.07</v>
      </c>
      <c r="D299" s="46">
        <f t="shared" si="13"/>
        <v>3.7812842467277452E-3</v>
      </c>
      <c r="E299">
        <v>16167.84</v>
      </c>
      <c r="F299">
        <v>7.7808999999999999</v>
      </c>
      <c r="G299" s="14">
        <f t="shared" si="12"/>
        <v>2077.8881620378106</v>
      </c>
      <c r="H299">
        <f t="shared" si="14"/>
        <v>3.3032302966378158E-3</v>
      </c>
      <c r="I299"/>
      <c r="K299" s="38"/>
    </row>
    <row r="300" spans="1:11" x14ac:dyDescent="0.3">
      <c r="A300" s="16">
        <v>298</v>
      </c>
      <c r="B300" s="3">
        <v>45749</v>
      </c>
      <c r="C300" s="40">
        <v>5670.97</v>
      </c>
      <c r="D300" s="46">
        <f t="shared" si="13"/>
        <v>6.7281251608803938E-3</v>
      </c>
      <c r="E300">
        <v>16165.51</v>
      </c>
      <c r="F300">
        <v>7.7820999999999998</v>
      </c>
      <c r="G300" s="14">
        <f t="shared" si="12"/>
        <v>2077.2683465902519</v>
      </c>
      <c r="H300">
        <f t="shared" si="14"/>
        <v>-2.9829105284995272E-4</v>
      </c>
      <c r="I300"/>
      <c r="K300" s="38"/>
    </row>
    <row r="301" spans="1:11" x14ac:dyDescent="0.3">
      <c r="A301" s="16">
        <v>299</v>
      </c>
      <c r="B301" s="3">
        <v>45750</v>
      </c>
      <c r="C301" s="40">
        <v>5396.52</v>
      </c>
      <c r="D301" s="46">
        <f t="shared" si="13"/>
        <v>-4.839560075260485E-2</v>
      </c>
      <c r="E301">
        <v>15930.14</v>
      </c>
      <c r="F301">
        <v>7.7779999999999996</v>
      </c>
      <c r="G301" s="14">
        <f t="shared" si="12"/>
        <v>2048.1023399331448</v>
      </c>
      <c r="H301">
        <f t="shared" si="14"/>
        <v>-1.4040557978453716E-2</v>
      </c>
      <c r="I301"/>
      <c r="K301" s="38"/>
    </row>
    <row r="302" spans="1:11" x14ac:dyDescent="0.3">
      <c r="A302" s="16">
        <v>300</v>
      </c>
      <c r="B302" s="3">
        <v>45754</v>
      </c>
      <c r="C302" s="40">
        <v>5062.25</v>
      </c>
      <c r="D302" s="46">
        <f t="shared" si="13"/>
        <v>-6.1941769881331044E-2</v>
      </c>
      <c r="E302">
        <v>13659.96</v>
      </c>
      <c r="F302">
        <v>7.7675999999999998</v>
      </c>
      <c r="G302" s="14">
        <f t="shared" si="12"/>
        <v>1758.5818013285957</v>
      </c>
      <c r="H302">
        <f t="shared" si="14"/>
        <v>-0.14136038661720374</v>
      </c>
      <c r="I302"/>
      <c r="K302" s="38"/>
    </row>
    <row r="303" spans="1:11" x14ac:dyDescent="0.3">
      <c r="A303" s="16">
        <v>301</v>
      </c>
      <c r="B303" s="3">
        <v>45755</v>
      </c>
      <c r="C303" s="40">
        <v>4982.7700000000004</v>
      </c>
      <c r="D303" s="46">
        <f t="shared" si="13"/>
        <v>-1.5700528421156545E-2</v>
      </c>
      <c r="E303">
        <v>14036.73</v>
      </c>
      <c r="F303">
        <v>7.7708000000000004</v>
      </c>
      <c r="G303" s="14">
        <f t="shared" si="12"/>
        <v>1806.3429762701394</v>
      </c>
      <c r="H303">
        <f t="shared" si="14"/>
        <v>2.7158915727127697E-2</v>
      </c>
      <c r="I303"/>
      <c r="K303" s="38"/>
    </row>
    <row r="304" spans="1:11" x14ac:dyDescent="0.3">
      <c r="A304" s="16">
        <v>302</v>
      </c>
      <c r="B304" s="3">
        <v>45756</v>
      </c>
      <c r="C304" s="40">
        <v>5456.9</v>
      </c>
      <c r="D304" s="46">
        <f t="shared" si="13"/>
        <v>9.5153900340573472E-2</v>
      </c>
      <c r="E304">
        <v>14190.02</v>
      </c>
      <c r="F304">
        <v>7.7607999999999997</v>
      </c>
      <c r="G304" s="14">
        <f t="shared" si="12"/>
        <v>1828.4223275950935</v>
      </c>
      <c r="H304">
        <f t="shared" si="14"/>
        <v>1.2223233137344192E-2</v>
      </c>
      <c r="I304"/>
      <c r="K304" s="38"/>
    </row>
    <row r="305" spans="1:11" x14ac:dyDescent="0.3">
      <c r="A305" s="16">
        <v>303</v>
      </c>
      <c r="B305" s="3">
        <v>45757</v>
      </c>
      <c r="C305" s="40">
        <v>5268.05</v>
      </c>
      <c r="D305" s="46">
        <f t="shared" si="13"/>
        <v>-3.4607561069471604E-2</v>
      </c>
      <c r="E305">
        <v>14425.65</v>
      </c>
      <c r="F305">
        <v>7.7586000000000004</v>
      </c>
      <c r="G305" s="14">
        <f t="shared" si="12"/>
        <v>1859.3109581625549</v>
      </c>
      <c r="H305">
        <f t="shared" si="14"/>
        <v>1.689359733868967E-2</v>
      </c>
      <c r="I305"/>
      <c r="K305" s="38"/>
    </row>
    <row r="306" spans="1:11" x14ac:dyDescent="0.3">
      <c r="A306" s="16">
        <v>304</v>
      </c>
      <c r="B306" s="3">
        <v>45758</v>
      </c>
      <c r="C306" s="40">
        <v>5363.36</v>
      </c>
      <c r="D306" s="46">
        <f t="shared" si="13"/>
        <v>1.8092083408471682E-2</v>
      </c>
      <c r="E306">
        <v>14628.25</v>
      </c>
      <c r="F306">
        <v>7.7534000000000001</v>
      </c>
      <c r="G306" s="14">
        <f t="shared" si="12"/>
        <v>1886.6884205638817</v>
      </c>
      <c r="H306">
        <f t="shared" si="14"/>
        <v>1.4724520544095565E-2</v>
      </c>
      <c r="I306"/>
      <c r="K306" s="38"/>
    </row>
    <row r="307" spans="1:11" x14ac:dyDescent="0.3">
      <c r="A307" s="16">
        <v>305</v>
      </c>
      <c r="B307" s="3">
        <v>45761</v>
      </c>
      <c r="C307" s="40">
        <v>5405.97</v>
      </c>
      <c r="D307" s="46">
        <f t="shared" si="13"/>
        <v>7.9446466394201831E-3</v>
      </c>
      <c r="E307">
        <v>14957.94</v>
      </c>
      <c r="F307">
        <v>7.7561</v>
      </c>
      <c r="G307" s="14">
        <f t="shared" si="12"/>
        <v>1928.5388275035134</v>
      </c>
      <c r="H307">
        <f t="shared" si="14"/>
        <v>2.2181938725803985E-2</v>
      </c>
      <c r="I307"/>
      <c r="K307" s="38"/>
    </row>
    <row r="308" spans="1:11" x14ac:dyDescent="0.3">
      <c r="A308" s="16">
        <v>306</v>
      </c>
      <c r="B308" s="3">
        <v>45762</v>
      </c>
      <c r="C308" s="40">
        <v>5396.63</v>
      </c>
      <c r="D308" s="46">
        <f t="shared" si="13"/>
        <v>-1.7277195396940837E-3</v>
      </c>
      <c r="E308">
        <v>15006.48</v>
      </c>
      <c r="F308">
        <v>7.7573999999999996</v>
      </c>
      <c r="G308" s="14">
        <f t="shared" si="12"/>
        <v>1934.4728904014232</v>
      </c>
      <c r="H308">
        <f t="shared" si="14"/>
        <v>3.0769735165723233E-3</v>
      </c>
      <c r="I308"/>
      <c r="K308" s="38"/>
    </row>
    <row r="309" spans="1:11" x14ac:dyDescent="0.3">
      <c r="A309" s="16">
        <v>307</v>
      </c>
      <c r="B309" s="3">
        <v>45763</v>
      </c>
      <c r="C309" s="40">
        <v>5275.7</v>
      </c>
      <c r="D309" s="46">
        <f t="shared" si="13"/>
        <v>-2.2408428964001637E-2</v>
      </c>
      <c r="E309">
        <v>14615.36</v>
      </c>
      <c r="F309">
        <v>7.7622999999999998</v>
      </c>
      <c r="G309" s="14">
        <f t="shared" si="12"/>
        <v>1882.8646148693044</v>
      </c>
      <c r="H309">
        <f t="shared" si="14"/>
        <v>-2.6678210787130507E-2</v>
      </c>
      <c r="I309"/>
      <c r="K309" s="38"/>
    </row>
    <row r="310" spans="1:11" x14ac:dyDescent="0.3">
      <c r="A310" s="16">
        <v>308</v>
      </c>
      <c r="B310" s="3">
        <v>45764</v>
      </c>
      <c r="C310" s="40">
        <v>5282.7</v>
      </c>
      <c r="D310" s="46">
        <f t="shared" si="13"/>
        <v>1.3268381447011368E-3</v>
      </c>
      <c r="E310">
        <v>14854.7</v>
      </c>
      <c r="F310">
        <v>7.7638999999999996</v>
      </c>
      <c r="G310" s="14">
        <f t="shared" si="12"/>
        <v>1913.3038807815662</v>
      </c>
      <c r="H310">
        <f t="shared" si="14"/>
        <v>1.6166465539730002E-2</v>
      </c>
      <c r="I310"/>
      <c r="K310" s="38"/>
    </row>
    <row r="311" spans="1:11" x14ac:dyDescent="0.3">
      <c r="A311" s="16">
        <v>309</v>
      </c>
      <c r="B311" s="3">
        <v>45769</v>
      </c>
      <c r="C311" s="40">
        <v>5287.76</v>
      </c>
      <c r="D311" s="46">
        <f t="shared" si="13"/>
        <v>9.5784352698435882E-4</v>
      </c>
      <c r="E311">
        <v>14936.22</v>
      </c>
      <c r="F311">
        <v>7.7580999999999998</v>
      </c>
      <c r="G311" s="14">
        <f t="shared" si="12"/>
        <v>1925.2420051301219</v>
      </c>
      <c r="H311">
        <f t="shared" si="14"/>
        <v>6.2395338599736672E-3</v>
      </c>
      <c r="I311"/>
      <c r="K311" s="38"/>
    </row>
    <row r="312" spans="1:11" x14ac:dyDescent="0.3">
      <c r="A312" s="16">
        <v>310</v>
      </c>
      <c r="B312" s="3">
        <v>45770</v>
      </c>
      <c r="C312" s="40">
        <v>5375.86</v>
      </c>
      <c r="D312" s="46">
        <f t="shared" si="13"/>
        <v>1.6661119264111734E-2</v>
      </c>
      <c r="E312">
        <v>15272.58</v>
      </c>
      <c r="F312">
        <v>7.7601000000000004</v>
      </c>
      <c r="G312" s="14">
        <f t="shared" si="12"/>
        <v>1968.0906173889512</v>
      </c>
      <c r="H312">
        <f t="shared" si="14"/>
        <v>2.2256221370950735E-2</v>
      </c>
      <c r="I312"/>
      <c r="K312" s="38"/>
    </row>
    <row r="313" spans="1:11" x14ac:dyDescent="0.3">
      <c r="A313" s="16">
        <v>311</v>
      </c>
      <c r="B313" s="3">
        <v>45771</v>
      </c>
      <c r="C313" s="40">
        <v>5484.77</v>
      </c>
      <c r="D313" s="46">
        <f t="shared" si="13"/>
        <v>2.025908412793509E-2</v>
      </c>
      <c r="E313">
        <v>15147.97</v>
      </c>
      <c r="F313">
        <v>7.7587999999999999</v>
      </c>
      <c r="G313" s="14">
        <f t="shared" si="12"/>
        <v>1952.3599010156208</v>
      </c>
      <c r="H313">
        <f t="shared" si="14"/>
        <v>-7.9928821540748984E-3</v>
      </c>
      <c r="I313"/>
      <c r="K313" s="38"/>
    </row>
    <row r="314" spans="1:11" x14ac:dyDescent="0.3">
      <c r="A314" s="16">
        <v>312</v>
      </c>
      <c r="B314" s="3">
        <v>45772</v>
      </c>
      <c r="C314" s="40">
        <v>5525.21</v>
      </c>
      <c r="D314" s="46">
        <f t="shared" si="13"/>
        <v>7.3731441792452834E-3</v>
      </c>
      <c r="E314">
        <v>15232.65</v>
      </c>
      <c r="F314">
        <v>7.7573999999999996</v>
      </c>
      <c r="G314" s="14">
        <f t="shared" si="12"/>
        <v>1963.6282775156626</v>
      </c>
      <c r="H314">
        <f t="shared" si="14"/>
        <v>5.7716697081209301E-3</v>
      </c>
      <c r="I314"/>
      <c r="K314" s="38"/>
    </row>
    <row r="315" spans="1:11" x14ac:dyDescent="0.3">
      <c r="A315" s="16">
        <v>313</v>
      </c>
      <c r="B315" s="3">
        <v>45775</v>
      </c>
      <c r="C315" s="40">
        <v>5528.75</v>
      </c>
      <c r="D315" s="46">
        <f t="shared" si="13"/>
        <v>6.4069962951629478E-4</v>
      </c>
      <c r="E315">
        <v>15227.11</v>
      </c>
      <c r="F315">
        <v>7.7567000000000004</v>
      </c>
      <c r="G315" s="14">
        <f t="shared" si="12"/>
        <v>1963.0912630371163</v>
      </c>
      <c r="H315">
        <f t="shared" si="14"/>
        <v>-2.734807217309454E-4</v>
      </c>
      <c r="I315"/>
      <c r="K315" s="38"/>
    </row>
    <row r="316" spans="1:11" x14ac:dyDescent="0.3">
      <c r="A316" s="16">
        <v>314</v>
      </c>
      <c r="B316" s="3">
        <v>45776</v>
      </c>
      <c r="C316" s="40">
        <v>5560.83</v>
      </c>
      <c r="D316" s="46">
        <f t="shared" si="13"/>
        <v>5.8023965634184105E-3</v>
      </c>
      <c r="E316">
        <v>15223.19</v>
      </c>
      <c r="F316">
        <v>7.7588999999999997</v>
      </c>
      <c r="G316" s="14">
        <f t="shared" si="12"/>
        <v>1962.0294113856346</v>
      </c>
      <c r="H316">
        <f t="shared" si="14"/>
        <v>-5.4090794018357702E-4</v>
      </c>
      <c r="I316"/>
      <c r="K316" s="38"/>
    </row>
    <row r="317" spans="1:11" x14ac:dyDescent="0.3">
      <c r="A317" s="16">
        <v>315</v>
      </c>
      <c r="B317" s="3">
        <v>45777</v>
      </c>
      <c r="C317" s="40">
        <v>5569.06</v>
      </c>
      <c r="D317" s="46">
        <f t="shared" si="13"/>
        <v>1.4799948928487794E-3</v>
      </c>
      <c r="E317">
        <v>15274.26</v>
      </c>
      <c r="F317">
        <v>7.7556000000000003</v>
      </c>
      <c r="G317" s="14">
        <f t="shared" si="12"/>
        <v>1969.4491722110474</v>
      </c>
      <c r="H317">
        <f t="shared" si="14"/>
        <v>3.7816766570144544E-3</v>
      </c>
      <c r="I317"/>
      <c r="K317" s="38"/>
    </row>
    <row r="318" spans="1:11" x14ac:dyDescent="0.3">
      <c r="B318" s="3"/>
      <c r="C318" s="40"/>
      <c r="D318" s="19"/>
      <c r="E318"/>
      <c r="F318"/>
      <c r="H318"/>
      <c r="I318"/>
      <c r="K318" s="38"/>
    </row>
    <row r="319" spans="1:11" x14ac:dyDescent="0.3">
      <c r="B319" s="3"/>
      <c r="C319" s="40"/>
      <c r="D319" s="19"/>
      <c r="E319"/>
      <c r="F319"/>
      <c r="H319"/>
      <c r="I319"/>
      <c r="K319" s="38"/>
    </row>
    <row r="320" spans="1:11" x14ac:dyDescent="0.3">
      <c r="B320" s="3"/>
      <c r="C320" s="40"/>
      <c r="D320" s="19"/>
      <c r="E320"/>
      <c r="F320"/>
      <c r="H320"/>
      <c r="I320"/>
      <c r="K320" s="38"/>
    </row>
    <row r="321" spans="2:11" x14ac:dyDescent="0.3">
      <c r="B321" s="3"/>
      <c r="C321" s="40"/>
      <c r="D321" s="19"/>
      <c r="E321"/>
      <c r="F321"/>
      <c r="H321"/>
      <c r="I321"/>
      <c r="K321" s="38"/>
    </row>
    <row r="322" spans="2:11" x14ac:dyDescent="0.3">
      <c r="B322" s="3"/>
      <c r="C322" s="40"/>
      <c r="D322" s="19"/>
      <c r="E322"/>
      <c r="F322"/>
      <c r="H322"/>
      <c r="I322"/>
      <c r="K322" s="38"/>
    </row>
    <row r="323" spans="2:11" x14ac:dyDescent="0.3">
      <c r="B323" s="3"/>
      <c r="C323" s="40"/>
      <c r="D323" s="19"/>
      <c r="E323"/>
      <c r="F323"/>
      <c r="H323"/>
      <c r="I323"/>
      <c r="K323" s="38"/>
    </row>
    <row r="324" spans="2:11" x14ac:dyDescent="0.3">
      <c r="B324" s="3"/>
      <c r="C324" s="40"/>
      <c r="D324" s="19"/>
      <c r="E324"/>
      <c r="F324"/>
      <c r="H324"/>
      <c r="I324"/>
      <c r="K324" s="38"/>
    </row>
    <row r="325" spans="2:11" x14ac:dyDescent="0.3">
      <c r="B325" s="3"/>
      <c r="C325" s="40"/>
      <c r="D325" s="19"/>
      <c r="E325"/>
      <c r="F325"/>
      <c r="H325"/>
      <c r="I325"/>
      <c r="K325" s="38"/>
    </row>
    <row r="326" spans="2:11" x14ac:dyDescent="0.3">
      <c r="B326" s="3"/>
      <c r="C326" s="40"/>
      <c r="D326" s="19"/>
      <c r="E326"/>
      <c r="F326"/>
      <c r="H326"/>
      <c r="I326"/>
      <c r="K326" s="38"/>
    </row>
    <row r="327" spans="2:11" x14ac:dyDescent="0.3">
      <c r="B327" s="3"/>
      <c r="C327" s="40"/>
      <c r="D327" s="19"/>
      <c r="E327"/>
      <c r="F327"/>
      <c r="H327"/>
      <c r="I327"/>
      <c r="K327" s="38"/>
    </row>
    <row r="328" spans="2:11" x14ac:dyDescent="0.3">
      <c r="B328" s="3"/>
      <c r="C328" s="40"/>
      <c r="D328" s="19"/>
      <c r="E328"/>
      <c r="F328"/>
      <c r="H328"/>
      <c r="I328"/>
      <c r="K328" s="38"/>
    </row>
    <row r="329" spans="2:11" x14ac:dyDescent="0.3">
      <c r="B329" s="3"/>
      <c r="C329" s="40"/>
      <c r="D329" s="19"/>
      <c r="E329"/>
      <c r="F329"/>
      <c r="H329"/>
      <c r="I329"/>
      <c r="K329" s="38"/>
    </row>
    <row r="330" spans="2:11" x14ac:dyDescent="0.3">
      <c r="B330" s="3"/>
      <c r="C330" s="40"/>
      <c r="D330" s="19"/>
      <c r="E330"/>
      <c r="F330"/>
      <c r="H330"/>
      <c r="I330"/>
      <c r="K330" s="38"/>
    </row>
    <row r="331" spans="2:11" x14ac:dyDescent="0.3">
      <c r="B331" s="3"/>
      <c r="C331" s="40"/>
      <c r="D331" s="19"/>
      <c r="E331"/>
      <c r="F331"/>
      <c r="H331"/>
      <c r="I331"/>
      <c r="K331" s="38"/>
    </row>
    <row r="332" spans="2:11" x14ac:dyDescent="0.3">
      <c r="B332" s="3"/>
      <c r="C332" s="40"/>
      <c r="D332" s="19"/>
      <c r="E332"/>
      <c r="F332"/>
      <c r="H332"/>
      <c r="I332"/>
      <c r="K332" s="38"/>
    </row>
    <row r="333" spans="2:11" x14ac:dyDescent="0.3">
      <c r="B333" s="3"/>
      <c r="C333" s="40"/>
      <c r="D333" s="19"/>
      <c r="E333"/>
      <c r="F333"/>
      <c r="H333"/>
      <c r="I333"/>
      <c r="K333" s="38"/>
    </row>
    <row r="334" spans="2:11" x14ac:dyDescent="0.3">
      <c r="B334" s="3"/>
      <c r="C334" s="40"/>
      <c r="D334" s="19"/>
      <c r="E334"/>
      <c r="F334"/>
      <c r="H334"/>
      <c r="I334"/>
      <c r="K334" s="38"/>
    </row>
    <row r="335" spans="2:11" x14ac:dyDescent="0.3">
      <c r="B335" s="3"/>
      <c r="C335" s="23"/>
      <c r="D335"/>
      <c r="E335"/>
      <c r="F335"/>
      <c r="H335"/>
      <c r="I335"/>
      <c r="K335" s="38"/>
    </row>
    <row r="336" spans="2:11" x14ac:dyDescent="0.3">
      <c r="B336" s="3"/>
      <c r="C336" s="23"/>
      <c r="D336"/>
      <c r="E336"/>
      <c r="F336"/>
      <c r="H336"/>
      <c r="I336"/>
      <c r="K336" s="38"/>
    </row>
    <row r="337" spans="2:11" x14ac:dyDescent="0.3">
      <c r="B337" s="3"/>
      <c r="C337" s="23"/>
      <c r="D337"/>
      <c r="E337"/>
      <c r="F337"/>
      <c r="H337"/>
      <c r="I337"/>
      <c r="K337" s="38"/>
    </row>
    <row r="338" spans="2:11" x14ac:dyDescent="0.3">
      <c r="B338" s="3"/>
      <c r="C338" s="23"/>
      <c r="D338"/>
      <c r="E338"/>
      <c r="F338"/>
      <c r="H338"/>
      <c r="I338"/>
      <c r="K338" s="38"/>
    </row>
    <row r="339" spans="2:11" x14ac:dyDescent="0.3">
      <c r="B339" s="3"/>
      <c r="C339" s="23"/>
      <c r="D339"/>
      <c r="E339"/>
      <c r="F339"/>
      <c r="H339"/>
      <c r="I339"/>
      <c r="K339" s="38"/>
    </row>
    <row r="340" spans="2:11" x14ac:dyDescent="0.3">
      <c r="B340" s="3"/>
      <c r="C340" s="23"/>
      <c r="D340"/>
      <c r="E340"/>
      <c r="F340"/>
      <c r="H340"/>
      <c r="I340"/>
      <c r="K340" s="38"/>
    </row>
    <row r="341" spans="2:11" x14ac:dyDescent="0.3">
      <c r="B341" s="3"/>
      <c r="C341" s="23"/>
      <c r="D341"/>
      <c r="E341"/>
      <c r="F341"/>
      <c r="H341"/>
      <c r="I341"/>
      <c r="K341" s="38"/>
    </row>
    <row r="342" spans="2:11" x14ac:dyDescent="0.3">
      <c r="B342" s="3"/>
      <c r="C342" s="23"/>
      <c r="D342"/>
      <c r="E342"/>
      <c r="F342"/>
      <c r="H342"/>
      <c r="I342"/>
      <c r="K342" s="38"/>
    </row>
    <row r="343" spans="2:11" x14ac:dyDescent="0.3">
      <c r="B343" s="3"/>
      <c r="C343" s="23"/>
      <c r="D343"/>
      <c r="E343"/>
      <c r="F343"/>
      <c r="H343"/>
      <c r="I343"/>
      <c r="K343" s="38"/>
    </row>
    <row r="344" spans="2:11" x14ac:dyDescent="0.3">
      <c r="B344" s="3"/>
      <c r="C344" s="23"/>
      <c r="D344"/>
      <c r="E344"/>
      <c r="F344"/>
      <c r="H344"/>
      <c r="I344"/>
      <c r="K344" s="38"/>
    </row>
    <row r="345" spans="2:11" x14ac:dyDescent="0.3">
      <c r="B345" s="3"/>
      <c r="C345" s="23"/>
      <c r="D345"/>
      <c r="E345"/>
      <c r="F345"/>
      <c r="H345"/>
      <c r="I345"/>
      <c r="K345" s="38"/>
    </row>
    <row r="346" spans="2:11" x14ac:dyDescent="0.3">
      <c r="B346" s="3"/>
      <c r="C346" s="23"/>
      <c r="D346"/>
      <c r="E346"/>
      <c r="F346"/>
      <c r="H346"/>
      <c r="I346"/>
      <c r="K346" s="38"/>
    </row>
    <row r="347" spans="2:11" x14ac:dyDescent="0.3">
      <c r="B347" s="3"/>
      <c r="C347" s="23"/>
      <c r="D347"/>
      <c r="E347"/>
      <c r="F347"/>
      <c r="H347"/>
      <c r="I347"/>
      <c r="K347" s="38"/>
    </row>
    <row r="348" spans="2:11" x14ac:dyDescent="0.3">
      <c r="B348" s="3"/>
      <c r="C348" s="23"/>
      <c r="D348"/>
      <c r="E348"/>
      <c r="F348"/>
      <c r="H348"/>
      <c r="I348"/>
      <c r="K348" s="38"/>
    </row>
    <row r="349" spans="2:11" x14ac:dyDescent="0.3">
      <c r="B349" s="3"/>
      <c r="C349" s="23"/>
      <c r="D349"/>
      <c r="E349"/>
      <c r="F349"/>
      <c r="H349"/>
      <c r="I349"/>
      <c r="K349" s="38"/>
    </row>
    <row r="350" spans="2:11" x14ac:dyDescent="0.3">
      <c r="B350" s="3"/>
      <c r="C350" s="23"/>
      <c r="D350"/>
      <c r="E350"/>
      <c r="F350" s="11"/>
      <c r="H350"/>
      <c r="I350"/>
      <c r="K350" s="38"/>
    </row>
    <row r="351" spans="2:11" x14ac:dyDescent="0.3">
      <c r="B351" s="3"/>
      <c r="C351" s="23"/>
      <c r="D351"/>
      <c r="E351"/>
      <c r="F351" s="11"/>
      <c r="H351"/>
      <c r="I351"/>
      <c r="K351" s="38"/>
    </row>
    <row r="352" spans="2:11" x14ac:dyDescent="0.3">
      <c r="B352" s="3"/>
      <c r="C352" s="23"/>
      <c r="D352"/>
      <c r="E352"/>
      <c r="F352" s="11"/>
      <c r="H352"/>
      <c r="I352"/>
      <c r="K352" s="38"/>
    </row>
    <row r="353" spans="2:11" x14ac:dyDescent="0.3">
      <c r="B353" s="3"/>
      <c r="C353" s="23"/>
      <c r="D353"/>
      <c r="E353"/>
      <c r="F353" s="11"/>
      <c r="H353"/>
      <c r="I353"/>
      <c r="K353" s="38"/>
    </row>
    <row r="354" spans="2:11" x14ac:dyDescent="0.3">
      <c r="B354" s="3"/>
      <c r="C354" s="23"/>
      <c r="D354"/>
      <c r="E354"/>
      <c r="F354" s="11"/>
      <c r="H354"/>
      <c r="I354"/>
      <c r="K354" s="38"/>
    </row>
    <row r="355" spans="2:11" x14ac:dyDescent="0.3">
      <c r="B355" s="3"/>
      <c r="C355" s="23"/>
      <c r="D355"/>
      <c r="E355"/>
      <c r="F355" s="11"/>
      <c r="H355"/>
      <c r="I355"/>
      <c r="K355" s="38"/>
    </row>
    <row r="356" spans="2:11" x14ac:dyDescent="0.3">
      <c r="B356" s="3"/>
      <c r="C356" s="23"/>
      <c r="D356"/>
      <c r="E356"/>
      <c r="F356" s="11"/>
      <c r="H356"/>
      <c r="I356"/>
      <c r="K356" s="38"/>
    </row>
    <row r="357" spans="2:11" x14ac:dyDescent="0.3">
      <c r="B357" s="3"/>
      <c r="C357" s="23"/>
      <c r="D357"/>
      <c r="E357"/>
      <c r="F357" s="11"/>
      <c r="H357"/>
      <c r="I357"/>
      <c r="K357" s="38"/>
    </row>
    <row r="358" spans="2:11" x14ac:dyDescent="0.3">
      <c r="B358" s="3"/>
      <c r="C358" s="23"/>
      <c r="D358"/>
      <c r="E358"/>
      <c r="F358" s="11"/>
      <c r="H358"/>
      <c r="I358"/>
      <c r="K358" s="38"/>
    </row>
    <row r="359" spans="2:11" x14ac:dyDescent="0.3">
      <c r="B359" s="3"/>
      <c r="C359" s="23"/>
      <c r="D359"/>
      <c r="E359"/>
      <c r="F359" s="11"/>
      <c r="H359"/>
      <c r="I359"/>
      <c r="K359" s="38"/>
    </row>
    <row r="360" spans="2:11" x14ac:dyDescent="0.3">
      <c r="B360" s="3"/>
      <c r="C360" s="23"/>
      <c r="D360"/>
      <c r="E360"/>
      <c r="F360" s="11"/>
      <c r="H360"/>
      <c r="I360"/>
      <c r="K360" s="38"/>
    </row>
    <row r="361" spans="2:11" x14ac:dyDescent="0.3">
      <c r="B361" s="3"/>
      <c r="C361" s="23"/>
      <c r="D361"/>
      <c r="E361"/>
      <c r="F361" s="11"/>
      <c r="H361"/>
      <c r="I361"/>
      <c r="K361" s="38"/>
    </row>
    <row r="362" spans="2:11" x14ac:dyDescent="0.3">
      <c r="B362" s="3"/>
      <c r="C362" s="40"/>
      <c r="D362" s="19"/>
      <c r="E362" s="39"/>
      <c r="F362" s="11"/>
      <c r="H362"/>
      <c r="I362"/>
      <c r="K362" s="38"/>
    </row>
    <row r="363" spans="2:11" x14ac:dyDescent="0.3">
      <c r="B363" s="3"/>
      <c r="C363" s="40"/>
      <c r="D363" s="19"/>
      <c r="E363" s="39"/>
      <c r="F363" s="11"/>
      <c r="H363"/>
      <c r="I363"/>
      <c r="K363" s="38"/>
    </row>
    <row r="364" spans="2:11" x14ac:dyDescent="0.3">
      <c r="B364" s="3"/>
      <c r="C364" s="40"/>
      <c r="D364" s="19"/>
      <c r="E364" s="39"/>
      <c r="F364" s="11"/>
      <c r="H364"/>
      <c r="I364"/>
      <c r="K364" s="38"/>
    </row>
    <row r="365" spans="2:11" x14ac:dyDescent="0.3">
      <c r="C365" s="40"/>
      <c r="D365" s="19"/>
      <c r="E365" s="39"/>
      <c r="F365" s="11"/>
      <c r="H365"/>
      <c r="I365"/>
      <c r="K365" s="38"/>
    </row>
    <row r="366" spans="2:11" x14ac:dyDescent="0.3">
      <c r="C366" s="40"/>
      <c r="D366" s="19"/>
      <c r="E366" s="39"/>
      <c r="F366" s="11"/>
      <c r="H366"/>
      <c r="I366"/>
      <c r="K366" s="38"/>
    </row>
    <row r="367" spans="2:11" x14ac:dyDescent="0.3">
      <c r="C367" s="40"/>
      <c r="D367" s="19"/>
      <c r="E367" s="39"/>
      <c r="F367" s="11"/>
      <c r="H367"/>
      <c r="I367"/>
      <c r="K367" s="38"/>
    </row>
    <row r="368" spans="2:11" x14ac:dyDescent="0.3">
      <c r="C368" s="40"/>
      <c r="D368" s="19"/>
      <c r="E368" s="39"/>
      <c r="F368" s="11"/>
      <c r="H368"/>
      <c r="I368"/>
      <c r="K368" s="38"/>
    </row>
    <row r="369" spans="2:11" x14ac:dyDescent="0.3">
      <c r="C369" s="40"/>
      <c r="D369" s="19"/>
      <c r="E369" s="39"/>
      <c r="F369" s="11"/>
      <c r="H369"/>
      <c r="I369"/>
      <c r="K369" s="38"/>
    </row>
    <row r="370" spans="2:11" x14ac:dyDescent="0.3">
      <c r="C370" s="40"/>
      <c r="D370" s="19"/>
      <c r="E370" s="39"/>
      <c r="F370" s="11"/>
      <c r="H370"/>
      <c r="I370"/>
      <c r="K370" s="38"/>
    </row>
    <row r="371" spans="2:11" x14ac:dyDescent="0.3">
      <c r="C371" s="40"/>
      <c r="D371" s="19"/>
      <c r="E371" s="39"/>
      <c r="F371" s="11"/>
      <c r="H371"/>
      <c r="I371"/>
      <c r="K371" s="38"/>
    </row>
    <row r="372" spans="2:11" x14ac:dyDescent="0.3">
      <c r="C372" s="40"/>
      <c r="D372" s="19"/>
      <c r="E372" s="39"/>
      <c r="F372" s="11"/>
      <c r="H372"/>
      <c r="I372"/>
      <c r="K372" s="38"/>
    </row>
    <row r="373" spans="2:11" x14ac:dyDescent="0.3">
      <c r="C373" s="40"/>
      <c r="D373" s="19"/>
      <c r="E373" s="39"/>
      <c r="F373" s="11"/>
      <c r="H373"/>
      <c r="I373"/>
      <c r="K373" s="38"/>
    </row>
    <row r="374" spans="2:11" x14ac:dyDescent="0.3">
      <c r="C374" s="40"/>
      <c r="D374" s="19"/>
      <c r="E374" s="39"/>
      <c r="F374" s="11"/>
      <c r="H374"/>
      <c r="I374"/>
      <c r="K374" s="38"/>
    </row>
    <row r="375" spans="2:11" x14ac:dyDescent="0.3">
      <c r="C375" s="40"/>
      <c r="D375" s="19"/>
      <c r="E375" s="39"/>
      <c r="F375" s="11"/>
      <c r="H375"/>
      <c r="I375"/>
      <c r="K375" s="38"/>
    </row>
    <row r="376" spans="2:11" x14ac:dyDescent="0.3">
      <c r="B376" s="38"/>
      <c r="C376" s="40"/>
      <c r="D376" s="19"/>
      <c r="E376" s="39"/>
      <c r="F376" s="12"/>
      <c r="H376"/>
      <c r="I376"/>
      <c r="K376" s="38"/>
    </row>
    <row r="377" spans="2:11" x14ac:dyDescent="0.3">
      <c r="B377" s="38"/>
      <c r="C377" s="40"/>
      <c r="D377" s="19"/>
      <c r="E377" s="39"/>
      <c r="F377" s="12"/>
      <c r="H377"/>
      <c r="I377"/>
      <c r="K377" s="38"/>
    </row>
    <row r="378" spans="2:11" x14ac:dyDescent="0.3">
      <c r="B378" s="38"/>
      <c r="C378" s="40"/>
      <c r="D378" s="19"/>
      <c r="E378" s="39"/>
      <c r="F378" s="12"/>
      <c r="H378"/>
      <c r="I378"/>
      <c r="K378" s="38"/>
    </row>
    <row r="379" spans="2:11" x14ac:dyDescent="0.3">
      <c r="B379" s="38"/>
      <c r="C379" s="40"/>
      <c r="D379" s="19"/>
      <c r="E379" s="39"/>
      <c r="F379" s="12"/>
      <c r="H379"/>
      <c r="I379"/>
      <c r="K379" s="38"/>
    </row>
    <row r="380" spans="2:11" x14ac:dyDescent="0.3">
      <c r="B380" s="38"/>
      <c r="C380" s="40"/>
      <c r="D380" s="19"/>
      <c r="E380" s="39"/>
      <c r="F380" s="12"/>
      <c r="H380"/>
      <c r="I380"/>
      <c r="K380" s="38"/>
    </row>
    <row r="381" spans="2:11" x14ac:dyDescent="0.3">
      <c r="B381" s="38"/>
      <c r="C381" s="40"/>
      <c r="D381" s="19"/>
      <c r="E381" s="39"/>
      <c r="F381" s="12"/>
      <c r="H381"/>
      <c r="I381"/>
      <c r="K381" s="38"/>
    </row>
    <row r="382" spans="2:11" x14ac:dyDescent="0.3">
      <c r="B382" s="38"/>
      <c r="C382" s="40"/>
      <c r="D382" s="19"/>
      <c r="E382" s="39"/>
      <c r="F382" s="12"/>
      <c r="H382"/>
      <c r="I382"/>
      <c r="K382" s="38"/>
    </row>
    <row r="383" spans="2:11" x14ac:dyDescent="0.3">
      <c r="B383" s="38"/>
      <c r="C383" s="40"/>
      <c r="D383" s="19"/>
      <c r="E383" s="39"/>
      <c r="F383" s="12"/>
      <c r="H383"/>
      <c r="I383"/>
      <c r="K383" s="38"/>
    </row>
    <row r="384" spans="2:11" x14ac:dyDescent="0.3">
      <c r="B384" s="38"/>
      <c r="C384" s="40"/>
      <c r="D384" s="19"/>
      <c r="E384" s="39"/>
      <c r="F384" s="12"/>
      <c r="H384"/>
      <c r="I384"/>
      <c r="K384" s="38"/>
    </row>
    <row r="385" spans="2:11" x14ac:dyDescent="0.3">
      <c r="B385" s="38"/>
      <c r="C385" s="40"/>
      <c r="D385" s="19"/>
      <c r="E385" s="39"/>
      <c r="F385" s="12"/>
      <c r="H385"/>
      <c r="I385"/>
      <c r="K385" s="38"/>
    </row>
    <row r="386" spans="2:11" x14ac:dyDescent="0.3">
      <c r="B386" s="38"/>
      <c r="C386" s="40"/>
      <c r="D386" s="19"/>
      <c r="E386" s="39"/>
      <c r="F386" s="12"/>
      <c r="H386"/>
      <c r="I386"/>
      <c r="K386" s="38"/>
    </row>
    <row r="387" spans="2:11" x14ac:dyDescent="0.3">
      <c r="B387" s="38"/>
      <c r="C387" s="40"/>
      <c r="D387" s="19"/>
      <c r="E387" s="39"/>
      <c r="F387" s="12"/>
      <c r="H387"/>
      <c r="I387"/>
      <c r="K387" s="38"/>
    </row>
    <row r="388" spans="2:11" x14ac:dyDescent="0.3">
      <c r="B388" s="38"/>
      <c r="C388" s="40"/>
      <c r="D388" s="19"/>
      <c r="E388" s="39"/>
      <c r="F388" s="12"/>
      <c r="H388"/>
      <c r="I388"/>
      <c r="K388" s="38"/>
    </row>
    <row r="389" spans="2:11" x14ac:dyDescent="0.3">
      <c r="B389" s="38"/>
      <c r="C389" s="40"/>
      <c r="D389" s="19"/>
      <c r="E389" s="39"/>
      <c r="F389" s="12"/>
      <c r="H389"/>
      <c r="I389"/>
      <c r="K389" s="38"/>
    </row>
    <row r="390" spans="2:11" x14ac:dyDescent="0.3">
      <c r="B390" s="38"/>
      <c r="C390" s="40"/>
      <c r="D390" s="19"/>
      <c r="E390" s="39"/>
      <c r="F390" s="12"/>
      <c r="H390"/>
      <c r="I390"/>
      <c r="K390" s="38"/>
    </row>
    <row r="391" spans="2:11" x14ac:dyDescent="0.3">
      <c r="B391" s="38"/>
      <c r="C391" s="40"/>
      <c r="D391" s="19"/>
      <c r="E391" s="39"/>
      <c r="F391" s="12"/>
      <c r="H391"/>
      <c r="I391"/>
      <c r="K391" s="38"/>
    </row>
    <row r="392" spans="2:11" x14ac:dyDescent="0.3">
      <c r="B392" s="38"/>
      <c r="C392" s="40"/>
      <c r="D392" s="19"/>
      <c r="E392" s="39"/>
      <c r="F392" s="12"/>
      <c r="H392"/>
      <c r="I392"/>
      <c r="K392" s="38"/>
    </row>
    <row r="393" spans="2:11" x14ac:dyDescent="0.3">
      <c r="B393" s="38"/>
      <c r="C393" s="40"/>
      <c r="D393" s="19"/>
      <c r="E393" s="39"/>
      <c r="F393" s="12"/>
      <c r="H393"/>
      <c r="I393"/>
      <c r="K393" s="38"/>
    </row>
    <row r="394" spans="2:11" x14ac:dyDescent="0.3">
      <c r="B394" s="38"/>
      <c r="C394" s="40"/>
      <c r="D394" s="19"/>
      <c r="E394" s="39"/>
      <c r="F394" s="12"/>
      <c r="H394"/>
      <c r="I394"/>
      <c r="K394" s="38"/>
    </row>
    <row r="395" spans="2:11" x14ac:dyDescent="0.3">
      <c r="B395" s="38"/>
      <c r="C395" s="40"/>
      <c r="D395" s="19"/>
      <c r="E395" s="39"/>
      <c r="F395" s="12"/>
      <c r="H395"/>
      <c r="I395"/>
      <c r="K395" s="38"/>
    </row>
    <row r="396" spans="2:11" x14ac:dyDescent="0.3">
      <c r="B396" s="38"/>
      <c r="C396" s="40"/>
      <c r="D396" s="19"/>
      <c r="E396" s="39"/>
      <c r="F396" s="12"/>
      <c r="H396"/>
      <c r="I396"/>
      <c r="K396" s="38"/>
    </row>
    <row r="397" spans="2:11" x14ac:dyDescent="0.3">
      <c r="B397" s="38"/>
      <c r="C397" s="40"/>
      <c r="D397" s="19"/>
      <c r="E397" s="39"/>
      <c r="F397" s="12"/>
      <c r="H397"/>
      <c r="I397"/>
      <c r="K397" s="38"/>
    </row>
    <row r="398" spans="2:11" x14ac:dyDescent="0.3">
      <c r="B398" s="38"/>
      <c r="C398" s="40"/>
      <c r="D398" s="19"/>
      <c r="E398" s="39"/>
      <c r="F398" s="12"/>
      <c r="H398"/>
      <c r="I398"/>
      <c r="K398" s="38"/>
    </row>
    <row r="399" spans="2:11" x14ac:dyDescent="0.3">
      <c r="B399" s="38"/>
      <c r="C399" s="40"/>
      <c r="D399" s="19"/>
      <c r="E399" s="39"/>
      <c r="F399" s="12"/>
      <c r="H399"/>
      <c r="I399"/>
      <c r="K399" s="38"/>
    </row>
    <row r="400" spans="2:11" x14ac:dyDescent="0.3">
      <c r="B400" s="38"/>
      <c r="C400" s="40"/>
      <c r="D400" s="19"/>
      <c r="E400" s="39"/>
      <c r="F400" s="12"/>
      <c r="H400"/>
      <c r="I400"/>
      <c r="K400" s="38"/>
    </row>
    <row r="401" spans="2:11" x14ac:dyDescent="0.3">
      <c r="B401" s="38"/>
      <c r="C401" s="40"/>
      <c r="D401" s="19"/>
      <c r="E401" s="39"/>
      <c r="F401" s="12"/>
      <c r="H401"/>
      <c r="I401"/>
      <c r="K401" s="38"/>
    </row>
    <row r="402" spans="2:11" x14ac:dyDescent="0.3">
      <c r="B402" s="38"/>
      <c r="C402" s="40"/>
      <c r="D402" s="19"/>
      <c r="E402" s="39"/>
      <c r="F402" s="12"/>
      <c r="H402"/>
      <c r="I402"/>
      <c r="K402" s="38"/>
    </row>
    <row r="403" spans="2:11" x14ac:dyDescent="0.3">
      <c r="B403" s="38"/>
      <c r="C403" s="40"/>
      <c r="D403" s="19"/>
      <c r="E403" s="39"/>
      <c r="F403" s="12"/>
      <c r="H403"/>
      <c r="I403"/>
      <c r="K403" s="38"/>
    </row>
    <row r="404" spans="2:11" x14ac:dyDescent="0.3">
      <c r="B404" s="38"/>
      <c r="C404" s="40"/>
      <c r="D404" s="19"/>
      <c r="E404" s="39"/>
      <c r="F404" s="12"/>
      <c r="H404"/>
      <c r="I404"/>
    </row>
    <row r="405" spans="2:11" x14ac:dyDescent="0.3">
      <c r="B405" s="38"/>
      <c r="C405" s="40"/>
      <c r="D405" s="19"/>
      <c r="E405" s="39"/>
      <c r="F405" s="12"/>
      <c r="H405"/>
      <c r="I405"/>
    </row>
    <row r="406" spans="2:11" x14ac:dyDescent="0.3">
      <c r="B406" s="38"/>
      <c r="C406" s="40"/>
      <c r="D406" s="19"/>
      <c r="E406" s="39"/>
      <c r="F406" s="12"/>
      <c r="H406"/>
      <c r="I406"/>
    </row>
    <row r="407" spans="2:11" x14ac:dyDescent="0.3">
      <c r="B407" s="38"/>
      <c r="C407" s="40"/>
      <c r="D407" s="19"/>
      <c r="E407" s="39"/>
      <c r="F407" s="12"/>
      <c r="H407"/>
      <c r="I407"/>
    </row>
    <row r="408" spans="2:11" x14ac:dyDescent="0.3">
      <c r="B408" s="38"/>
      <c r="C408" s="40"/>
      <c r="D408" s="19"/>
      <c r="E408" s="39"/>
      <c r="F408" s="12"/>
      <c r="H408"/>
      <c r="I408"/>
    </row>
    <row r="409" spans="2:11" x14ac:dyDescent="0.3">
      <c r="B409" s="38"/>
      <c r="C409" s="40"/>
      <c r="D409" s="19"/>
      <c r="E409" s="39"/>
      <c r="F409" s="12"/>
      <c r="H409"/>
      <c r="I409"/>
    </row>
    <row r="410" spans="2:11" x14ac:dyDescent="0.3">
      <c r="B410" s="38"/>
      <c r="C410" s="40"/>
      <c r="D410" s="19"/>
      <c r="E410" s="39"/>
      <c r="F410" s="12"/>
      <c r="H410"/>
      <c r="I410"/>
    </row>
    <row r="411" spans="2:11" x14ac:dyDescent="0.3">
      <c r="B411" s="38"/>
      <c r="C411" s="40"/>
      <c r="D411" s="19"/>
      <c r="E411" s="39"/>
      <c r="F411" s="12"/>
      <c r="H411"/>
      <c r="I411"/>
    </row>
    <row r="412" spans="2:11" x14ac:dyDescent="0.3">
      <c r="B412" s="38"/>
      <c r="C412" s="40"/>
      <c r="D412" s="19"/>
      <c r="E412" s="39"/>
      <c r="F412" s="12"/>
      <c r="H412"/>
      <c r="I412"/>
    </row>
    <row r="413" spans="2:11" x14ac:dyDescent="0.3">
      <c r="B413" s="38"/>
      <c r="C413" s="40"/>
      <c r="D413" s="19"/>
      <c r="E413" s="39"/>
      <c r="F413" s="12"/>
      <c r="H413"/>
      <c r="I413"/>
    </row>
    <row r="414" spans="2:11" x14ac:dyDescent="0.3">
      <c r="B414" s="38"/>
      <c r="C414" s="40"/>
      <c r="D414" s="19"/>
      <c r="E414" s="39"/>
      <c r="F414" s="12"/>
      <c r="H414"/>
      <c r="I414"/>
    </row>
    <row r="415" spans="2:11" x14ac:dyDescent="0.3">
      <c r="B415" s="38"/>
      <c r="C415" s="40"/>
      <c r="D415" s="19"/>
      <c r="E415" s="39"/>
      <c r="F415" s="12"/>
      <c r="H415"/>
      <c r="I415"/>
    </row>
    <row r="416" spans="2:11" x14ac:dyDescent="0.3">
      <c r="B416" s="38"/>
      <c r="C416" s="40"/>
      <c r="D416" s="19"/>
      <c r="E416" s="39"/>
      <c r="F416" s="12"/>
      <c r="H416"/>
      <c r="I416"/>
    </row>
    <row r="417" spans="2:9" x14ac:dyDescent="0.3">
      <c r="B417" s="38"/>
      <c r="C417" s="40"/>
      <c r="D417" s="19"/>
      <c r="E417" s="39"/>
      <c r="F417" s="12"/>
      <c r="H417"/>
      <c r="I417"/>
    </row>
    <row r="418" spans="2:9" x14ac:dyDescent="0.3">
      <c r="B418" s="38"/>
      <c r="C418" s="40"/>
      <c r="D418" s="19"/>
      <c r="E418" s="39"/>
      <c r="F418" s="12"/>
      <c r="H418"/>
      <c r="I418"/>
    </row>
    <row r="419" spans="2:9" x14ac:dyDescent="0.3">
      <c r="B419" s="38"/>
      <c r="C419" s="40"/>
      <c r="D419" s="19"/>
      <c r="E419" s="39"/>
      <c r="F419" s="12"/>
      <c r="H419"/>
      <c r="I419"/>
    </row>
    <row r="420" spans="2:9" x14ac:dyDescent="0.3">
      <c r="B420" s="38"/>
      <c r="C420" s="40"/>
      <c r="D420" s="19"/>
      <c r="E420" s="39"/>
      <c r="F420" s="12"/>
      <c r="H420"/>
      <c r="I420"/>
    </row>
    <row r="421" spans="2:9" x14ac:dyDescent="0.3">
      <c r="B421" s="38"/>
      <c r="C421" s="40"/>
      <c r="D421" s="19"/>
      <c r="E421" s="39"/>
      <c r="F421" s="12"/>
      <c r="H421"/>
      <c r="I421"/>
    </row>
    <row r="422" spans="2:9" x14ac:dyDescent="0.3">
      <c r="B422" s="38"/>
      <c r="C422" s="40"/>
      <c r="D422" s="19"/>
      <c r="E422" s="39"/>
      <c r="F422" s="12"/>
      <c r="H422"/>
      <c r="I422"/>
    </row>
    <row r="423" spans="2:9" x14ac:dyDescent="0.3">
      <c r="B423" s="38"/>
      <c r="C423" s="40"/>
      <c r="D423" s="19"/>
      <c r="E423" s="39"/>
      <c r="F423" s="12"/>
      <c r="H423"/>
      <c r="I423"/>
    </row>
    <row r="424" spans="2:9" x14ac:dyDescent="0.3">
      <c r="B424" s="38"/>
      <c r="C424" s="40"/>
      <c r="D424" s="19"/>
      <c r="E424" s="39"/>
      <c r="F424" s="12"/>
      <c r="H424"/>
      <c r="I424"/>
    </row>
    <row r="425" spans="2:9" x14ac:dyDescent="0.3">
      <c r="B425" s="38"/>
      <c r="C425" s="40"/>
      <c r="D425" s="19"/>
      <c r="E425" s="39"/>
      <c r="F425" s="12"/>
      <c r="H425"/>
      <c r="I425"/>
    </row>
    <row r="426" spans="2:9" x14ac:dyDescent="0.3">
      <c r="B426" s="38"/>
      <c r="C426" s="40"/>
      <c r="D426" s="19"/>
      <c r="E426" s="39"/>
      <c r="F426" s="12"/>
      <c r="H426"/>
      <c r="I426"/>
    </row>
    <row r="427" spans="2:9" x14ac:dyDescent="0.3">
      <c r="B427" s="38"/>
      <c r="C427" s="40"/>
      <c r="D427" s="19"/>
      <c r="E427" s="39"/>
      <c r="F427" s="12"/>
      <c r="H427"/>
      <c r="I427"/>
    </row>
    <row r="428" spans="2:9" x14ac:dyDescent="0.3">
      <c r="B428" s="38"/>
      <c r="C428" s="40"/>
      <c r="D428" s="19"/>
      <c r="E428" s="39"/>
      <c r="F428" s="12"/>
      <c r="H428"/>
      <c r="I428"/>
    </row>
    <row r="429" spans="2:9" x14ac:dyDescent="0.3">
      <c r="B429" s="38"/>
      <c r="C429" s="40"/>
      <c r="D429" s="19"/>
      <c r="E429" s="39"/>
      <c r="F429" s="12"/>
      <c r="H429"/>
      <c r="I429"/>
    </row>
    <row r="430" spans="2:9" x14ac:dyDescent="0.3">
      <c r="B430" s="38"/>
      <c r="C430" s="40"/>
      <c r="D430" s="19"/>
      <c r="E430" s="39"/>
      <c r="F430" s="12"/>
      <c r="H430"/>
      <c r="I430"/>
    </row>
    <row r="431" spans="2:9" x14ac:dyDescent="0.3">
      <c r="B431" s="38"/>
      <c r="C431" s="40"/>
      <c r="D431" s="19"/>
      <c r="E431" s="39"/>
      <c r="F431" s="12"/>
      <c r="H431"/>
      <c r="I431"/>
    </row>
    <row r="432" spans="2:9" x14ac:dyDescent="0.3">
      <c r="B432" s="38"/>
      <c r="C432" s="40"/>
      <c r="D432" s="19"/>
      <c r="E432" s="39"/>
      <c r="F432" s="12"/>
      <c r="H432"/>
      <c r="I432"/>
    </row>
    <row r="433" spans="2:11" x14ac:dyDescent="0.3">
      <c r="B433" s="38"/>
      <c r="C433" s="40"/>
      <c r="D433" s="19"/>
      <c r="E433" s="39"/>
      <c r="F433" s="12"/>
      <c r="H433"/>
      <c r="I433"/>
    </row>
    <row r="434" spans="2:11" x14ac:dyDescent="0.3">
      <c r="B434" s="38"/>
      <c r="C434" s="40"/>
      <c r="D434" s="19"/>
      <c r="E434" s="39"/>
      <c r="F434" s="12"/>
      <c r="H434"/>
      <c r="I434"/>
    </row>
    <row r="435" spans="2:11" x14ac:dyDescent="0.3">
      <c r="B435" s="38"/>
      <c r="C435" s="40"/>
      <c r="D435" s="19"/>
      <c r="E435" s="39"/>
      <c r="F435" s="12"/>
      <c r="H435"/>
      <c r="I435"/>
    </row>
    <row r="436" spans="2:11" x14ac:dyDescent="0.3">
      <c r="B436" s="38"/>
      <c r="C436" s="40"/>
      <c r="D436" s="19"/>
      <c r="E436" s="39"/>
      <c r="F436" s="12"/>
      <c r="H436"/>
      <c r="I436"/>
    </row>
    <row r="437" spans="2:11" x14ac:dyDescent="0.3">
      <c r="B437" s="38"/>
      <c r="C437" s="40"/>
      <c r="D437" s="19"/>
      <c r="E437" s="39"/>
      <c r="F437" s="12"/>
      <c r="H437"/>
      <c r="I437"/>
    </row>
    <row r="438" spans="2:11" x14ac:dyDescent="0.3">
      <c r="B438" s="38"/>
      <c r="C438" s="40"/>
      <c r="D438" s="19"/>
      <c r="E438" s="39"/>
      <c r="F438" s="12"/>
      <c r="H438"/>
      <c r="I438"/>
    </row>
    <row r="439" spans="2:11" x14ac:dyDescent="0.3">
      <c r="B439" s="38"/>
      <c r="C439" s="40"/>
      <c r="D439" s="19"/>
      <c r="E439" s="39"/>
      <c r="F439" s="12"/>
      <c r="H439"/>
      <c r="I439"/>
    </row>
    <row r="440" spans="2:11" x14ac:dyDescent="0.3">
      <c r="B440" s="38"/>
      <c r="C440" s="40"/>
      <c r="D440" s="19"/>
      <c r="E440" s="39"/>
      <c r="F440" s="12"/>
      <c r="H440"/>
      <c r="I440"/>
    </row>
    <row r="441" spans="2:11" x14ac:dyDescent="0.3">
      <c r="B441" s="38"/>
      <c r="C441" s="40"/>
      <c r="D441" s="19"/>
      <c r="E441" s="39"/>
      <c r="F441" s="12"/>
      <c r="H441"/>
      <c r="I441"/>
    </row>
    <row r="442" spans="2:11" x14ac:dyDescent="0.3">
      <c r="B442" s="38"/>
      <c r="C442" s="40"/>
      <c r="D442" s="19"/>
      <c r="E442" s="39"/>
      <c r="F442" s="12"/>
      <c r="H442"/>
      <c r="I442"/>
    </row>
    <row r="443" spans="2:11" x14ac:dyDescent="0.3">
      <c r="B443" s="38"/>
      <c r="C443" s="40"/>
      <c r="D443" s="19"/>
      <c r="E443" s="39"/>
      <c r="F443" s="12"/>
      <c r="H443"/>
      <c r="I443"/>
    </row>
    <row r="444" spans="2:11" x14ac:dyDescent="0.3">
      <c r="B444" s="38"/>
      <c r="C444" s="40"/>
      <c r="D444" s="19"/>
      <c r="E444" s="39"/>
      <c r="F444" s="12"/>
      <c r="H444"/>
      <c r="I444"/>
    </row>
    <row r="445" spans="2:11" x14ac:dyDescent="0.3">
      <c r="B445" s="38"/>
      <c r="C445" s="40"/>
      <c r="D445" s="19"/>
      <c r="E445" s="39"/>
      <c r="F445" s="12"/>
      <c r="H445"/>
      <c r="I445"/>
    </row>
    <row r="446" spans="2:11" x14ac:dyDescent="0.3">
      <c r="B446" s="38"/>
      <c r="C446" s="40"/>
      <c r="D446" s="19"/>
      <c r="E446" s="39"/>
      <c r="F446" s="12"/>
      <c r="H446"/>
      <c r="I446"/>
    </row>
    <row r="447" spans="2:11" x14ac:dyDescent="0.3">
      <c r="B447" s="38"/>
      <c r="C447" s="40"/>
      <c r="D447" s="19"/>
      <c r="E447" s="39"/>
      <c r="F447" s="12"/>
      <c r="H447"/>
      <c r="I447"/>
      <c r="K447" s="38"/>
    </row>
    <row r="448" spans="2:11" x14ac:dyDescent="0.3">
      <c r="B448" s="38"/>
      <c r="C448" s="40"/>
      <c r="D448" s="19"/>
      <c r="E448" s="39"/>
      <c r="F448" s="12"/>
      <c r="H448"/>
      <c r="I448"/>
      <c r="K448" s="38"/>
    </row>
    <row r="449" spans="2:11" x14ac:dyDescent="0.3">
      <c r="B449" s="38"/>
      <c r="C449" s="40"/>
      <c r="D449" s="19"/>
      <c r="E449" s="39"/>
      <c r="F449" s="12"/>
      <c r="H449"/>
      <c r="I449"/>
      <c r="K449" s="38"/>
    </row>
    <row r="450" spans="2:11" x14ac:dyDescent="0.3">
      <c r="B450" s="38"/>
      <c r="C450" s="40"/>
      <c r="D450" s="19"/>
      <c r="E450" s="39"/>
      <c r="F450" s="12"/>
      <c r="H450"/>
      <c r="I450"/>
      <c r="K450" s="38"/>
    </row>
    <row r="451" spans="2:11" x14ac:dyDescent="0.3">
      <c r="B451" s="38"/>
      <c r="C451" s="40"/>
      <c r="D451" s="19"/>
      <c r="E451" s="39"/>
      <c r="F451" s="12"/>
      <c r="H451"/>
      <c r="I451"/>
      <c r="K451" s="38"/>
    </row>
    <row r="452" spans="2:11" x14ac:dyDescent="0.3">
      <c r="B452" s="38"/>
      <c r="C452" s="40"/>
      <c r="D452" s="19"/>
      <c r="E452" s="39"/>
      <c r="F452" s="12"/>
      <c r="H452"/>
      <c r="I452"/>
      <c r="K452" s="38"/>
    </row>
    <row r="453" spans="2:11" x14ac:dyDescent="0.3">
      <c r="B453" s="38"/>
      <c r="C453" s="40"/>
      <c r="D453" s="19"/>
      <c r="E453" s="39"/>
      <c r="F453" s="12"/>
      <c r="H453"/>
      <c r="I453"/>
      <c r="K453" s="38"/>
    </row>
    <row r="454" spans="2:11" x14ac:dyDescent="0.3">
      <c r="B454" s="38"/>
      <c r="C454" s="40"/>
      <c r="D454" s="19"/>
      <c r="E454" s="39"/>
      <c r="F454" s="12"/>
      <c r="H454"/>
      <c r="I454"/>
      <c r="K454" s="38"/>
    </row>
    <row r="455" spans="2:11" x14ac:dyDescent="0.3">
      <c r="B455" s="38"/>
      <c r="C455" s="40"/>
      <c r="D455" s="19"/>
      <c r="E455" s="39"/>
      <c r="F455" s="12"/>
      <c r="H455"/>
      <c r="I455"/>
      <c r="K455" s="38"/>
    </row>
    <row r="456" spans="2:11" x14ac:dyDescent="0.3">
      <c r="B456" s="38"/>
      <c r="C456" s="40"/>
      <c r="D456" s="19"/>
      <c r="E456" s="39"/>
      <c r="F456" s="12"/>
      <c r="H456"/>
      <c r="I456"/>
      <c r="K456" s="38"/>
    </row>
    <row r="457" spans="2:11" x14ac:dyDescent="0.3">
      <c r="B457" s="38"/>
      <c r="C457" s="40"/>
      <c r="D457" s="19"/>
      <c r="E457" s="39"/>
      <c r="F457" s="12"/>
      <c r="H457"/>
      <c r="I457"/>
      <c r="K457" s="38"/>
    </row>
    <row r="458" spans="2:11" x14ac:dyDescent="0.3">
      <c r="B458" s="38"/>
      <c r="C458" s="40"/>
      <c r="D458" s="19"/>
      <c r="E458" s="39"/>
      <c r="F458" s="12"/>
      <c r="H458"/>
      <c r="I458"/>
      <c r="K458" s="38"/>
    </row>
    <row r="459" spans="2:11" x14ac:dyDescent="0.3">
      <c r="B459" s="38"/>
      <c r="C459" s="40"/>
      <c r="D459" s="19"/>
      <c r="E459" s="39"/>
      <c r="F459" s="12"/>
      <c r="H459"/>
      <c r="I459"/>
      <c r="K459" s="38"/>
    </row>
    <row r="460" spans="2:11" x14ac:dyDescent="0.3">
      <c r="B460" s="38"/>
      <c r="C460" s="40"/>
      <c r="D460" s="19"/>
      <c r="E460" s="39"/>
      <c r="F460" s="12"/>
      <c r="H460"/>
      <c r="I460"/>
      <c r="K460" s="38"/>
    </row>
    <row r="461" spans="2:11" x14ac:dyDescent="0.3">
      <c r="B461" s="38"/>
      <c r="C461" s="40"/>
      <c r="D461" s="19"/>
      <c r="E461" s="39"/>
      <c r="F461" s="12"/>
      <c r="H461"/>
      <c r="I461"/>
      <c r="K461" s="38"/>
    </row>
    <row r="462" spans="2:11" x14ac:dyDescent="0.3">
      <c r="B462" s="38"/>
      <c r="C462" s="40"/>
      <c r="D462" s="19"/>
      <c r="E462" s="39"/>
      <c r="F462" s="12"/>
      <c r="H462"/>
      <c r="I462"/>
      <c r="K462" s="38"/>
    </row>
    <row r="463" spans="2:11" x14ac:dyDescent="0.3">
      <c r="B463" s="38"/>
      <c r="C463" s="40"/>
      <c r="D463" s="19"/>
      <c r="E463" s="39"/>
      <c r="F463" s="12"/>
      <c r="H463"/>
      <c r="I463"/>
      <c r="K463" s="38"/>
    </row>
    <row r="464" spans="2:11" x14ac:dyDescent="0.3">
      <c r="B464" s="38"/>
      <c r="C464" s="40"/>
      <c r="D464" s="19"/>
      <c r="E464" s="39"/>
      <c r="F464" s="12"/>
      <c r="H464"/>
      <c r="I464"/>
      <c r="K464" s="38"/>
    </row>
    <row r="465" spans="2:11" x14ac:dyDescent="0.3">
      <c r="B465" s="38"/>
      <c r="C465" s="40"/>
      <c r="D465" s="19"/>
      <c r="E465" s="39"/>
      <c r="F465" s="12"/>
      <c r="H465"/>
      <c r="I465"/>
      <c r="K465" s="38"/>
    </row>
    <row r="466" spans="2:11" x14ac:dyDescent="0.3">
      <c r="B466" s="38"/>
      <c r="C466" s="40"/>
      <c r="D466" s="19"/>
      <c r="E466" s="39"/>
      <c r="F466" s="12"/>
      <c r="H466"/>
      <c r="I466"/>
      <c r="K466" s="38"/>
    </row>
    <row r="467" spans="2:11" x14ac:dyDescent="0.3">
      <c r="B467" s="38"/>
      <c r="C467" s="40"/>
      <c r="D467" s="19"/>
      <c r="E467" s="39"/>
      <c r="F467" s="12"/>
      <c r="H467"/>
      <c r="I467"/>
      <c r="K467" s="38"/>
    </row>
    <row r="468" spans="2:11" x14ac:dyDescent="0.3">
      <c r="B468" s="38"/>
      <c r="C468" s="40"/>
      <c r="D468" s="19"/>
      <c r="E468" s="39"/>
      <c r="F468" s="12"/>
      <c r="H468"/>
      <c r="I468"/>
      <c r="K468" s="38"/>
    </row>
    <row r="469" spans="2:11" x14ac:dyDescent="0.3">
      <c r="B469" s="38"/>
      <c r="C469" s="40"/>
      <c r="D469" s="19"/>
      <c r="E469" s="39"/>
      <c r="F469" s="12"/>
      <c r="H469"/>
      <c r="I469"/>
      <c r="K469" s="38"/>
    </row>
    <row r="470" spans="2:11" x14ac:dyDescent="0.3">
      <c r="B470" s="38"/>
      <c r="C470" s="40"/>
      <c r="D470" s="19"/>
      <c r="E470" s="39"/>
      <c r="F470" s="12"/>
      <c r="H470"/>
      <c r="I470"/>
      <c r="K470" s="38"/>
    </row>
    <row r="471" spans="2:11" x14ac:dyDescent="0.3">
      <c r="B471" s="38"/>
      <c r="C471" s="40"/>
      <c r="D471" s="19"/>
      <c r="E471" s="39"/>
      <c r="F471" s="12"/>
      <c r="H471"/>
      <c r="I471"/>
      <c r="K471" s="38"/>
    </row>
    <row r="472" spans="2:11" x14ac:dyDescent="0.3">
      <c r="B472" s="38"/>
      <c r="C472" s="40"/>
      <c r="D472" s="19"/>
      <c r="E472" s="39"/>
      <c r="F472" s="12"/>
      <c r="H472"/>
      <c r="I472"/>
      <c r="K472" s="38"/>
    </row>
    <row r="473" spans="2:11" x14ac:dyDescent="0.3">
      <c r="B473" s="38"/>
      <c r="C473" s="40"/>
      <c r="D473" s="19"/>
      <c r="E473" s="39"/>
      <c r="F473" s="12"/>
      <c r="H473"/>
      <c r="I473"/>
      <c r="K473" s="38"/>
    </row>
    <row r="474" spans="2:11" x14ac:dyDescent="0.3">
      <c r="B474" s="38"/>
      <c r="C474" s="40"/>
      <c r="D474" s="19"/>
      <c r="E474" s="39"/>
      <c r="F474" s="12"/>
      <c r="H474"/>
      <c r="I474"/>
      <c r="K474" s="38"/>
    </row>
    <row r="475" spans="2:11" x14ac:dyDescent="0.3">
      <c r="B475" s="38"/>
      <c r="C475" s="40"/>
      <c r="D475" s="19"/>
      <c r="E475" s="39"/>
      <c r="F475" s="12"/>
      <c r="H475"/>
      <c r="I475"/>
      <c r="K475" s="38"/>
    </row>
    <row r="476" spans="2:11" x14ac:dyDescent="0.3">
      <c r="B476" s="38"/>
      <c r="C476" s="40"/>
      <c r="D476" s="19"/>
      <c r="E476" s="39"/>
      <c r="F476" s="12"/>
      <c r="H476"/>
      <c r="I476"/>
      <c r="K476" s="38"/>
    </row>
    <row r="477" spans="2:11" x14ac:dyDescent="0.3">
      <c r="B477" s="38"/>
      <c r="C477" s="40"/>
      <c r="D477" s="19"/>
      <c r="E477" s="39"/>
      <c r="F477" s="12"/>
      <c r="H477"/>
      <c r="I477"/>
      <c r="K477" s="38"/>
    </row>
    <row r="478" spans="2:11" x14ac:dyDescent="0.3">
      <c r="B478" s="38"/>
      <c r="C478" s="40"/>
      <c r="D478" s="19"/>
      <c r="E478" s="39"/>
      <c r="F478" s="12"/>
      <c r="H478"/>
      <c r="I478"/>
      <c r="K478" s="38"/>
    </row>
    <row r="479" spans="2:11" x14ac:dyDescent="0.3">
      <c r="B479" s="38"/>
      <c r="C479" s="40"/>
      <c r="D479" s="19"/>
      <c r="E479" s="39"/>
      <c r="F479" s="12"/>
      <c r="H479"/>
      <c r="I479"/>
      <c r="K479" s="38"/>
    </row>
    <row r="480" spans="2:11" x14ac:dyDescent="0.3">
      <c r="B480" s="38"/>
      <c r="C480" s="40"/>
      <c r="D480" s="19"/>
      <c r="E480" s="39"/>
      <c r="F480" s="12"/>
      <c r="H480"/>
      <c r="I480"/>
      <c r="K480" s="38"/>
    </row>
    <row r="481" spans="2:11" x14ac:dyDescent="0.3">
      <c r="B481" s="38"/>
      <c r="C481" s="40"/>
      <c r="D481" s="19"/>
      <c r="E481" s="39"/>
      <c r="F481" s="12"/>
      <c r="H481"/>
      <c r="I481"/>
      <c r="K481" s="38"/>
    </row>
    <row r="482" spans="2:11" x14ac:dyDescent="0.3">
      <c r="B482" s="38"/>
      <c r="C482" s="40"/>
      <c r="D482" s="19"/>
      <c r="E482" s="39"/>
      <c r="F482" s="12"/>
      <c r="H482"/>
      <c r="I482"/>
      <c r="K482" s="38"/>
    </row>
    <row r="483" spans="2:11" x14ac:dyDescent="0.3">
      <c r="B483" s="38"/>
      <c r="C483" s="40"/>
      <c r="D483" s="19"/>
      <c r="E483" s="39"/>
      <c r="F483" s="12"/>
      <c r="H483"/>
      <c r="I483"/>
      <c r="K483" s="38"/>
    </row>
    <row r="484" spans="2:11" x14ac:dyDescent="0.3">
      <c r="B484" s="38"/>
      <c r="C484" s="40"/>
      <c r="D484" s="19"/>
      <c r="E484" s="39"/>
      <c r="F484" s="12"/>
      <c r="H484"/>
      <c r="I484"/>
      <c r="K484" s="38"/>
    </row>
    <row r="485" spans="2:11" x14ac:dyDescent="0.3">
      <c r="B485" s="38"/>
      <c r="C485" s="40"/>
      <c r="D485" s="19"/>
      <c r="E485" s="39"/>
      <c r="F485" s="12"/>
      <c r="H485"/>
      <c r="I485"/>
      <c r="K485" s="38"/>
    </row>
    <row r="486" spans="2:11" x14ac:dyDescent="0.3">
      <c r="B486" s="38"/>
      <c r="C486" s="40"/>
      <c r="D486" s="19"/>
      <c r="E486" s="39"/>
      <c r="F486" s="12"/>
      <c r="H486"/>
      <c r="I486"/>
      <c r="K486" s="38"/>
    </row>
    <row r="487" spans="2:11" x14ac:dyDescent="0.3">
      <c r="B487" s="38"/>
      <c r="C487" s="40"/>
      <c r="D487" s="19"/>
      <c r="E487" s="39"/>
      <c r="F487" s="12"/>
      <c r="H487"/>
      <c r="I487"/>
      <c r="K487" s="38"/>
    </row>
    <row r="488" spans="2:11" x14ac:dyDescent="0.3">
      <c r="B488" s="38"/>
      <c r="C488" s="40"/>
      <c r="D488" s="19"/>
      <c r="E488" s="39"/>
      <c r="F488" s="12"/>
      <c r="H488"/>
      <c r="I488"/>
      <c r="K488" s="38"/>
    </row>
    <row r="489" spans="2:11" x14ac:dyDescent="0.3">
      <c r="B489" s="38"/>
      <c r="C489" s="40"/>
      <c r="D489" s="19"/>
      <c r="E489" s="39"/>
      <c r="F489" s="12"/>
      <c r="H489"/>
      <c r="I489"/>
      <c r="K489" s="38"/>
    </row>
    <row r="490" spans="2:11" x14ac:dyDescent="0.3">
      <c r="B490" s="38"/>
      <c r="C490" s="40"/>
      <c r="D490" s="19"/>
      <c r="E490" s="39"/>
      <c r="F490" s="12"/>
      <c r="H490"/>
      <c r="I490"/>
      <c r="K490" s="38"/>
    </row>
    <row r="491" spans="2:11" x14ac:dyDescent="0.3">
      <c r="B491" s="38"/>
      <c r="C491" s="40"/>
      <c r="D491" s="19"/>
      <c r="E491" s="39"/>
      <c r="F491" s="12"/>
      <c r="H491"/>
      <c r="I491"/>
      <c r="K491" s="38"/>
    </row>
    <row r="492" spans="2:11" x14ac:dyDescent="0.3">
      <c r="B492" s="38"/>
      <c r="C492" s="40"/>
      <c r="D492" s="19"/>
      <c r="E492" s="39"/>
      <c r="F492" s="12"/>
      <c r="H492"/>
      <c r="I492"/>
    </row>
    <row r="493" spans="2:11" x14ac:dyDescent="0.3">
      <c r="B493" s="38"/>
      <c r="C493" s="40"/>
      <c r="D493" s="19"/>
      <c r="E493" s="39"/>
      <c r="F493" s="12"/>
      <c r="H493"/>
      <c r="I493"/>
    </row>
    <row r="494" spans="2:11" x14ac:dyDescent="0.3">
      <c r="B494" s="38"/>
      <c r="C494" s="40"/>
      <c r="D494" s="19"/>
      <c r="E494" s="39"/>
      <c r="F494" s="12"/>
      <c r="H494"/>
      <c r="I494"/>
      <c r="K494" s="38"/>
    </row>
    <row r="495" spans="2:11" x14ac:dyDescent="0.3">
      <c r="B495" s="38"/>
      <c r="C495" s="40"/>
      <c r="D495" s="19"/>
      <c r="E495" s="39"/>
      <c r="F495" s="12"/>
      <c r="H495"/>
      <c r="I495"/>
      <c r="K495" s="38"/>
    </row>
    <row r="496" spans="2:11" x14ac:dyDescent="0.3">
      <c r="B496" s="38"/>
      <c r="C496" s="40"/>
      <c r="D496" s="19"/>
      <c r="E496" s="39"/>
      <c r="F496" s="12"/>
      <c r="H496"/>
      <c r="I496"/>
      <c r="K496" s="38"/>
    </row>
    <row r="497" spans="2:12" x14ac:dyDescent="0.3">
      <c r="B497" s="38"/>
      <c r="C497" s="40"/>
      <c r="D497" s="19"/>
      <c r="E497" s="39"/>
      <c r="F497" s="12"/>
      <c r="H497"/>
      <c r="I497"/>
      <c r="K497" s="38"/>
    </row>
    <row r="498" spans="2:12" x14ac:dyDescent="0.3">
      <c r="B498" s="38"/>
      <c r="C498" s="40"/>
      <c r="D498" s="19"/>
      <c r="E498" s="39"/>
      <c r="F498" s="12"/>
      <c r="H498"/>
      <c r="I498"/>
      <c r="K498" s="38"/>
    </row>
    <row r="499" spans="2:12" x14ac:dyDescent="0.3">
      <c r="B499" s="38"/>
      <c r="C499" s="40"/>
      <c r="D499" s="19"/>
      <c r="E499" s="39"/>
      <c r="F499" s="12"/>
      <c r="H499"/>
      <c r="I499"/>
      <c r="K499" s="38"/>
    </row>
    <row r="500" spans="2:12" x14ac:dyDescent="0.3">
      <c r="B500" s="38"/>
      <c r="C500" s="40"/>
      <c r="D500" s="19"/>
      <c r="E500" s="39"/>
      <c r="F500" s="12"/>
      <c r="H500"/>
      <c r="I500"/>
      <c r="K500" s="38"/>
    </row>
    <row r="501" spans="2:12" x14ac:dyDescent="0.3">
      <c r="B501" s="38"/>
      <c r="C501" s="40"/>
      <c r="D501" s="19"/>
      <c r="E501" s="39"/>
      <c r="F501" s="12"/>
      <c r="H501"/>
      <c r="I501"/>
      <c r="K501" s="38"/>
    </row>
    <row r="502" spans="2:12" x14ac:dyDescent="0.3">
      <c r="B502" s="38"/>
      <c r="C502" s="40"/>
      <c r="D502" s="19"/>
      <c r="E502" s="39"/>
      <c r="F502" s="12"/>
      <c r="H502"/>
      <c r="I502"/>
      <c r="K502" s="38"/>
      <c r="L502" s="39"/>
    </row>
    <row r="503" spans="2:12" x14ac:dyDescent="0.3">
      <c r="B503" s="38"/>
      <c r="C503" s="40"/>
      <c r="D503" s="19"/>
      <c r="E503" s="39"/>
      <c r="F503" s="12"/>
      <c r="H503"/>
      <c r="I503"/>
      <c r="K503" s="38"/>
      <c r="L503" s="39"/>
    </row>
    <row r="504" spans="2:12" x14ac:dyDescent="0.3">
      <c r="B504" s="38"/>
      <c r="C504" s="40"/>
      <c r="D504" s="19"/>
      <c r="E504" s="39"/>
      <c r="F504" s="12"/>
      <c r="H504"/>
      <c r="I504"/>
      <c r="K504" s="38"/>
      <c r="L504" s="39"/>
    </row>
    <row r="505" spans="2:12" x14ac:dyDescent="0.3">
      <c r="B505" s="38"/>
      <c r="C505" s="40"/>
      <c r="D505" s="19"/>
      <c r="E505" s="39"/>
      <c r="F505" s="12"/>
      <c r="H505"/>
      <c r="I505"/>
      <c r="K505" s="38"/>
      <c r="L505" s="39"/>
    </row>
    <row r="506" spans="2:12" x14ac:dyDescent="0.3">
      <c r="B506" s="38"/>
      <c r="C506" s="40"/>
      <c r="D506" s="19"/>
      <c r="E506" s="39"/>
      <c r="F506" s="12"/>
      <c r="H506"/>
      <c r="I506"/>
      <c r="K506" s="38"/>
      <c r="L506" s="39"/>
    </row>
    <row r="507" spans="2:12" x14ac:dyDescent="0.3">
      <c r="C507" s="40"/>
      <c r="D507" s="19"/>
      <c r="E507" s="39"/>
      <c r="F507" s="11"/>
      <c r="H507"/>
      <c r="I507"/>
      <c r="K507" s="38"/>
    </row>
    <row r="508" spans="2:12" x14ac:dyDescent="0.3">
      <c r="C508" s="40"/>
      <c r="D508" s="19"/>
      <c r="E508" s="39"/>
      <c r="F508" s="11"/>
      <c r="H508"/>
      <c r="I508"/>
      <c r="K508" s="38"/>
      <c r="L508" s="39"/>
    </row>
    <row r="509" spans="2:12" x14ac:dyDescent="0.3">
      <c r="C509" s="40"/>
      <c r="D509" s="19"/>
      <c r="E509" s="39"/>
      <c r="F509" s="11"/>
      <c r="H509"/>
      <c r="I509"/>
      <c r="K509" s="38"/>
      <c r="L509" s="39"/>
    </row>
    <row r="510" spans="2:12" x14ac:dyDescent="0.3">
      <c r="C510" s="40"/>
      <c r="D510" s="19"/>
      <c r="E510" s="39"/>
      <c r="F510" s="11"/>
      <c r="H510"/>
      <c r="I510"/>
      <c r="K510" s="38"/>
      <c r="L510" s="39"/>
    </row>
    <row r="511" spans="2:12" x14ac:dyDescent="0.3">
      <c r="C511" s="40"/>
      <c r="D511" s="19"/>
      <c r="E511" s="39"/>
      <c r="F511" s="11"/>
      <c r="H511"/>
      <c r="I511"/>
      <c r="K511" s="38"/>
      <c r="L511" s="39"/>
    </row>
    <row r="512" spans="2:12" x14ac:dyDescent="0.3">
      <c r="C512" s="40"/>
      <c r="D512" s="19"/>
      <c r="E512" s="39"/>
      <c r="F512" s="11"/>
      <c r="H512"/>
      <c r="I512"/>
      <c r="K512" s="38"/>
      <c r="L512" s="39"/>
    </row>
    <row r="513" spans="2:24" x14ac:dyDescent="0.3">
      <c r="C513" s="40"/>
      <c r="D513" s="19"/>
      <c r="E513" s="39"/>
      <c r="F513" s="11"/>
      <c r="H513"/>
      <c r="I513"/>
      <c r="K513" s="38"/>
      <c r="L513" s="39"/>
    </row>
    <row r="514" spans="2:24" x14ac:dyDescent="0.3">
      <c r="C514" s="40"/>
      <c r="D514" s="19"/>
      <c r="E514" s="39"/>
      <c r="F514" s="11"/>
      <c r="H514"/>
      <c r="I514"/>
      <c r="K514" s="38"/>
      <c r="L514" s="39"/>
    </row>
    <row r="515" spans="2:24" x14ac:dyDescent="0.3">
      <c r="B515" s="38"/>
      <c r="C515" s="40"/>
      <c r="D515" s="19"/>
      <c r="E515" s="39"/>
      <c r="F515" s="12"/>
      <c r="H515"/>
      <c r="I515"/>
      <c r="K515" s="38"/>
      <c r="L515" s="39"/>
      <c r="M515" s="38"/>
      <c r="N515" s="39"/>
      <c r="O515" s="38"/>
      <c r="Q515" s="38"/>
      <c r="R515" s="39"/>
      <c r="S515" s="39"/>
      <c r="T515" s="38"/>
      <c r="V515" s="38"/>
      <c r="W515" s="39"/>
      <c r="X515" s="38"/>
    </row>
    <row r="516" spans="2:24" x14ac:dyDescent="0.3">
      <c r="B516" s="38"/>
      <c r="C516" s="40"/>
      <c r="D516" s="19"/>
      <c r="E516" s="39"/>
      <c r="F516" s="12"/>
      <c r="H516"/>
      <c r="I516"/>
      <c r="K516" s="38"/>
      <c r="L516" s="39"/>
      <c r="M516" s="38"/>
      <c r="N516" s="39"/>
      <c r="O516" s="38"/>
      <c r="Q516" s="38"/>
      <c r="R516" s="39"/>
      <c r="S516" s="39"/>
      <c r="T516" s="38"/>
      <c r="V516" s="38"/>
      <c r="W516" s="39"/>
      <c r="X516" s="38"/>
    </row>
    <row r="517" spans="2:24" x14ac:dyDescent="0.3">
      <c r="B517" s="38"/>
      <c r="C517" s="40"/>
      <c r="D517" s="19"/>
      <c r="E517" s="39"/>
      <c r="F517" s="12"/>
      <c r="H517"/>
      <c r="I517"/>
      <c r="K517" s="38"/>
      <c r="L517" s="39"/>
      <c r="M517" s="38"/>
      <c r="N517" s="39"/>
      <c r="O517" s="38"/>
      <c r="Q517" s="38"/>
      <c r="R517" s="39"/>
      <c r="S517" s="39"/>
      <c r="T517" s="38"/>
      <c r="V517" s="38"/>
      <c r="W517" s="39"/>
      <c r="X517" s="38"/>
    </row>
    <row r="518" spans="2:24" x14ac:dyDescent="0.3">
      <c r="B518" s="38"/>
      <c r="C518" s="40"/>
      <c r="D518" s="19"/>
      <c r="E518" s="39"/>
      <c r="F518" s="12"/>
      <c r="H518"/>
      <c r="I518"/>
      <c r="K518" s="38"/>
      <c r="L518" s="39"/>
      <c r="M518" s="38"/>
      <c r="N518" s="39"/>
      <c r="O518" s="38"/>
      <c r="Q518" s="38"/>
      <c r="R518" s="39"/>
      <c r="S518" s="39"/>
      <c r="T518" s="38"/>
      <c r="V518" s="38"/>
      <c r="W518" s="39"/>
      <c r="X518" s="38"/>
    </row>
    <row r="519" spans="2:24" x14ac:dyDescent="0.3">
      <c r="B519" s="38"/>
      <c r="C519" s="40"/>
      <c r="D519" s="19"/>
      <c r="E519" s="39"/>
      <c r="F519" s="12"/>
      <c r="H519"/>
      <c r="I519"/>
      <c r="K519" s="38"/>
      <c r="L519" s="39"/>
      <c r="M519" s="38"/>
      <c r="N519" s="39"/>
      <c r="O519" s="38"/>
      <c r="Q519" s="38"/>
      <c r="R519" s="39"/>
      <c r="S519" s="39"/>
      <c r="T519" s="38"/>
      <c r="V519" s="38"/>
      <c r="W519" s="39"/>
      <c r="X519" s="38"/>
    </row>
    <row r="520" spans="2:24" x14ac:dyDescent="0.3">
      <c r="B520" s="38"/>
      <c r="C520" s="40"/>
      <c r="D520" s="19"/>
      <c r="E520" s="39"/>
      <c r="F520" s="12"/>
      <c r="H520"/>
      <c r="I520"/>
      <c r="K520" s="38"/>
      <c r="L520" s="39"/>
      <c r="M520" s="38"/>
      <c r="N520" s="39"/>
      <c r="O520" s="38"/>
      <c r="Q520" s="38"/>
      <c r="R520" s="39"/>
      <c r="S520" s="39"/>
      <c r="T520" s="38"/>
      <c r="V520" s="38"/>
      <c r="W520" s="39"/>
      <c r="X520" s="38"/>
    </row>
    <row r="521" spans="2:24" x14ac:dyDescent="0.3">
      <c r="B521" s="38"/>
      <c r="C521" s="40"/>
      <c r="D521" s="19"/>
      <c r="E521" s="39"/>
      <c r="F521" s="12"/>
      <c r="H521"/>
      <c r="I521"/>
      <c r="K521" s="38"/>
      <c r="L521" s="39"/>
      <c r="M521" s="38"/>
      <c r="N521" s="39"/>
      <c r="O521" s="38"/>
      <c r="Q521" s="38"/>
      <c r="R521" s="39"/>
      <c r="S521" s="39"/>
      <c r="T521" s="38"/>
      <c r="V521" s="38"/>
      <c r="W521" s="39"/>
      <c r="X521" s="38"/>
    </row>
    <row r="522" spans="2:24" x14ac:dyDescent="0.3">
      <c r="B522" s="38"/>
      <c r="C522" s="40"/>
      <c r="D522" s="19"/>
      <c r="E522" s="39"/>
      <c r="F522" s="12"/>
      <c r="H522"/>
      <c r="I522"/>
      <c r="K522" s="38"/>
      <c r="L522" s="39"/>
      <c r="M522" s="38"/>
      <c r="N522" s="39"/>
      <c r="O522" s="38"/>
      <c r="Q522" s="38"/>
      <c r="R522" s="39"/>
      <c r="S522" s="39"/>
      <c r="T522" s="38"/>
      <c r="V522" s="38"/>
      <c r="W522" s="39"/>
      <c r="X522" s="38"/>
    </row>
    <row r="523" spans="2:24" x14ac:dyDescent="0.3">
      <c r="B523" s="38"/>
      <c r="C523" s="40"/>
      <c r="D523" s="19"/>
      <c r="E523" s="39"/>
      <c r="F523" s="12"/>
      <c r="H523"/>
      <c r="I523"/>
      <c r="K523" s="38"/>
      <c r="L523" s="39"/>
      <c r="M523" s="38"/>
      <c r="N523" s="39"/>
      <c r="O523" s="38"/>
      <c r="Q523" s="38"/>
      <c r="R523" s="39"/>
      <c r="S523" s="39"/>
      <c r="T523" s="38"/>
      <c r="V523" s="38"/>
      <c r="W523" s="39"/>
      <c r="X523" s="38"/>
    </row>
    <row r="524" spans="2:24" x14ac:dyDescent="0.3">
      <c r="B524" s="38"/>
      <c r="C524" s="40"/>
      <c r="D524" s="19"/>
      <c r="E524" s="39"/>
      <c r="F524" s="12"/>
      <c r="H524"/>
      <c r="I524"/>
      <c r="K524" s="38"/>
      <c r="L524" s="39"/>
      <c r="M524" s="38"/>
      <c r="N524" s="39"/>
      <c r="O524" s="38"/>
      <c r="Q524" s="38"/>
      <c r="R524" s="39"/>
      <c r="S524" s="39"/>
      <c r="T524" s="38"/>
      <c r="V524" s="38"/>
      <c r="W524" s="39"/>
      <c r="X524" s="38"/>
    </row>
    <row r="525" spans="2:24" x14ac:dyDescent="0.3">
      <c r="B525" s="38"/>
      <c r="C525" s="40"/>
      <c r="D525" s="19"/>
      <c r="E525" s="39"/>
      <c r="F525" s="12"/>
      <c r="H525"/>
      <c r="I525"/>
      <c r="K525" s="38"/>
      <c r="L525" s="39"/>
      <c r="M525" s="38"/>
      <c r="N525" s="39"/>
      <c r="O525" s="38"/>
      <c r="Q525" s="38"/>
      <c r="R525" s="39"/>
      <c r="S525" s="39"/>
      <c r="T525" s="38"/>
      <c r="V525" s="38"/>
      <c r="W525" s="39"/>
      <c r="X525" s="38"/>
    </row>
    <row r="526" spans="2:24" x14ac:dyDescent="0.3">
      <c r="B526" s="38"/>
      <c r="C526" s="40"/>
      <c r="D526" s="19"/>
      <c r="E526" s="39"/>
      <c r="F526" s="12"/>
      <c r="H526"/>
      <c r="I526"/>
      <c r="K526" s="38"/>
      <c r="L526" s="39"/>
      <c r="M526" s="38"/>
      <c r="N526" s="39"/>
      <c r="O526" s="38"/>
      <c r="Q526" s="38"/>
      <c r="R526" s="39"/>
      <c r="S526" s="39"/>
      <c r="T526" s="38"/>
      <c r="V526" s="38"/>
      <c r="W526" s="39"/>
      <c r="X526" s="38"/>
    </row>
    <row r="527" spans="2:24" x14ac:dyDescent="0.3">
      <c r="B527" s="38"/>
      <c r="C527" s="40"/>
      <c r="D527" s="19"/>
      <c r="E527" s="39"/>
      <c r="F527" s="12"/>
      <c r="H527"/>
      <c r="I527"/>
      <c r="K527" s="38"/>
      <c r="L527" s="39"/>
      <c r="M527" s="38"/>
      <c r="N527" s="39"/>
      <c r="O527" s="38"/>
      <c r="Q527" s="38"/>
      <c r="R527" s="39"/>
      <c r="S527" s="39"/>
      <c r="T527" s="38"/>
      <c r="V527" s="38"/>
      <c r="W527" s="39"/>
      <c r="X527" s="38"/>
    </row>
    <row r="528" spans="2:24" x14ac:dyDescent="0.3">
      <c r="B528" s="38"/>
      <c r="C528" s="40"/>
      <c r="D528" s="19"/>
      <c r="E528" s="39"/>
      <c r="F528" s="12"/>
      <c r="H528"/>
      <c r="I528"/>
      <c r="K528" s="38"/>
      <c r="L528" s="39"/>
      <c r="M528" s="38"/>
      <c r="N528" s="39"/>
      <c r="O528" s="38"/>
      <c r="Q528" s="38"/>
      <c r="R528" s="39"/>
      <c r="S528" s="39"/>
      <c r="T528" s="38"/>
      <c r="V528" s="38"/>
      <c r="W528" s="39"/>
      <c r="X528" s="38"/>
    </row>
    <row r="529" spans="2:24" x14ac:dyDescent="0.3">
      <c r="B529" s="38"/>
      <c r="C529" s="40"/>
      <c r="D529" s="19"/>
      <c r="E529" s="39"/>
      <c r="F529" s="12"/>
      <c r="H529"/>
      <c r="I529"/>
      <c r="K529" s="38"/>
      <c r="L529" s="39"/>
      <c r="M529" s="38"/>
      <c r="N529" s="39"/>
      <c r="O529" s="38"/>
      <c r="Q529" s="38"/>
      <c r="R529" s="39"/>
      <c r="S529" s="39"/>
      <c r="T529" s="38"/>
      <c r="V529" s="38"/>
      <c r="W529" s="39"/>
      <c r="X529" s="38"/>
    </row>
    <row r="530" spans="2:24" x14ac:dyDescent="0.3">
      <c r="B530" s="38"/>
      <c r="C530" s="40"/>
      <c r="D530" s="19"/>
      <c r="E530" s="39"/>
      <c r="F530" s="12"/>
      <c r="H530"/>
      <c r="I530"/>
      <c r="K530" s="38"/>
      <c r="L530" s="39"/>
      <c r="M530" s="38"/>
      <c r="N530" s="39"/>
      <c r="O530" s="38"/>
      <c r="Q530" s="38"/>
      <c r="R530" s="39"/>
      <c r="S530" s="39"/>
      <c r="T530" s="38"/>
      <c r="V530" s="38"/>
      <c r="W530" s="39"/>
      <c r="X530" s="38"/>
    </row>
    <row r="531" spans="2:24" x14ac:dyDescent="0.3">
      <c r="B531" s="38"/>
      <c r="C531" s="40"/>
      <c r="D531" s="19"/>
      <c r="E531" s="39"/>
      <c r="F531" s="12"/>
      <c r="H531"/>
      <c r="I531"/>
      <c r="K531" s="38"/>
      <c r="L531" s="39"/>
      <c r="M531" s="38"/>
      <c r="N531" s="39"/>
      <c r="O531" s="38"/>
      <c r="Q531" s="38"/>
      <c r="R531" s="39"/>
      <c r="S531" s="39"/>
      <c r="T531" s="38"/>
      <c r="V531" s="38"/>
      <c r="W531" s="39"/>
      <c r="X531" s="38"/>
    </row>
    <row r="532" spans="2:24" x14ac:dyDescent="0.3">
      <c r="B532" s="38"/>
      <c r="C532" s="40"/>
      <c r="D532" s="19"/>
      <c r="E532" s="39"/>
      <c r="F532" s="12"/>
      <c r="H532"/>
      <c r="I532"/>
      <c r="K532" s="38"/>
      <c r="L532" s="39"/>
      <c r="M532" s="38"/>
      <c r="N532" s="39"/>
      <c r="O532" s="38"/>
      <c r="Q532" s="38"/>
      <c r="R532" s="39"/>
      <c r="S532" s="39"/>
      <c r="T532" s="38"/>
      <c r="V532" s="38"/>
      <c r="W532" s="39"/>
      <c r="X532" s="38"/>
    </row>
    <row r="533" spans="2:24" x14ac:dyDescent="0.3">
      <c r="B533" s="38"/>
      <c r="C533" s="40"/>
      <c r="D533" s="19"/>
      <c r="E533" s="39"/>
      <c r="F533" s="12"/>
      <c r="H533"/>
      <c r="I533"/>
      <c r="K533" s="38"/>
      <c r="L533" s="39"/>
      <c r="M533" s="38"/>
      <c r="N533" s="39"/>
      <c r="O533" s="38"/>
      <c r="Q533" s="38"/>
      <c r="R533" s="39"/>
      <c r="S533" s="39"/>
      <c r="T533" s="38"/>
      <c r="V533" s="38"/>
      <c r="W533" s="39"/>
      <c r="X533" s="38"/>
    </row>
    <row r="534" spans="2:24" x14ac:dyDescent="0.3">
      <c r="B534" s="38"/>
      <c r="C534" s="40"/>
      <c r="D534" s="19"/>
      <c r="E534" s="39"/>
      <c r="F534" s="12"/>
      <c r="H534"/>
      <c r="I534"/>
      <c r="K534" s="38"/>
      <c r="L534" s="39"/>
      <c r="M534" s="38"/>
      <c r="N534" s="39"/>
      <c r="O534" s="38"/>
      <c r="Q534" s="38"/>
      <c r="R534" s="39"/>
      <c r="S534" s="39"/>
      <c r="T534" s="38"/>
      <c r="V534" s="38"/>
      <c r="W534" s="39"/>
      <c r="X534" s="38"/>
    </row>
    <row r="535" spans="2:24" x14ac:dyDescent="0.3">
      <c r="B535" s="38"/>
      <c r="C535" s="40"/>
      <c r="D535" s="19"/>
      <c r="E535" s="39"/>
      <c r="F535" s="12"/>
      <c r="H535"/>
      <c r="I535"/>
      <c r="K535" s="38"/>
      <c r="L535" s="39"/>
      <c r="M535" s="38"/>
      <c r="N535" s="39"/>
      <c r="O535" s="38"/>
      <c r="Q535" s="38"/>
      <c r="R535" s="39"/>
      <c r="S535" s="39"/>
      <c r="T535" s="38"/>
      <c r="V535" s="38"/>
      <c r="W535" s="39"/>
      <c r="X535" s="38"/>
    </row>
    <row r="536" spans="2:24" x14ac:dyDescent="0.3">
      <c r="B536" s="38"/>
      <c r="C536" s="40"/>
      <c r="D536" s="19"/>
      <c r="E536" s="39"/>
      <c r="F536" s="12"/>
      <c r="H536"/>
      <c r="I536"/>
      <c r="K536" s="38"/>
      <c r="L536" s="39"/>
      <c r="M536" s="38"/>
      <c r="N536" s="39"/>
      <c r="O536" s="38"/>
      <c r="Q536" s="38"/>
      <c r="R536" s="39"/>
      <c r="S536" s="39"/>
      <c r="T536" s="38"/>
      <c r="V536" s="38"/>
      <c r="W536" s="39"/>
      <c r="X536" s="38"/>
    </row>
    <row r="537" spans="2:24" x14ac:dyDescent="0.3">
      <c r="B537" s="38"/>
      <c r="C537" s="40"/>
      <c r="D537" s="19"/>
      <c r="E537" s="39"/>
      <c r="F537" s="12"/>
      <c r="H537"/>
      <c r="I537"/>
      <c r="K537" s="38"/>
      <c r="L537" s="39"/>
      <c r="M537" s="38"/>
      <c r="N537" s="39"/>
      <c r="O537" s="38"/>
      <c r="Q537" s="38"/>
      <c r="R537" s="39"/>
      <c r="S537" s="39"/>
      <c r="T537" s="38"/>
      <c r="V537" s="38"/>
      <c r="W537" s="39"/>
      <c r="X537" s="38"/>
    </row>
    <row r="538" spans="2:24" x14ac:dyDescent="0.3">
      <c r="B538" s="38"/>
      <c r="C538" s="40"/>
      <c r="D538" s="19"/>
      <c r="E538" s="39"/>
      <c r="F538" s="12"/>
      <c r="H538"/>
      <c r="I538"/>
      <c r="K538" s="38"/>
      <c r="L538" s="39"/>
      <c r="M538" s="38"/>
      <c r="N538" s="39"/>
      <c r="O538" s="38"/>
      <c r="Q538" s="38"/>
      <c r="R538" s="39"/>
      <c r="S538" s="39"/>
      <c r="T538" s="38"/>
      <c r="V538" s="38"/>
      <c r="W538" s="39"/>
      <c r="X538" s="38"/>
    </row>
    <row r="539" spans="2:24" x14ac:dyDescent="0.3">
      <c r="B539" s="38"/>
      <c r="C539" s="40"/>
      <c r="D539" s="19"/>
      <c r="E539" s="39"/>
      <c r="F539" s="12"/>
      <c r="H539"/>
      <c r="I539"/>
      <c r="K539" s="38"/>
      <c r="L539" s="39"/>
      <c r="M539" s="38"/>
      <c r="N539" s="39"/>
      <c r="O539" s="38"/>
      <c r="Q539" s="38"/>
      <c r="R539" s="39"/>
      <c r="S539" s="39"/>
      <c r="T539" s="38"/>
      <c r="V539" s="38"/>
      <c r="W539" s="39"/>
      <c r="X539" s="38"/>
    </row>
    <row r="540" spans="2:24" x14ac:dyDescent="0.3">
      <c r="B540" s="38"/>
      <c r="C540" s="40"/>
      <c r="D540" s="19"/>
      <c r="E540" s="39"/>
      <c r="F540" s="12"/>
      <c r="H540"/>
      <c r="I540"/>
      <c r="K540" s="38"/>
      <c r="L540" s="39"/>
      <c r="M540" s="38"/>
      <c r="N540" s="39"/>
      <c r="O540" s="38"/>
      <c r="Q540" s="38"/>
      <c r="R540" s="39"/>
      <c r="S540" s="39"/>
      <c r="T540" s="38"/>
      <c r="V540" s="38"/>
      <c r="W540" s="39"/>
      <c r="X540" s="38"/>
    </row>
    <row r="541" spans="2:24" x14ac:dyDescent="0.3">
      <c r="B541" s="38"/>
      <c r="C541" s="40"/>
      <c r="D541" s="19"/>
      <c r="E541" s="39"/>
      <c r="F541" s="12"/>
      <c r="H541"/>
      <c r="I541"/>
      <c r="K541" s="38"/>
      <c r="L541" s="39"/>
      <c r="M541" s="38"/>
      <c r="N541" s="39"/>
      <c r="O541" s="38"/>
      <c r="Q541" s="38"/>
      <c r="R541" s="39"/>
      <c r="S541" s="39"/>
      <c r="T541" s="38"/>
      <c r="V541" s="38"/>
      <c r="W541" s="39"/>
      <c r="X541" s="38"/>
    </row>
    <row r="542" spans="2:24" x14ac:dyDescent="0.3">
      <c r="B542" s="38"/>
      <c r="C542" s="40"/>
      <c r="D542" s="19"/>
      <c r="E542" s="39"/>
      <c r="F542" s="12"/>
      <c r="H542"/>
      <c r="I542"/>
      <c r="K542" s="38"/>
      <c r="L542" s="39"/>
      <c r="M542" s="38"/>
      <c r="N542" s="39"/>
      <c r="O542" s="38"/>
      <c r="Q542" s="38"/>
      <c r="R542" s="39"/>
      <c r="S542" s="39"/>
      <c r="T542" s="38"/>
      <c r="V542" s="38"/>
      <c r="W542" s="39"/>
      <c r="X542" s="38"/>
    </row>
    <row r="543" spans="2:24" x14ac:dyDescent="0.3">
      <c r="B543" s="38"/>
      <c r="C543" s="40"/>
      <c r="D543" s="19"/>
      <c r="E543" s="39"/>
      <c r="F543" s="12"/>
      <c r="H543"/>
      <c r="I543"/>
      <c r="K543" s="38"/>
      <c r="L543" s="39"/>
      <c r="M543" s="38"/>
      <c r="N543" s="39"/>
      <c r="O543" s="38"/>
      <c r="Q543" s="38"/>
      <c r="R543" s="39"/>
      <c r="S543" s="39"/>
      <c r="T543" s="38"/>
      <c r="V543" s="38"/>
      <c r="W543" s="39"/>
      <c r="X543" s="38"/>
    </row>
    <row r="544" spans="2:24" x14ac:dyDescent="0.3">
      <c r="B544" s="38"/>
      <c r="C544" s="40"/>
      <c r="D544" s="19"/>
      <c r="E544" s="39"/>
      <c r="F544" s="12"/>
      <c r="H544"/>
      <c r="I544"/>
      <c r="K544" s="38"/>
      <c r="L544" s="39"/>
      <c r="M544" s="38"/>
      <c r="N544" s="39"/>
      <c r="O544" s="38"/>
      <c r="Q544" s="38"/>
      <c r="R544" s="39"/>
      <c r="S544" s="39"/>
      <c r="T544" s="38"/>
      <c r="V544" s="38"/>
      <c r="W544" s="39"/>
      <c r="X544" s="38"/>
    </row>
    <row r="545" spans="2:24" x14ac:dyDescent="0.3">
      <c r="B545" s="38"/>
      <c r="C545" s="40"/>
      <c r="D545" s="19"/>
      <c r="E545" s="39"/>
      <c r="F545" s="12"/>
      <c r="H545"/>
      <c r="I545"/>
      <c r="K545" s="38"/>
      <c r="L545" s="39"/>
      <c r="M545" s="38"/>
      <c r="N545" s="39"/>
      <c r="O545" s="38"/>
      <c r="Q545" s="38"/>
      <c r="R545" s="39"/>
      <c r="S545" s="39"/>
      <c r="T545" s="38"/>
      <c r="V545" s="38"/>
      <c r="W545" s="39"/>
      <c r="X545" s="38"/>
    </row>
    <row r="546" spans="2:24" x14ac:dyDescent="0.3">
      <c r="B546" s="38"/>
      <c r="C546" s="40"/>
      <c r="D546" s="19"/>
      <c r="E546" s="39"/>
      <c r="F546" s="12"/>
      <c r="H546"/>
      <c r="I546"/>
      <c r="K546" s="38"/>
      <c r="L546" s="39"/>
      <c r="M546" s="38"/>
      <c r="N546" s="39"/>
      <c r="O546" s="38"/>
      <c r="Q546" s="38"/>
      <c r="R546" s="39"/>
      <c r="S546" s="39"/>
      <c r="T546" s="38"/>
      <c r="V546" s="38"/>
      <c r="W546" s="39"/>
      <c r="X546" s="38"/>
    </row>
    <row r="547" spans="2:24" x14ac:dyDescent="0.3">
      <c r="B547" s="38"/>
      <c r="C547" s="40"/>
      <c r="D547" s="19"/>
      <c r="E547" s="39"/>
      <c r="F547" s="12"/>
      <c r="H547"/>
      <c r="I547"/>
      <c r="K547" s="38"/>
      <c r="L547" s="39"/>
      <c r="M547" s="38"/>
      <c r="N547" s="39"/>
      <c r="O547" s="38"/>
      <c r="Q547" s="38"/>
      <c r="R547" s="39"/>
      <c r="S547" s="39"/>
      <c r="T547" s="38"/>
      <c r="V547" s="38"/>
      <c r="W547" s="39"/>
      <c r="X547" s="38"/>
    </row>
    <row r="548" spans="2:24" x14ac:dyDescent="0.3">
      <c r="B548" s="38"/>
      <c r="C548" s="40"/>
      <c r="D548" s="19"/>
      <c r="E548" s="39"/>
      <c r="F548" s="12"/>
      <c r="H548"/>
      <c r="I548"/>
      <c r="K548" s="38"/>
      <c r="L548" s="39"/>
      <c r="M548" s="38"/>
      <c r="N548" s="39"/>
      <c r="O548" s="38"/>
      <c r="Q548" s="38"/>
      <c r="R548" s="39"/>
      <c r="S548" s="39"/>
      <c r="T548" s="38"/>
      <c r="V548" s="38"/>
      <c r="W548" s="39"/>
      <c r="X548" s="38"/>
    </row>
    <row r="549" spans="2:24" x14ac:dyDescent="0.3">
      <c r="B549" s="38"/>
      <c r="C549" s="40"/>
      <c r="D549" s="19"/>
      <c r="E549" s="39"/>
      <c r="F549" s="12"/>
      <c r="H549"/>
      <c r="I549"/>
      <c r="K549" s="38"/>
      <c r="L549" s="39"/>
      <c r="M549" s="38"/>
      <c r="N549" s="39"/>
      <c r="O549" s="38"/>
      <c r="Q549" s="38"/>
      <c r="R549" s="39"/>
      <c r="S549" s="39"/>
      <c r="T549" s="38"/>
      <c r="V549" s="38"/>
      <c r="W549" s="39"/>
      <c r="X549" s="38"/>
    </row>
    <row r="550" spans="2:24" x14ac:dyDescent="0.3">
      <c r="B550" s="38"/>
      <c r="C550" s="40"/>
      <c r="D550" s="19"/>
      <c r="E550" s="39"/>
      <c r="F550" s="12"/>
      <c r="H550"/>
      <c r="I550"/>
      <c r="K550" s="38"/>
      <c r="L550" s="39"/>
      <c r="M550" s="38"/>
      <c r="N550" s="39"/>
      <c r="O550" s="38"/>
      <c r="Q550" s="38"/>
      <c r="R550" s="39"/>
      <c r="S550" s="39"/>
      <c r="T550" s="38"/>
      <c r="V550" s="38"/>
      <c r="W550" s="39"/>
      <c r="X550" s="38"/>
    </row>
    <row r="551" spans="2:24" x14ac:dyDescent="0.3">
      <c r="B551" s="38"/>
      <c r="C551" s="40"/>
      <c r="D551" s="19"/>
      <c r="E551" s="39"/>
      <c r="F551" s="12"/>
      <c r="H551"/>
      <c r="I551"/>
      <c r="K551" s="38"/>
      <c r="L551" s="39"/>
      <c r="M551" s="38"/>
      <c r="N551" s="39"/>
      <c r="O551" s="38"/>
      <c r="Q551" s="38"/>
      <c r="R551" s="39"/>
      <c r="S551" s="39"/>
      <c r="T551" s="38"/>
      <c r="V551" s="38"/>
      <c r="W551" s="39"/>
      <c r="X551" s="38"/>
    </row>
    <row r="552" spans="2:24" x14ac:dyDescent="0.3">
      <c r="B552" s="38"/>
      <c r="C552" s="40"/>
      <c r="D552" s="19"/>
      <c r="E552" s="39"/>
      <c r="F552" s="12"/>
      <c r="H552"/>
      <c r="I552"/>
      <c r="K552" s="38"/>
      <c r="L552" s="39"/>
      <c r="M552" s="38"/>
      <c r="N552" s="39"/>
      <c r="O552" s="38"/>
      <c r="Q552" s="38"/>
      <c r="R552" s="39"/>
      <c r="S552" s="39"/>
      <c r="T552" s="38"/>
      <c r="V552" s="38"/>
      <c r="W552" s="39"/>
      <c r="X552" s="38"/>
    </row>
    <row r="553" spans="2:24" x14ac:dyDescent="0.3">
      <c r="B553" s="38"/>
      <c r="C553" s="40"/>
      <c r="D553" s="19"/>
      <c r="E553" s="39"/>
      <c r="F553" s="12"/>
      <c r="H553"/>
      <c r="I553"/>
      <c r="K553" s="38"/>
      <c r="L553" s="39"/>
      <c r="M553" s="38"/>
      <c r="N553" s="39"/>
      <c r="O553" s="38"/>
      <c r="Q553" s="38"/>
      <c r="R553" s="39"/>
      <c r="S553" s="39"/>
      <c r="T553" s="38"/>
      <c r="V553" s="38"/>
      <c r="W553" s="39"/>
      <c r="X553" s="38"/>
    </row>
    <row r="554" spans="2:24" x14ac:dyDescent="0.3">
      <c r="B554" s="38"/>
      <c r="C554" s="40"/>
      <c r="D554" s="19"/>
      <c r="E554" s="39"/>
      <c r="F554" s="12"/>
      <c r="H554"/>
      <c r="I554"/>
      <c r="K554" s="38"/>
      <c r="L554" s="39"/>
      <c r="M554" s="38"/>
      <c r="N554" s="39"/>
      <c r="O554" s="38"/>
      <c r="Q554" s="38"/>
      <c r="R554" s="39"/>
      <c r="S554" s="39"/>
      <c r="T554" s="38"/>
      <c r="V554" s="38"/>
      <c r="W554" s="39"/>
      <c r="X554" s="38"/>
    </row>
    <row r="555" spans="2:24" x14ac:dyDescent="0.3">
      <c r="B555" s="38"/>
      <c r="C555" s="40"/>
      <c r="D555" s="19"/>
      <c r="E555" s="39"/>
      <c r="F555" s="12"/>
      <c r="H555"/>
      <c r="I555"/>
      <c r="K555" s="38"/>
      <c r="L555" s="39"/>
      <c r="M555" s="38"/>
      <c r="N555" s="39"/>
      <c r="O555" s="38"/>
      <c r="Q555" s="38"/>
      <c r="R555" s="39"/>
      <c r="S555" s="39"/>
      <c r="T555" s="38"/>
      <c r="V555" s="38"/>
      <c r="W555" s="39"/>
      <c r="X555" s="38"/>
    </row>
    <row r="556" spans="2:24" x14ac:dyDescent="0.3">
      <c r="B556" s="38"/>
      <c r="C556" s="40"/>
      <c r="D556" s="19"/>
      <c r="E556" s="39"/>
      <c r="F556" s="12"/>
      <c r="H556"/>
      <c r="I556"/>
      <c r="K556" s="38"/>
      <c r="L556" s="39"/>
      <c r="M556" s="38"/>
      <c r="N556" s="39"/>
      <c r="O556" s="38"/>
      <c r="Q556" s="38"/>
      <c r="R556" s="39"/>
      <c r="S556" s="39"/>
      <c r="T556" s="38"/>
      <c r="V556" s="38"/>
      <c r="W556" s="39"/>
      <c r="X556" s="38"/>
    </row>
    <row r="557" spans="2:24" x14ac:dyDescent="0.3">
      <c r="B557" s="38"/>
      <c r="C557" s="40"/>
      <c r="D557" s="19"/>
      <c r="E557" s="39"/>
      <c r="F557" s="12"/>
      <c r="H557"/>
      <c r="I557"/>
      <c r="K557" s="38"/>
      <c r="L557" s="39"/>
      <c r="M557" s="38"/>
      <c r="N557" s="39"/>
      <c r="O557" s="38"/>
      <c r="Q557" s="38"/>
      <c r="R557" s="39"/>
      <c r="S557" s="39"/>
      <c r="T557" s="38"/>
      <c r="V557" s="38"/>
      <c r="W557" s="39"/>
      <c r="X557" s="38"/>
    </row>
    <row r="558" spans="2:24" x14ac:dyDescent="0.3">
      <c r="B558" s="38"/>
      <c r="C558" s="40"/>
      <c r="D558" s="19"/>
      <c r="E558" s="39"/>
      <c r="F558" s="12"/>
      <c r="H558"/>
      <c r="I558"/>
      <c r="K558" s="38"/>
      <c r="L558" s="39"/>
      <c r="M558" s="38"/>
      <c r="N558" s="39"/>
      <c r="O558" s="38"/>
      <c r="Q558" s="38"/>
      <c r="R558" s="39"/>
      <c r="S558" s="39"/>
      <c r="T558" s="38"/>
      <c r="V558" s="38"/>
      <c r="W558" s="39"/>
      <c r="X558" s="38"/>
    </row>
    <row r="559" spans="2:24" x14ac:dyDescent="0.3">
      <c r="B559" s="38"/>
      <c r="C559" s="40"/>
      <c r="D559" s="19"/>
      <c r="E559" s="39"/>
      <c r="F559" s="12"/>
      <c r="H559"/>
      <c r="I559"/>
      <c r="K559" s="38"/>
      <c r="L559" s="39"/>
      <c r="M559" s="38"/>
      <c r="N559" s="39"/>
      <c r="O559" s="38"/>
      <c r="Q559" s="38"/>
      <c r="R559" s="39"/>
      <c r="S559" s="39"/>
      <c r="T559" s="38"/>
      <c r="V559" s="38"/>
      <c r="W559" s="39"/>
      <c r="X559" s="38"/>
    </row>
    <row r="560" spans="2:24" x14ac:dyDescent="0.3">
      <c r="B560" s="38"/>
      <c r="C560" s="40"/>
      <c r="D560" s="19"/>
      <c r="E560" s="39"/>
      <c r="F560" s="12"/>
      <c r="H560"/>
      <c r="I560"/>
      <c r="K560" s="38"/>
      <c r="L560" s="39"/>
      <c r="M560" s="38"/>
      <c r="N560" s="39"/>
      <c r="O560" s="38"/>
      <c r="Q560" s="38"/>
      <c r="R560" s="39"/>
      <c r="S560" s="39"/>
      <c r="T560" s="38"/>
      <c r="V560" s="38"/>
      <c r="W560" s="39"/>
      <c r="X560" s="38"/>
    </row>
    <row r="561" spans="2:24" x14ac:dyDescent="0.3">
      <c r="B561" s="38"/>
      <c r="C561" s="40"/>
      <c r="D561" s="19"/>
      <c r="E561" s="39"/>
      <c r="F561" s="12"/>
      <c r="H561"/>
      <c r="I561"/>
      <c r="K561" s="38"/>
      <c r="L561" s="39"/>
      <c r="N561" s="39"/>
      <c r="O561" s="38"/>
      <c r="Q561" s="38"/>
      <c r="R561" s="39"/>
      <c r="S561" s="39"/>
      <c r="T561" s="38"/>
      <c r="V561" s="38"/>
      <c r="W561" s="39"/>
      <c r="X561" s="38"/>
    </row>
    <row r="562" spans="2:24" x14ac:dyDescent="0.3">
      <c r="B562" s="38"/>
      <c r="C562" s="40"/>
      <c r="D562" s="19"/>
      <c r="E562" s="39"/>
      <c r="F562" s="12"/>
      <c r="H562"/>
      <c r="I562"/>
      <c r="K562" s="38"/>
      <c r="L562" s="39"/>
      <c r="N562" s="39"/>
      <c r="O562" s="38"/>
      <c r="Q562" s="38"/>
      <c r="R562" s="39"/>
      <c r="S562" s="39"/>
      <c r="T562" s="38"/>
      <c r="V562" s="38"/>
      <c r="W562" s="39"/>
      <c r="X562" s="38"/>
    </row>
    <row r="563" spans="2:24" x14ac:dyDescent="0.3">
      <c r="B563" s="38"/>
      <c r="C563" s="40"/>
      <c r="D563" s="19"/>
      <c r="E563" s="39"/>
      <c r="F563" s="12"/>
      <c r="H563"/>
      <c r="I563"/>
      <c r="K563" s="38"/>
      <c r="L563" s="39"/>
      <c r="N563" s="39"/>
      <c r="O563" s="38"/>
      <c r="Q563" s="38"/>
      <c r="R563" s="39"/>
      <c r="S563" s="39"/>
      <c r="T563" s="38"/>
      <c r="V563" s="38"/>
      <c r="W563" s="39"/>
      <c r="X563" s="38"/>
    </row>
    <row r="564" spans="2:24" x14ac:dyDescent="0.3">
      <c r="B564" s="38"/>
      <c r="C564" s="40"/>
      <c r="D564" s="19"/>
      <c r="E564" s="39"/>
      <c r="F564" s="12"/>
      <c r="H564"/>
      <c r="I564"/>
      <c r="K564" s="38"/>
      <c r="L564" s="39"/>
      <c r="M564" s="38"/>
      <c r="N564" s="39"/>
      <c r="O564" s="38"/>
      <c r="Q564" s="38"/>
      <c r="R564" s="39"/>
      <c r="S564" s="39"/>
      <c r="T564" s="38"/>
      <c r="V564" s="38"/>
      <c r="W564" s="39"/>
      <c r="X564" s="38"/>
    </row>
    <row r="565" spans="2:24" x14ac:dyDescent="0.3">
      <c r="B565" s="38"/>
      <c r="C565" s="40"/>
      <c r="D565" s="19"/>
      <c r="E565" s="39"/>
      <c r="F565" s="12"/>
      <c r="H565"/>
      <c r="I565"/>
      <c r="K565" s="38"/>
      <c r="L565" s="39"/>
      <c r="M565" s="38"/>
      <c r="N565" s="39"/>
      <c r="O565" s="38"/>
      <c r="Q565" s="38"/>
      <c r="R565" s="39"/>
      <c r="S565" s="39"/>
      <c r="T565" s="38"/>
      <c r="V565" s="38"/>
      <c r="W565" s="39"/>
      <c r="X565" s="38"/>
    </row>
    <row r="566" spans="2:24" x14ac:dyDescent="0.3">
      <c r="B566" s="38"/>
      <c r="C566" s="40"/>
      <c r="D566" s="19"/>
      <c r="E566" s="39"/>
      <c r="F566" s="12"/>
      <c r="H566"/>
      <c r="I566"/>
      <c r="K566" s="38"/>
      <c r="L566" s="39"/>
      <c r="M566" s="38"/>
      <c r="N566" s="39"/>
      <c r="O566" s="38"/>
      <c r="Q566" s="38"/>
      <c r="R566" s="39"/>
      <c r="S566" s="39"/>
      <c r="T566" s="38"/>
      <c r="V566" s="38"/>
      <c r="W566" s="39"/>
      <c r="X566" s="38"/>
    </row>
    <row r="567" spans="2:24" x14ac:dyDescent="0.3">
      <c r="B567" s="38"/>
      <c r="C567" s="40"/>
      <c r="D567" s="19"/>
      <c r="E567" s="39"/>
      <c r="F567" s="12"/>
      <c r="H567"/>
      <c r="I567"/>
      <c r="K567" s="38"/>
      <c r="L567" s="39"/>
      <c r="M567" s="38"/>
      <c r="N567" s="39"/>
      <c r="O567" s="38"/>
      <c r="Q567" s="38"/>
      <c r="R567" s="39"/>
      <c r="S567" s="39"/>
      <c r="T567" s="38"/>
      <c r="V567" s="38"/>
      <c r="W567" s="39"/>
      <c r="X567" s="38"/>
    </row>
    <row r="568" spans="2:24" x14ac:dyDescent="0.3">
      <c r="B568" s="38"/>
      <c r="C568" s="40"/>
      <c r="D568" s="19"/>
      <c r="E568" s="39"/>
      <c r="F568" s="12"/>
      <c r="H568"/>
      <c r="I568"/>
      <c r="K568" s="38"/>
      <c r="L568" s="39"/>
      <c r="M568" s="38"/>
      <c r="N568" s="39"/>
      <c r="O568" s="38"/>
      <c r="Q568" s="38"/>
      <c r="R568" s="39"/>
      <c r="S568" s="39"/>
      <c r="T568" s="38"/>
      <c r="V568" s="38"/>
      <c r="W568" s="39"/>
      <c r="X568" s="38"/>
    </row>
    <row r="569" spans="2:24" x14ac:dyDescent="0.3">
      <c r="B569" s="38"/>
      <c r="C569" s="40"/>
      <c r="D569" s="19"/>
      <c r="E569" s="39"/>
      <c r="F569" s="12"/>
      <c r="H569"/>
      <c r="I569"/>
      <c r="K569" s="38"/>
      <c r="L569" s="39"/>
      <c r="M569" s="38"/>
      <c r="N569" s="39"/>
      <c r="O569" s="38"/>
      <c r="Q569" s="38"/>
      <c r="R569" s="39"/>
      <c r="S569" s="39"/>
      <c r="T569" s="38"/>
      <c r="V569" s="38"/>
      <c r="W569" s="39"/>
      <c r="X569" s="38"/>
    </row>
    <row r="570" spans="2:24" x14ac:dyDescent="0.3">
      <c r="B570" s="38"/>
      <c r="C570" s="40"/>
      <c r="D570" s="19"/>
      <c r="E570" s="39"/>
      <c r="F570" s="12"/>
      <c r="H570"/>
      <c r="I570"/>
      <c r="K570" s="38"/>
      <c r="L570" s="39"/>
      <c r="M570" s="38"/>
      <c r="N570" s="39"/>
      <c r="O570" s="38"/>
      <c r="Q570" s="38"/>
      <c r="R570" s="39"/>
      <c r="S570" s="39"/>
      <c r="T570" s="38"/>
      <c r="V570" s="38"/>
      <c r="W570" s="39"/>
      <c r="X570" s="38"/>
    </row>
    <row r="571" spans="2:24" x14ac:dyDescent="0.3">
      <c r="B571" s="38"/>
      <c r="C571" s="40"/>
      <c r="D571" s="19"/>
      <c r="E571" s="39"/>
      <c r="F571" s="12"/>
      <c r="H571"/>
      <c r="I571"/>
      <c r="K571" s="38"/>
      <c r="L571" s="39"/>
      <c r="M571" s="38"/>
      <c r="N571" s="39"/>
      <c r="O571" s="38"/>
      <c r="Q571" s="38"/>
      <c r="R571" s="39"/>
      <c r="S571" s="39"/>
      <c r="T571" s="38"/>
      <c r="V571" s="38"/>
      <c r="W571" s="39"/>
      <c r="X571" s="38"/>
    </row>
    <row r="572" spans="2:24" x14ac:dyDescent="0.3">
      <c r="B572" s="38"/>
      <c r="C572" s="40"/>
      <c r="D572" s="19"/>
      <c r="E572" s="39"/>
      <c r="F572" s="12"/>
      <c r="H572"/>
      <c r="I572"/>
      <c r="K572" s="38"/>
      <c r="L572" s="39"/>
      <c r="M572" s="38"/>
      <c r="N572" s="39"/>
      <c r="O572" s="38"/>
      <c r="Q572" s="38"/>
      <c r="R572" s="39"/>
      <c r="S572" s="39"/>
      <c r="T572" s="38"/>
      <c r="V572" s="38"/>
      <c r="W572" s="39"/>
      <c r="X572" s="38"/>
    </row>
    <row r="573" spans="2:24" x14ac:dyDescent="0.3">
      <c r="B573" s="38"/>
      <c r="C573" s="40"/>
      <c r="D573" s="19"/>
      <c r="E573" s="39"/>
      <c r="F573" s="12"/>
      <c r="H573"/>
      <c r="I573"/>
      <c r="K573" s="38"/>
      <c r="L573" s="39"/>
      <c r="M573" s="38"/>
      <c r="N573" s="39"/>
      <c r="O573" s="38"/>
      <c r="Q573" s="38"/>
      <c r="R573" s="39"/>
      <c r="S573" s="39"/>
      <c r="T573" s="38"/>
      <c r="V573" s="38"/>
      <c r="W573" s="39"/>
      <c r="X573" s="38"/>
    </row>
    <row r="574" spans="2:24" x14ac:dyDescent="0.3">
      <c r="B574" s="38"/>
      <c r="C574" s="40"/>
      <c r="D574" s="19"/>
      <c r="E574" s="39"/>
      <c r="F574" s="12"/>
      <c r="H574"/>
      <c r="I574"/>
      <c r="K574" s="38"/>
      <c r="L574" s="39"/>
      <c r="M574" s="38"/>
      <c r="N574" s="39"/>
      <c r="O574" s="38"/>
      <c r="Q574" s="38"/>
      <c r="R574" s="39"/>
      <c r="S574" s="39"/>
      <c r="T574" s="38"/>
      <c r="V574" s="38"/>
      <c r="W574" s="39"/>
      <c r="X574" s="38"/>
    </row>
    <row r="575" spans="2:24" x14ac:dyDescent="0.3">
      <c r="B575" s="38"/>
      <c r="C575" s="40"/>
      <c r="D575" s="19"/>
      <c r="E575" s="39"/>
      <c r="F575" s="12"/>
      <c r="H575"/>
      <c r="I575"/>
      <c r="K575" s="38"/>
      <c r="L575" s="39"/>
      <c r="M575" s="38"/>
      <c r="N575" s="39"/>
      <c r="O575" s="38"/>
      <c r="Q575" s="38"/>
      <c r="R575" s="39"/>
      <c r="S575" s="39"/>
      <c r="T575" s="38"/>
      <c r="V575" s="38"/>
      <c r="W575" s="39"/>
      <c r="X575" s="38"/>
    </row>
    <row r="576" spans="2:24" x14ac:dyDescent="0.3">
      <c r="B576" s="38"/>
      <c r="C576" s="40"/>
      <c r="D576" s="19"/>
      <c r="E576" s="39"/>
      <c r="F576" s="12"/>
      <c r="H576"/>
      <c r="I576"/>
      <c r="K576" s="38"/>
      <c r="L576" s="39"/>
      <c r="M576" s="38"/>
      <c r="N576" s="39"/>
      <c r="O576" s="38"/>
      <c r="Q576" s="38"/>
      <c r="R576" s="39"/>
      <c r="S576" s="39"/>
      <c r="T576" s="38"/>
      <c r="V576" s="38"/>
      <c r="W576" s="39"/>
      <c r="X576" s="38"/>
    </row>
    <row r="577" spans="2:24" x14ac:dyDescent="0.3">
      <c r="B577" s="38"/>
      <c r="C577" s="40"/>
      <c r="D577" s="19"/>
      <c r="E577" s="39"/>
      <c r="F577" s="12"/>
      <c r="H577"/>
      <c r="I577"/>
      <c r="K577" s="38"/>
      <c r="L577" s="39"/>
      <c r="M577" s="38"/>
      <c r="N577" s="39"/>
      <c r="O577" s="38"/>
      <c r="Q577" s="38"/>
      <c r="R577" s="39"/>
      <c r="S577" s="39"/>
      <c r="T577" s="38"/>
      <c r="V577" s="38"/>
      <c r="W577" s="39"/>
      <c r="X577" s="38"/>
    </row>
    <row r="578" spans="2:24" x14ac:dyDescent="0.3">
      <c r="B578" s="38"/>
      <c r="C578" s="40"/>
      <c r="D578" s="19"/>
      <c r="E578" s="39"/>
      <c r="F578" s="12"/>
      <c r="H578"/>
      <c r="I578"/>
      <c r="K578" s="38"/>
      <c r="L578" s="39"/>
      <c r="M578" s="38"/>
      <c r="N578" s="39"/>
      <c r="O578" s="38"/>
      <c r="Q578" s="38"/>
      <c r="R578" s="39"/>
      <c r="S578" s="39"/>
      <c r="T578" s="38"/>
      <c r="V578" s="38"/>
      <c r="W578" s="39"/>
      <c r="X578" s="38"/>
    </row>
    <row r="579" spans="2:24" x14ac:dyDescent="0.3">
      <c r="B579" s="38"/>
      <c r="C579" s="40"/>
      <c r="D579" s="19"/>
      <c r="E579" s="39"/>
      <c r="F579" s="12"/>
      <c r="H579"/>
      <c r="I579"/>
      <c r="K579" s="38"/>
      <c r="L579" s="39"/>
      <c r="M579" s="38"/>
      <c r="N579" s="39"/>
      <c r="O579" s="38"/>
      <c r="Q579" s="38"/>
      <c r="R579" s="39"/>
      <c r="S579" s="39"/>
      <c r="T579" s="38"/>
      <c r="V579" s="38"/>
      <c r="W579" s="39"/>
      <c r="X579" s="38"/>
    </row>
    <row r="580" spans="2:24" x14ac:dyDescent="0.3">
      <c r="B580" s="38"/>
      <c r="C580" s="40"/>
      <c r="D580" s="19"/>
      <c r="E580" s="39"/>
      <c r="F580" s="12"/>
      <c r="H580"/>
      <c r="I580"/>
      <c r="K580" s="38"/>
      <c r="L580" s="39"/>
      <c r="M580" s="38"/>
      <c r="N580" s="39"/>
      <c r="O580" s="38"/>
      <c r="Q580" s="38"/>
      <c r="R580" s="39"/>
      <c r="S580" s="39"/>
      <c r="T580" s="38"/>
      <c r="V580" s="38"/>
      <c r="W580" s="39"/>
      <c r="X580" s="38"/>
    </row>
    <row r="581" spans="2:24" x14ac:dyDescent="0.3">
      <c r="B581" s="38"/>
      <c r="C581" s="40"/>
      <c r="D581" s="19"/>
      <c r="E581" s="39"/>
      <c r="F581" s="12"/>
      <c r="H581"/>
      <c r="I581"/>
      <c r="K581" s="38"/>
      <c r="L581" s="39"/>
      <c r="M581" s="38"/>
      <c r="N581" s="39"/>
      <c r="O581" s="38"/>
      <c r="Q581" s="38"/>
      <c r="R581" s="39"/>
      <c r="S581" s="39"/>
      <c r="T581" s="38"/>
      <c r="V581" s="38"/>
      <c r="W581" s="39"/>
      <c r="X581" s="38"/>
    </row>
    <row r="582" spans="2:24" x14ac:dyDescent="0.3">
      <c r="B582" s="38"/>
      <c r="C582" s="40"/>
      <c r="D582" s="19"/>
      <c r="E582" s="39"/>
      <c r="F582" s="12"/>
      <c r="H582"/>
      <c r="I582"/>
      <c r="K582" s="38"/>
      <c r="L582" s="39"/>
      <c r="M582" s="38"/>
      <c r="N582" s="39"/>
      <c r="O582" s="38"/>
      <c r="S582" s="39"/>
      <c r="T582" s="38"/>
      <c r="V582" s="38"/>
      <c r="W582" s="39"/>
      <c r="X582" s="38"/>
    </row>
    <row r="583" spans="2:24" x14ac:dyDescent="0.3">
      <c r="B583" s="38"/>
      <c r="C583" s="40"/>
      <c r="D583" s="19"/>
      <c r="E583" s="39"/>
      <c r="F583" s="12"/>
      <c r="H583"/>
      <c r="I583"/>
      <c r="K583" s="38"/>
      <c r="L583" s="39"/>
      <c r="M583" s="38"/>
      <c r="N583" s="39"/>
      <c r="O583" s="38"/>
      <c r="S583" s="39"/>
      <c r="T583" s="38"/>
      <c r="V583" s="38"/>
      <c r="W583" s="39"/>
      <c r="X583" s="38"/>
    </row>
    <row r="584" spans="2:24" x14ac:dyDescent="0.3">
      <c r="B584" s="38"/>
      <c r="C584" s="40"/>
      <c r="D584" s="19"/>
      <c r="E584" s="39"/>
      <c r="F584" s="12"/>
      <c r="H584"/>
      <c r="I584"/>
      <c r="K584" s="38"/>
      <c r="L584" s="39"/>
      <c r="M584" s="38"/>
      <c r="N584" s="39"/>
      <c r="O584" s="38"/>
      <c r="Q584" s="38"/>
      <c r="R584" s="39"/>
      <c r="S584" s="39"/>
      <c r="T584" s="38"/>
      <c r="V584" s="38"/>
      <c r="W584" s="39"/>
      <c r="X584" s="38"/>
    </row>
    <row r="585" spans="2:24" x14ac:dyDescent="0.3">
      <c r="B585" s="38"/>
      <c r="C585" s="40"/>
      <c r="D585" s="19"/>
      <c r="E585" s="39"/>
      <c r="F585" s="12"/>
      <c r="H585"/>
      <c r="I585"/>
      <c r="K585" s="38"/>
      <c r="L585" s="39"/>
      <c r="M585" s="38"/>
      <c r="N585" s="39"/>
      <c r="O585" s="38"/>
      <c r="Q585" s="38"/>
      <c r="R585" s="39"/>
      <c r="S585" s="39"/>
      <c r="T585" s="38"/>
      <c r="V585" s="38"/>
      <c r="W585" s="39"/>
      <c r="X585" s="38"/>
    </row>
    <row r="586" spans="2:24" x14ac:dyDescent="0.3">
      <c r="B586" s="38"/>
      <c r="C586" s="40"/>
      <c r="D586" s="19"/>
      <c r="E586" s="39"/>
      <c r="F586" s="12"/>
      <c r="H586"/>
      <c r="I586"/>
      <c r="K586" s="38"/>
      <c r="L586" s="39"/>
      <c r="M586" s="38"/>
      <c r="N586" s="39"/>
      <c r="O586" s="38"/>
      <c r="Q586" s="38"/>
      <c r="R586" s="39"/>
      <c r="S586" s="39"/>
      <c r="T586" s="38"/>
      <c r="V586" s="38"/>
      <c r="W586" s="39"/>
      <c r="X586" s="38"/>
    </row>
    <row r="587" spans="2:24" x14ac:dyDescent="0.3">
      <c r="B587" s="38"/>
      <c r="C587" s="40"/>
      <c r="D587" s="19"/>
      <c r="E587" s="39"/>
      <c r="F587" s="12"/>
      <c r="H587"/>
      <c r="I587"/>
      <c r="K587" s="38"/>
      <c r="L587" s="39"/>
      <c r="M587" s="38"/>
      <c r="N587" s="39"/>
      <c r="O587" s="38"/>
      <c r="Q587" s="38"/>
      <c r="R587" s="39"/>
      <c r="S587" s="39"/>
      <c r="T587" s="38"/>
      <c r="V587" s="38"/>
      <c r="W587" s="39"/>
      <c r="X587" s="38"/>
    </row>
    <row r="588" spans="2:24" x14ac:dyDescent="0.3">
      <c r="B588" s="38"/>
      <c r="C588" s="40"/>
      <c r="D588" s="19"/>
      <c r="E588" s="39"/>
      <c r="F588" s="12"/>
      <c r="H588"/>
      <c r="I588"/>
      <c r="K588" s="38"/>
      <c r="L588" s="39"/>
      <c r="M588" s="38"/>
      <c r="N588" s="39"/>
      <c r="O588" s="38"/>
      <c r="Q588" s="38"/>
      <c r="R588" s="39"/>
      <c r="S588" s="39"/>
      <c r="T588" s="38"/>
      <c r="V588" s="38"/>
      <c r="W588" s="39"/>
      <c r="X588" s="38"/>
    </row>
    <row r="589" spans="2:24" x14ac:dyDescent="0.3">
      <c r="B589" s="38"/>
      <c r="C589" s="40"/>
      <c r="D589" s="19"/>
      <c r="E589" s="39"/>
      <c r="F589" s="12"/>
      <c r="H589"/>
      <c r="I589"/>
      <c r="K589" s="38"/>
      <c r="L589" s="39"/>
      <c r="M589" s="38"/>
      <c r="N589" s="39"/>
      <c r="O589" s="38"/>
      <c r="Q589" s="38"/>
      <c r="R589" s="39"/>
      <c r="S589" s="39"/>
      <c r="T589" s="38"/>
      <c r="V589" s="38"/>
      <c r="W589" s="39"/>
      <c r="X589" s="38"/>
    </row>
    <row r="590" spans="2:24" x14ac:dyDescent="0.3">
      <c r="B590" s="38"/>
      <c r="C590" s="40"/>
      <c r="D590" s="19"/>
      <c r="E590" s="39"/>
      <c r="F590" s="12"/>
      <c r="H590"/>
      <c r="I590"/>
      <c r="K590" s="38"/>
      <c r="L590" s="39"/>
      <c r="M590" s="38"/>
      <c r="N590" s="39"/>
      <c r="O590" s="38"/>
      <c r="Q590" s="38"/>
      <c r="R590" s="39"/>
      <c r="S590" s="39"/>
      <c r="T590" s="38"/>
      <c r="V590" s="38"/>
      <c r="W590" s="39"/>
      <c r="X590" s="38"/>
    </row>
    <row r="591" spans="2:24" x14ac:dyDescent="0.3">
      <c r="B591" s="38"/>
      <c r="C591" s="40"/>
      <c r="D591" s="19"/>
      <c r="E591" s="39"/>
      <c r="F591" s="12"/>
      <c r="H591"/>
      <c r="I591"/>
      <c r="K591" s="38"/>
      <c r="L591" s="39"/>
      <c r="M591" s="38"/>
      <c r="N591" s="39"/>
      <c r="O591" s="38"/>
      <c r="Q591" s="38"/>
      <c r="R591" s="39"/>
      <c r="S591" s="39"/>
      <c r="T591" s="38"/>
      <c r="V591" s="38"/>
      <c r="W591" s="39"/>
      <c r="X591" s="38"/>
    </row>
    <row r="592" spans="2:24" x14ac:dyDescent="0.3">
      <c r="B592" s="38"/>
      <c r="C592" s="40"/>
      <c r="D592" s="19"/>
      <c r="E592" s="39"/>
      <c r="F592" s="12"/>
      <c r="H592"/>
      <c r="I592"/>
      <c r="K592" s="38"/>
      <c r="L592" s="39"/>
      <c r="M592" s="38"/>
      <c r="N592" s="39"/>
      <c r="O592" s="38"/>
      <c r="Q592" s="38"/>
      <c r="R592" s="39"/>
      <c r="S592" s="39"/>
      <c r="T592" s="38"/>
      <c r="V592" s="38"/>
      <c r="W592" s="39"/>
      <c r="X592" s="38"/>
    </row>
    <row r="593" spans="2:24" x14ac:dyDescent="0.3">
      <c r="B593" s="38"/>
      <c r="C593" s="40"/>
      <c r="D593" s="19"/>
      <c r="E593" s="39"/>
      <c r="F593" s="12"/>
      <c r="H593"/>
      <c r="I593"/>
      <c r="K593" s="38"/>
      <c r="L593" s="39"/>
      <c r="M593" s="38"/>
      <c r="N593" s="39"/>
      <c r="O593" s="38"/>
      <c r="Q593" s="38"/>
      <c r="R593" s="39"/>
      <c r="S593" s="39"/>
      <c r="T593" s="38"/>
      <c r="V593" s="38"/>
      <c r="W593" s="39"/>
      <c r="X593" s="38"/>
    </row>
    <row r="594" spans="2:24" x14ac:dyDescent="0.3">
      <c r="B594" s="38"/>
      <c r="C594" s="40"/>
      <c r="D594" s="19"/>
      <c r="E594" s="39"/>
      <c r="F594" s="12"/>
      <c r="H594"/>
      <c r="I594"/>
      <c r="K594" s="38"/>
      <c r="L594" s="39"/>
      <c r="M594" s="38"/>
      <c r="N594" s="39"/>
      <c r="O594" s="38"/>
      <c r="Q594" s="38"/>
      <c r="R594" s="39"/>
      <c r="S594" s="39"/>
      <c r="T594" s="38"/>
      <c r="V594" s="38"/>
      <c r="W594" s="39"/>
      <c r="X594" s="38"/>
    </row>
    <row r="595" spans="2:24" x14ac:dyDescent="0.3">
      <c r="B595" s="38"/>
      <c r="C595" s="40"/>
      <c r="D595" s="19"/>
      <c r="E595" s="39"/>
      <c r="F595" s="12"/>
      <c r="H595"/>
      <c r="I595"/>
      <c r="K595" s="38"/>
      <c r="L595" s="39"/>
      <c r="M595" s="38"/>
      <c r="N595" s="39"/>
      <c r="O595" s="38"/>
      <c r="Q595" s="38"/>
      <c r="R595" s="39"/>
      <c r="S595" s="39"/>
      <c r="T595" s="38"/>
      <c r="V595" s="38"/>
      <c r="W595" s="39"/>
      <c r="X595" s="38"/>
    </row>
    <row r="596" spans="2:24" x14ac:dyDescent="0.3">
      <c r="B596" s="38"/>
      <c r="C596" s="40"/>
      <c r="D596" s="19"/>
      <c r="E596" s="39"/>
      <c r="F596" s="12"/>
      <c r="H596"/>
      <c r="I596"/>
      <c r="K596" s="38"/>
      <c r="L596" s="39"/>
      <c r="M596" s="38"/>
      <c r="N596" s="39"/>
      <c r="O596" s="38"/>
      <c r="Q596" s="38"/>
      <c r="R596" s="39"/>
      <c r="S596" s="39"/>
      <c r="T596" s="38"/>
      <c r="V596" s="38"/>
      <c r="W596" s="39"/>
      <c r="X596" s="38"/>
    </row>
    <row r="597" spans="2:24" x14ac:dyDescent="0.3">
      <c r="B597" s="38"/>
      <c r="C597" s="40"/>
      <c r="D597" s="19"/>
      <c r="E597" s="39"/>
      <c r="F597" s="12"/>
      <c r="H597"/>
      <c r="I597"/>
      <c r="K597" s="38"/>
      <c r="L597" s="39"/>
      <c r="M597" s="38"/>
      <c r="N597" s="39"/>
      <c r="O597" s="38"/>
      <c r="Q597" s="38"/>
      <c r="R597" s="39"/>
      <c r="S597" s="39"/>
      <c r="T597" s="38"/>
      <c r="V597" s="38"/>
      <c r="W597" s="39"/>
      <c r="X597" s="38"/>
    </row>
    <row r="598" spans="2:24" x14ac:dyDescent="0.3">
      <c r="B598" s="38"/>
      <c r="C598" s="40"/>
      <c r="D598" s="19"/>
      <c r="E598" s="39"/>
      <c r="F598" s="12"/>
      <c r="H598"/>
      <c r="I598"/>
      <c r="K598" s="38"/>
      <c r="L598" s="39"/>
      <c r="M598" s="38"/>
      <c r="N598" s="39"/>
      <c r="O598" s="38"/>
      <c r="Q598" s="38"/>
      <c r="R598" s="39"/>
      <c r="S598" s="39"/>
      <c r="T598" s="38"/>
      <c r="V598" s="38"/>
      <c r="W598" s="39"/>
      <c r="X598" s="38"/>
    </row>
    <row r="599" spans="2:24" x14ac:dyDescent="0.3">
      <c r="B599" s="38"/>
      <c r="C599" s="40"/>
      <c r="D599" s="19"/>
      <c r="E599" s="39"/>
      <c r="F599" s="12"/>
      <c r="H599"/>
      <c r="I599"/>
      <c r="K599" s="38"/>
      <c r="L599" s="39"/>
      <c r="M599" s="38"/>
      <c r="N599" s="39"/>
      <c r="O599" s="38"/>
      <c r="Q599" s="38"/>
      <c r="R599" s="39"/>
      <c r="S599" s="39"/>
      <c r="T599" s="38"/>
      <c r="V599" s="38"/>
      <c r="W599" s="39"/>
      <c r="X599" s="38"/>
    </row>
    <row r="600" spans="2:24" x14ac:dyDescent="0.3">
      <c r="B600" s="38"/>
      <c r="C600" s="40"/>
      <c r="D600" s="19"/>
      <c r="E600" s="39"/>
      <c r="F600" s="12"/>
      <c r="H600"/>
      <c r="I600"/>
      <c r="K600" s="38"/>
      <c r="L600" s="39"/>
      <c r="M600" s="38"/>
      <c r="N600" s="39"/>
      <c r="O600" s="38"/>
      <c r="Q600" s="38"/>
      <c r="R600" s="39"/>
      <c r="S600" s="39"/>
      <c r="T600" s="38"/>
      <c r="V600" s="38"/>
      <c r="W600" s="39"/>
      <c r="X600" s="38"/>
    </row>
    <row r="601" spans="2:24" x14ac:dyDescent="0.3">
      <c r="B601" s="38"/>
      <c r="C601" s="40"/>
      <c r="D601" s="19"/>
      <c r="E601" s="39"/>
      <c r="F601" s="12"/>
      <c r="H601"/>
      <c r="I601"/>
      <c r="K601" s="38"/>
      <c r="L601" s="39"/>
      <c r="M601" s="38"/>
      <c r="N601" s="39"/>
      <c r="O601" s="38"/>
      <c r="Q601" s="38"/>
      <c r="R601" s="39"/>
      <c r="S601" s="39"/>
      <c r="T601" s="38"/>
      <c r="V601" s="38"/>
      <c r="W601" s="39"/>
      <c r="X601" s="38"/>
    </row>
    <row r="602" spans="2:24" x14ac:dyDescent="0.3">
      <c r="B602" s="38"/>
      <c r="C602" s="40"/>
      <c r="D602" s="19"/>
      <c r="E602" s="39"/>
      <c r="F602" s="12"/>
      <c r="H602"/>
      <c r="I602"/>
      <c r="K602" s="38"/>
      <c r="L602" s="39"/>
      <c r="M602" s="38"/>
      <c r="N602" s="39"/>
      <c r="O602" s="38"/>
      <c r="Q602" s="38"/>
      <c r="R602" s="39"/>
      <c r="S602" s="39"/>
      <c r="T602" s="38"/>
      <c r="V602" s="38"/>
      <c r="W602" s="39"/>
      <c r="X602" s="38"/>
    </row>
    <row r="603" spans="2:24" x14ac:dyDescent="0.3">
      <c r="B603" s="38"/>
      <c r="C603" s="40"/>
      <c r="D603" s="19"/>
      <c r="E603" s="39"/>
      <c r="F603" s="12"/>
      <c r="H603"/>
      <c r="I603"/>
      <c r="K603" s="38"/>
      <c r="L603" s="39"/>
      <c r="M603" s="38"/>
      <c r="N603" s="39"/>
      <c r="O603" s="38"/>
      <c r="Q603" s="38"/>
      <c r="R603" s="39"/>
      <c r="S603" s="39"/>
      <c r="T603" s="38"/>
      <c r="V603" s="38"/>
      <c r="W603" s="39"/>
      <c r="X603" s="38"/>
    </row>
    <row r="604" spans="2:24" x14ac:dyDescent="0.3">
      <c r="B604" s="38"/>
      <c r="C604" s="40"/>
      <c r="D604" s="19"/>
      <c r="E604" s="39"/>
      <c r="F604" s="12"/>
      <c r="H604"/>
      <c r="I604"/>
      <c r="K604" s="38"/>
      <c r="L604" s="39"/>
      <c r="M604" s="38"/>
      <c r="N604" s="39"/>
      <c r="O604" s="38"/>
      <c r="Q604" s="38"/>
      <c r="R604" s="39"/>
      <c r="S604" s="39"/>
      <c r="T604" s="38"/>
      <c r="V604" s="38"/>
      <c r="W604" s="39"/>
      <c r="X604" s="38"/>
    </row>
    <row r="605" spans="2:24" x14ac:dyDescent="0.3">
      <c r="B605" s="38"/>
      <c r="C605" s="40"/>
      <c r="D605" s="19"/>
      <c r="E605" s="39"/>
      <c r="F605" s="12"/>
      <c r="H605"/>
      <c r="I605"/>
      <c r="K605" s="38"/>
      <c r="L605" s="39"/>
      <c r="M605" s="38"/>
      <c r="N605" s="39"/>
      <c r="O605" s="38"/>
      <c r="Q605" s="38"/>
      <c r="R605" s="39"/>
      <c r="S605" s="39"/>
      <c r="T605" s="38"/>
      <c r="V605" s="38"/>
      <c r="W605" s="39"/>
      <c r="X605" s="38"/>
    </row>
    <row r="606" spans="2:24" x14ac:dyDescent="0.3">
      <c r="B606" s="38"/>
      <c r="C606" s="40"/>
      <c r="D606" s="19"/>
      <c r="E606" s="39"/>
      <c r="F606" s="12"/>
      <c r="H606"/>
      <c r="I606"/>
      <c r="K606" s="38"/>
      <c r="L606" s="39"/>
      <c r="M606" s="38"/>
      <c r="N606" s="39"/>
      <c r="O606" s="38"/>
      <c r="Q606" s="38"/>
      <c r="R606" s="39"/>
      <c r="S606" s="39"/>
      <c r="T606" s="38"/>
      <c r="V606" s="38"/>
      <c r="W606" s="39"/>
      <c r="X606" s="38"/>
    </row>
    <row r="607" spans="2:24" x14ac:dyDescent="0.3">
      <c r="B607" s="38"/>
      <c r="C607" s="40"/>
      <c r="D607" s="19"/>
      <c r="E607" s="39"/>
      <c r="F607" s="12"/>
      <c r="H607"/>
      <c r="I607"/>
      <c r="K607" s="38"/>
      <c r="L607" s="39"/>
      <c r="M607" s="38"/>
      <c r="N607" s="39"/>
      <c r="O607" s="38"/>
      <c r="Q607" s="38"/>
      <c r="R607" s="39"/>
      <c r="S607" s="39"/>
      <c r="T607" s="38"/>
      <c r="V607" s="38"/>
      <c r="W607" s="39"/>
      <c r="X607" s="38"/>
    </row>
    <row r="608" spans="2:24" x14ac:dyDescent="0.3">
      <c r="B608" s="38"/>
      <c r="C608" s="40"/>
      <c r="D608" s="19"/>
      <c r="E608" s="39"/>
      <c r="F608" s="12"/>
      <c r="H608"/>
      <c r="I608"/>
      <c r="K608" s="38"/>
      <c r="L608" s="39"/>
      <c r="M608" s="38"/>
      <c r="N608" s="39"/>
      <c r="O608" s="38"/>
      <c r="Q608" s="38"/>
      <c r="R608" s="39"/>
      <c r="S608" s="39"/>
      <c r="T608" s="38"/>
      <c r="V608" s="38"/>
      <c r="W608" s="39"/>
      <c r="X608" s="38"/>
    </row>
    <row r="609" spans="2:24" x14ac:dyDescent="0.3">
      <c r="B609" s="38"/>
      <c r="C609" s="40"/>
      <c r="D609" s="19"/>
      <c r="E609" s="39"/>
      <c r="F609" s="12"/>
      <c r="H609"/>
      <c r="I609"/>
      <c r="K609" s="38"/>
      <c r="L609" s="39"/>
      <c r="M609" s="38"/>
      <c r="N609" s="39"/>
      <c r="O609" s="38"/>
      <c r="Q609" s="38"/>
      <c r="R609" s="39"/>
      <c r="S609" s="39"/>
      <c r="T609" s="38"/>
      <c r="V609" s="38"/>
      <c r="W609" s="39"/>
      <c r="X609" s="38"/>
    </row>
    <row r="610" spans="2:24" x14ac:dyDescent="0.3">
      <c r="B610" s="38"/>
      <c r="C610" s="40"/>
      <c r="D610" s="19"/>
      <c r="E610" s="39"/>
      <c r="F610" s="12"/>
      <c r="H610"/>
      <c r="I610"/>
      <c r="K610" s="38"/>
      <c r="L610" s="39"/>
      <c r="M610" s="38"/>
      <c r="N610" s="39"/>
      <c r="O610" s="38"/>
      <c r="Q610" s="38"/>
      <c r="R610" s="39"/>
      <c r="S610" s="39"/>
      <c r="T610" s="38"/>
      <c r="V610" s="38"/>
      <c r="W610" s="39"/>
      <c r="X610" s="38"/>
    </row>
    <row r="611" spans="2:24" x14ac:dyDescent="0.3">
      <c r="B611" s="38"/>
      <c r="C611" s="40"/>
      <c r="D611" s="19"/>
      <c r="E611" s="39"/>
      <c r="F611" s="12"/>
      <c r="H611"/>
      <c r="I611"/>
      <c r="K611" s="38"/>
      <c r="L611" s="39"/>
      <c r="M611" s="38"/>
      <c r="N611" s="39"/>
      <c r="O611" s="38"/>
      <c r="Q611" s="38"/>
      <c r="R611" s="39"/>
      <c r="S611" s="39"/>
      <c r="T611" s="38"/>
      <c r="V611" s="38"/>
      <c r="W611" s="39"/>
      <c r="X611" s="38"/>
    </row>
    <row r="612" spans="2:24" x14ac:dyDescent="0.3">
      <c r="B612" s="38"/>
      <c r="C612" s="40"/>
      <c r="D612" s="19"/>
      <c r="E612" s="39"/>
      <c r="F612" s="12"/>
      <c r="H612"/>
      <c r="I612"/>
      <c r="K612" s="38"/>
      <c r="L612" s="39"/>
      <c r="M612" s="38"/>
      <c r="N612" s="39"/>
      <c r="O612" s="38"/>
      <c r="Q612" s="38"/>
      <c r="R612" s="39"/>
      <c r="S612" s="39"/>
      <c r="T612" s="38"/>
      <c r="V612" s="38"/>
      <c r="W612" s="39"/>
      <c r="X612" s="38"/>
    </row>
    <row r="613" spans="2:24" x14ac:dyDescent="0.3">
      <c r="B613" s="38"/>
      <c r="C613" s="40"/>
      <c r="D613" s="19"/>
      <c r="E613" s="39"/>
      <c r="F613" s="12"/>
      <c r="H613"/>
      <c r="I613"/>
      <c r="K613" s="38"/>
      <c r="L613" s="39"/>
      <c r="M613" s="38"/>
      <c r="N613" s="39"/>
      <c r="O613" s="38"/>
      <c r="Q613" s="38"/>
      <c r="R613" s="39"/>
      <c r="S613" s="39"/>
      <c r="T613" s="38"/>
      <c r="V613" s="38"/>
      <c r="W613" s="39"/>
      <c r="X613" s="38"/>
    </row>
    <row r="614" spans="2:24" x14ac:dyDescent="0.3">
      <c r="B614" s="38"/>
      <c r="C614" s="40"/>
      <c r="D614" s="19"/>
      <c r="E614" s="39"/>
      <c r="F614" s="12"/>
      <c r="H614"/>
      <c r="I614"/>
      <c r="K614" s="38"/>
      <c r="L614" s="39"/>
      <c r="M614" s="38"/>
      <c r="N614" s="39"/>
      <c r="O614" s="38"/>
      <c r="Q614" s="38"/>
      <c r="R614" s="39"/>
      <c r="S614" s="39"/>
      <c r="T614" s="38"/>
      <c r="V614" s="38"/>
      <c r="W614" s="39"/>
      <c r="X614" s="38"/>
    </row>
    <row r="615" spans="2:24" x14ac:dyDescent="0.3">
      <c r="B615" s="38"/>
      <c r="C615" s="40"/>
      <c r="D615" s="19"/>
      <c r="E615" s="39"/>
      <c r="F615" s="12"/>
      <c r="H615"/>
      <c r="I615"/>
      <c r="K615" s="38"/>
      <c r="L615" s="39"/>
      <c r="M615" s="38"/>
      <c r="N615" s="39"/>
      <c r="O615" s="38"/>
      <c r="Q615" s="38"/>
      <c r="R615" s="39"/>
      <c r="S615" s="39"/>
      <c r="T615" s="38"/>
      <c r="V615" s="38"/>
      <c r="W615" s="39"/>
      <c r="X615" s="38"/>
    </row>
    <row r="616" spans="2:24" x14ac:dyDescent="0.3">
      <c r="B616" s="38"/>
      <c r="C616" s="40"/>
      <c r="D616" s="19"/>
      <c r="E616" s="39"/>
      <c r="F616" s="12"/>
      <c r="H616"/>
      <c r="I616"/>
      <c r="K616" s="38"/>
      <c r="L616" s="39"/>
      <c r="M616" s="38"/>
      <c r="N616" s="39"/>
      <c r="O616" s="38"/>
      <c r="Q616" s="38"/>
      <c r="R616" s="39"/>
      <c r="S616" s="39"/>
      <c r="T616" s="38"/>
      <c r="V616" s="38"/>
      <c r="W616" s="39"/>
      <c r="X616" s="38"/>
    </row>
    <row r="617" spans="2:24" x14ac:dyDescent="0.3">
      <c r="B617" s="38"/>
      <c r="C617" s="40"/>
      <c r="D617" s="19"/>
      <c r="E617" s="39"/>
      <c r="F617" s="12"/>
      <c r="H617"/>
      <c r="I617"/>
      <c r="K617" s="38"/>
      <c r="L617" s="39"/>
      <c r="M617" s="38"/>
      <c r="N617" s="39"/>
      <c r="O617" s="38"/>
      <c r="Q617" s="38"/>
      <c r="R617" s="39"/>
      <c r="S617" s="39"/>
      <c r="T617" s="38"/>
      <c r="V617" s="38"/>
      <c r="W617" s="39"/>
      <c r="X617" s="38"/>
    </row>
    <row r="618" spans="2:24" x14ac:dyDescent="0.3">
      <c r="B618" s="38"/>
      <c r="C618" s="40"/>
      <c r="D618" s="19"/>
      <c r="E618" s="39"/>
      <c r="F618" s="12"/>
      <c r="H618"/>
      <c r="I618"/>
      <c r="K618" s="38"/>
      <c r="L618" s="39"/>
      <c r="M618" s="38"/>
      <c r="N618" s="39"/>
      <c r="O618" s="38"/>
      <c r="Q618" s="38"/>
      <c r="R618" s="39"/>
      <c r="S618" s="39"/>
      <c r="T618" s="38"/>
      <c r="V618" s="38"/>
      <c r="W618" s="39"/>
      <c r="X618" s="38"/>
    </row>
    <row r="619" spans="2:24" x14ac:dyDescent="0.3">
      <c r="B619" s="38"/>
      <c r="C619" s="40"/>
      <c r="D619" s="19"/>
      <c r="E619" s="39"/>
      <c r="F619" s="12"/>
      <c r="H619"/>
      <c r="I619"/>
      <c r="K619" s="38"/>
      <c r="L619" s="39"/>
      <c r="M619" s="38"/>
      <c r="N619" s="39"/>
      <c r="O619" s="38"/>
      <c r="Q619" s="38"/>
      <c r="R619" s="39"/>
      <c r="S619" s="39"/>
      <c r="T619" s="38"/>
      <c r="V619" s="38"/>
      <c r="W619" s="39"/>
      <c r="X619" s="38"/>
    </row>
    <row r="620" spans="2:24" x14ac:dyDescent="0.3">
      <c r="B620" s="38"/>
      <c r="C620" s="40"/>
      <c r="D620" s="19"/>
      <c r="E620" s="39"/>
      <c r="F620" s="12"/>
      <c r="H620"/>
      <c r="I620"/>
      <c r="K620" s="38"/>
      <c r="L620" s="39"/>
      <c r="M620" s="38"/>
      <c r="N620" s="39"/>
      <c r="O620" s="38"/>
      <c r="Q620" s="38"/>
      <c r="R620" s="39"/>
      <c r="S620" s="39"/>
      <c r="T620" s="38"/>
      <c r="V620" s="38"/>
      <c r="W620" s="39"/>
      <c r="X620" s="38"/>
    </row>
    <row r="621" spans="2:24" x14ac:dyDescent="0.3">
      <c r="B621" s="38"/>
      <c r="C621" s="40"/>
      <c r="D621" s="19"/>
      <c r="E621" s="39"/>
      <c r="F621" s="12"/>
      <c r="H621"/>
      <c r="I621"/>
      <c r="K621" s="38"/>
      <c r="L621" s="39"/>
      <c r="M621" s="38"/>
      <c r="N621" s="39"/>
      <c r="O621" s="38"/>
      <c r="Q621" s="38"/>
      <c r="R621" s="39"/>
      <c r="S621" s="39"/>
      <c r="T621" s="38"/>
      <c r="V621" s="38"/>
      <c r="W621" s="39"/>
      <c r="X621" s="38"/>
    </row>
    <row r="622" spans="2:24" x14ac:dyDescent="0.3">
      <c r="B622" s="38"/>
      <c r="C622" s="40"/>
      <c r="D622" s="19"/>
      <c r="E622" s="39"/>
      <c r="F622" s="12"/>
      <c r="H622"/>
      <c r="I622"/>
      <c r="K622" s="38"/>
      <c r="L622" s="39"/>
      <c r="M622" s="38"/>
      <c r="N622" s="39"/>
      <c r="O622" s="38"/>
      <c r="Q622" s="38"/>
      <c r="R622" s="39"/>
      <c r="S622" s="39"/>
      <c r="T622" s="38"/>
      <c r="V622" s="38"/>
      <c r="W622" s="39"/>
      <c r="X622" s="38"/>
    </row>
    <row r="623" spans="2:24" x14ac:dyDescent="0.3">
      <c r="B623" s="38"/>
      <c r="C623" s="40"/>
      <c r="D623" s="19"/>
      <c r="E623" s="39"/>
      <c r="F623" s="12"/>
      <c r="H623"/>
      <c r="I623"/>
      <c r="K623" s="38"/>
      <c r="L623" s="39"/>
      <c r="M623" s="38"/>
      <c r="N623" s="39"/>
      <c r="O623" s="38"/>
      <c r="Q623" s="38"/>
      <c r="R623" s="39"/>
      <c r="S623" s="39"/>
      <c r="T623" s="38"/>
      <c r="V623" s="38"/>
      <c r="W623" s="39"/>
      <c r="X623" s="38"/>
    </row>
    <row r="624" spans="2:24" x14ac:dyDescent="0.3">
      <c r="B624" s="38"/>
      <c r="C624" s="40"/>
      <c r="D624" s="19"/>
      <c r="E624" s="39"/>
      <c r="F624" s="12"/>
      <c r="H624"/>
      <c r="I624"/>
      <c r="K624" s="38"/>
      <c r="L624" s="39"/>
      <c r="M624" s="38"/>
      <c r="N624" s="39"/>
      <c r="O624" s="38"/>
      <c r="Q624" s="38"/>
      <c r="R624" s="39"/>
      <c r="S624" s="39"/>
      <c r="T624" s="38"/>
      <c r="V624" s="38"/>
      <c r="W624" s="39"/>
      <c r="X624" s="38"/>
    </row>
    <row r="625" spans="2:24" x14ac:dyDescent="0.3">
      <c r="B625" s="38"/>
      <c r="C625" s="40"/>
      <c r="D625" s="19"/>
      <c r="E625" s="39"/>
      <c r="F625" s="12"/>
      <c r="H625"/>
      <c r="I625"/>
      <c r="K625" s="38"/>
      <c r="L625" s="39"/>
      <c r="M625" s="38"/>
      <c r="N625" s="39"/>
      <c r="O625" s="38"/>
      <c r="Q625" s="38"/>
      <c r="R625" s="39"/>
      <c r="S625" s="39"/>
      <c r="T625" s="38"/>
      <c r="V625" s="38"/>
      <c r="W625" s="39"/>
      <c r="X625" s="38"/>
    </row>
    <row r="626" spans="2:24" x14ac:dyDescent="0.3">
      <c r="B626" s="38"/>
      <c r="C626" s="40"/>
      <c r="D626" s="19"/>
      <c r="E626" s="39"/>
      <c r="F626" s="12"/>
      <c r="H626"/>
      <c r="I626"/>
      <c r="K626" s="38"/>
      <c r="L626" s="39"/>
      <c r="M626" s="38"/>
      <c r="N626" s="39"/>
      <c r="O626" s="38"/>
      <c r="Q626" s="38"/>
      <c r="R626" s="39"/>
      <c r="S626" s="39"/>
      <c r="T626" s="38"/>
      <c r="V626" s="38"/>
      <c r="W626" s="39"/>
      <c r="X626" s="38"/>
    </row>
    <row r="627" spans="2:24" x14ac:dyDescent="0.3">
      <c r="B627" s="38"/>
      <c r="C627" s="40"/>
      <c r="D627" s="19"/>
      <c r="E627" s="39"/>
      <c r="F627" s="12"/>
      <c r="H627"/>
      <c r="I627"/>
      <c r="K627" s="38"/>
      <c r="L627" s="39"/>
      <c r="M627" s="38"/>
      <c r="N627" s="39"/>
      <c r="O627" s="38"/>
      <c r="Q627" s="38"/>
      <c r="R627" s="39"/>
      <c r="S627" s="39"/>
      <c r="T627" s="38"/>
      <c r="V627" s="38"/>
      <c r="W627" s="39"/>
      <c r="X627" s="38"/>
    </row>
    <row r="628" spans="2:24" x14ac:dyDescent="0.3">
      <c r="B628" s="38"/>
      <c r="C628" s="40"/>
      <c r="D628" s="19"/>
      <c r="E628" s="39"/>
      <c r="F628" s="12"/>
      <c r="H628"/>
      <c r="I628"/>
      <c r="K628" s="38"/>
      <c r="L628" s="39"/>
      <c r="M628" s="38"/>
      <c r="N628" s="39"/>
      <c r="O628" s="38"/>
      <c r="Q628" s="38"/>
      <c r="R628" s="39"/>
      <c r="S628" s="39"/>
      <c r="T628" s="38"/>
      <c r="V628" s="38"/>
      <c r="W628" s="39"/>
      <c r="X628" s="38"/>
    </row>
    <row r="629" spans="2:24" x14ac:dyDescent="0.3">
      <c r="B629" s="38"/>
      <c r="C629" s="40"/>
      <c r="D629" s="19"/>
      <c r="E629" s="39"/>
      <c r="F629" s="12"/>
      <c r="H629"/>
      <c r="I629"/>
      <c r="K629" s="38"/>
      <c r="L629" s="39"/>
      <c r="M629" s="38"/>
      <c r="N629" s="39"/>
      <c r="O629" s="38"/>
      <c r="Q629" s="38"/>
      <c r="R629" s="39"/>
      <c r="S629" s="39"/>
      <c r="T629" s="38"/>
      <c r="V629" s="38"/>
      <c r="W629" s="39"/>
      <c r="X629" s="38"/>
    </row>
    <row r="630" spans="2:24" x14ac:dyDescent="0.3">
      <c r="B630" s="38"/>
      <c r="C630" s="40"/>
      <c r="D630" s="19"/>
      <c r="E630" s="39"/>
      <c r="F630" s="12"/>
      <c r="H630"/>
      <c r="I630"/>
      <c r="K630" s="38"/>
      <c r="L630" s="39"/>
      <c r="M630" s="38"/>
      <c r="N630" s="39"/>
      <c r="O630" s="38"/>
      <c r="Q630" s="38"/>
      <c r="R630" s="39"/>
      <c r="S630" s="39"/>
      <c r="T630" s="38"/>
      <c r="V630" s="38"/>
      <c r="W630" s="39"/>
      <c r="X630" s="38"/>
    </row>
    <row r="631" spans="2:24" x14ac:dyDescent="0.3">
      <c r="B631" s="38"/>
      <c r="C631" s="40"/>
      <c r="D631" s="19"/>
      <c r="E631" s="39"/>
      <c r="F631" s="12"/>
      <c r="H631"/>
      <c r="I631"/>
      <c r="K631" s="38"/>
      <c r="L631" s="39"/>
      <c r="M631" s="38"/>
      <c r="N631" s="39"/>
      <c r="O631" s="38"/>
      <c r="Q631" s="38"/>
      <c r="R631" s="39"/>
      <c r="S631" s="39"/>
      <c r="T631" s="38"/>
      <c r="V631" s="38"/>
      <c r="W631" s="39"/>
      <c r="X631" s="38"/>
    </row>
    <row r="632" spans="2:24" x14ac:dyDescent="0.3">
      <c r="B632" s="38"/>
      <c r="C632" s="40"/>
      <c r="D632" s="19"/>
      <c r="E632" s="39"/>
      <c r="F632" s="12"/>
      <c r="H632"/>
      <c r="I632"/>
      <c r="K632" s="38"/>
      <c r="L632" s="39"/>
      <c r="M632" s="38"/>
      <c r="N632" s="39"/>
      <c r="O632" s="38"/>
      <c r="Q632" s="38"/>
      <c r="R632" s="39"/>
      <c r="S632" s="39"/>
      <c r="T632" s="38"/>
      <c r="V632" s="38"/>
      <c r="W632" s="39"/>
      <c r="X632" s="38"/>
    </row>
    <row r="633" spans="2:24" x14ac:dyDescent="0.3">
      <c r="B633" s="38"/>
      <c r="C633" s="40"/>
      <c r="D633" s="19"/>
      <c r="E633" s="39"/>
      <c r="F633" s="12"/>
      <c r="H633"/>
      <c r="I633"/>
      <c r="K633" s="38"/>
      <c r="L633" s="39"/>
      <c r="M633" s="38"/>
      <c r="N633" s="39"/>
      <c r="O633" s="38"/>
      <c r="Q633" s="38"/>
      <c r="R633" s="39"/>
      <c r="S633" s="39"/>
      <c r="T633" s="38"/>
      <c r="V633" s="38"/>
      <c r="W633" s="39"/>
      <c r="X633" s="38"/>
    </row>
    <row r="634" spans="2:24" x14ac:dyDescent="0.3">
      <c r="B634" s="38"/>
      <c r="C634" s="40"/>
      <c r="D634" s="19"/>
      <c r="E634" s="39"/>
      <c r="F634" s="12"/>
      <c r="H634"/>
      <c r="I634"/>
      <c r="K634" s="38"/>
      <c r="L634" s="39"/>
      <c r="M634" s="38"/>
      <c r="N634" s="39"/>
      <c r="O634" s="38"/>
      <c r="Q634" s="38"/>
      <c r="R634" s="39"/>
      <c r="S634" s="39"/>
      <c r="T634" s="38"/>
      <c r="V634" s="38"/>
      <c r="W634" s="39"/>
      <c r="X634" s="38"/>
    </row>
    <row r="635" spans="2:24" x14ac:dyDescent="0.3">
      <c r="B635" s="38"/>
      <c r="C635" s="40"/>
      <c r="D635" s="19"/>
      <c r="E635" s="39"/>
      <c r="F635" s="12"/>
      <c r="H635"/>
      <c r="I635"/>
      <c r="K635" s="38"/>
      <c r="L635" s="39"/>
      <c r="M635" s="38"/>
      <c r="N635" s="39"/>
      <c r="O635" s="38"/>
      <c r="Q635" s="38"/>
      <c r="R635" s="39"/>
      <c r="S635" s="39"/>
      <c r="T635" s="38"/>
      <c r="V635" s="38"/>
      <c r="W635" s="39"/>
      <c r="X635" s="38"/>
    </row>
    <row r="636" spans="2:24" x14ac:dyDescent="0.3">
      <c r="B636" s="38"/>
      <c r="C636" s="40"/>
      <c r="D636" s="19"/>
      <c r="E636" s="39"/>
      <c r="F636" s="12"/>
      <c r="H636"/>
      <c r="I636"/>
      <c r="K636" s="38"/>
      <c r="L636" s="39"/>
      <c r="M636" s="38"/>
      <c r="N636" s="39"/>
      <c r="O636" s="38"/>
      <c r="Q636" s="38"/>
      <c r="R636" s="39"/>
      <c r="S636" s="39"/>
      <c r="T636" s="38"/>
      <c r="V636" s="38"/>
      <c r="W636" s="39"/>
      <c r="X636" s="38"/>
    </row>
    <row r="637" spans="2:24" x14ac:dyDescent="0.3">
      <c r="B637" s="38"/>
      <c r="C637" s="40"/>
      <c r="D637" s="19"/>
      <c r="E637" s="39"/>
      <c r="F637" s="12"/>
      <c r="H637"/>
      <c r="I637"/>
      <c r="K637" s="38"/>
      <c r="L637" s="39"/>
      <c r="M637" s="38"/>
      <c r="N637" s="39"/>
      <c r="O637" s="38"/>
      <c r="Q637" s="38"/>
      <c r="R637" s="39"/>
      <c r="S637" s="39"/>
      <c r="T637" s="38"/>
      <c r="V637" s="38"/>
      <c r="W637" s="39"/>
      <c r="X637" s="38"/>
    </row>
    <row r="638" spans="2:24" x14ac:dyDescent="0.3">
      <c r="B638" s="38"/>
      <c r="C638" s="40"/>
      <c r="D638" s="19"/>
      <c r="E638" s="39"/>
      <c r="F638" s="12"/>
      <c r="H638"/>
      <c r="I638"/>
      <c r="K638" s="38"/>
      <c r="L638" s="39"/>
      <c r="M638" s="38"/>
      <c r="N638" s="39"/>
      <c r="O638" s="38"/>
      <c r="Q638" s="38"/>
      <c r="R638" s="39"/>
      <c r="S638" s="39"/>
      <c r="T638" s="38"/>
      <c r="V638" s="38"/>
      <c r="W638" s="39"/>
      <c r="X638" s="38"/>
    </row>
    <row r="639" spans="2:24" x14ac:dyDescent="0.3">
      <c r="B639" s="38"/>
      <c r="C639" s="40"/>
      <c r="D639" s="19"/>
      <c r="E639" s="39"/>
      <c r="F639" s="12"/>
      <c r="H639"/>
      <c r="I639"/>
      <c r="K639" s="38"/>
      <c r="L639" s="39"/>
      <c r="M639" s="38"/>
      <c r="N639" s="39"/>
      <c r="O639" s="38"/>
      <c r="Q639" s="38"/>
      <c r="R639" s="39"/>
      <c r="S639" s="39"/>
      <c r="T639" s="38"/>
      <c r="V639" s="38"/>
      <c r="W639" s="39"/>
      <c r="X639" s="38"/>
    </row>
    <row r="640" spans="2:24" x14ac:dyDescent="0.3">
      <c r="B640" s="38"/>
      <c r="C640" s="40"/>
      <c r="D640" s="19"/>
      <c r="E640" s="39"/>
      <c r="F640" s="12"/>
      <c r="H640"/>
      <c r="I640"/>
      <c r="K640" s="38"/>
      <c r="L640" s="39"/>
      <c r="M640" s="38"/>
      <c r="N640" s="39"/>
      <c r="O640" s="38"/>
      <c r="Q640" s="38"/>
      <c r="R640" s="39"/>
      <c r="S640" s="39"/>
      <c r="T640" s="38"/>
      <c r="V640" s="38"/>
      <c r="W640" s="39"/>
      <c r="X640" s="38"/>
    </row>
    <row r="641" spans="2:26" x14ac:dyDescent="0.3">
      <c r="B641" s="38"/>
      <c r="C641" s="40"/>
      <c r="D641" s="19"/>
      <c r="E641" s="39"/>
      <c r="F641" s="12"/>
      <c r="H641"/>
      <c r="I641"/>
      <c r="K641" s="38"/>
      <c r="L641" s="39"/>
      <c r="M641" s="38"/>
      <c r="N641" s="39"/>
      <c r="O641" s="38"/>
      <c r="Q641" s="38"/>
      <c r="R641" s="39"/>
      <c r="S641" s="39"/>
      <c r="T641" s="38"/>
      <c r="V641" s="38"/>
      <c r="W641" s="39"/>
      <c r="X641" s="38"/>
    </row>
    <row r="642" spans="2:26" x14ac:dyDescent="0.3">
      <c r="B642" s="38"/>
      <c r="C642" s="40"/>
      <c r="D642" s="19"/>
      <c r="E642" s="39"/>
      <c r="F642" s="12"/>
      <c r="H642"/>
      <c r="I642"/>
      <c r="K642" s="38"/>
      <c r="L642" s="39"/>
      <c r="M642" s="38"/>
      <c r="N642" s="39"/>
      <c r="O642" s="38"/>
      <c r="Q642" s="38"/>
      <c r="R642" s="39"/>
      <c r="S642" s="39"/>
      <c r="T642" s="38"/>
      <c r="V642" s="38"/>
      <c r="W642" s="39"/>
      <c r="X642" s="38"/>
    </row>
    <row r="643" spans="2:26" x14ac:dyDescent="0.3">
      <c r="B643" s="38"/>
      <c r="C643" s="40"/>
      <c r="D643" s="19"/>
      <c r="E643" s="39"/>
      <c r="F643" s="12"/>
      <c r="H643"/>
      <c r="I643"/>
      <c r="K643" s="38"/>
      <c r="L643" s="39"/>
      <c r="M643" s="38"/>
      <c r="N643" s="39"/>
      <c r="O643" s="38"/>
      <c r="Q643" s="38"/>
      <c r="R643" s="39"/>
      <c r="S643" s="39"/>
      <c r="T643" s="38"/>
      <c r="V643" s="38"/>
      <c r="W643" s="39"/>
      <c r="X643" s="38"/>
    </row>
    <row r="644" spans="2:26" x14ac:dyDescent="0.3">
      <c r="B644" s="38"/>
      <c r="C644" s="40"/>
      <c r="D644" s="19"/>
      <c r="E644" s="39"/>
      <c r="F644" s="12"/>
      <c r="H644"/>
      <c r="I644"/>
      <c r="K644" s="38"/>
      <c r="L644" s="39"/>
      <c r="M644" s="38"/>
      <c r="N644" s="39"/>
      <c r="O644" s="38"/>
      <c r="Q644" s="38"/>
      <c r="R644" s="39"/>
      <c r="S644" s="39"/>
      <c r="T644" s="38"/>
      <c r="V644" s="38"/>
      <c r="W644" s="39"/>
      <c r="X644" s="38"/>
    </row>
    <row r="645" spans="2:26" x14ac:dyDescent="0.3">
      <c r="B645" s="38"/>
      <c r="C645" s="40"/>
      <c r="D645" s="19"/>
      <c r="E645" s="39"/>
      <c r="F645" s="12"/>
      <c r="H645"/>
      <c r="I645"/>
      <c r="K645" s="38"/>
      <c r="L645" s="39"/>
      <c r="M645" s="38"/>
      <c r="N645" s="39"/>
      <c r="O645" s="38"/>
      <c r="Q645" s="38"/>
      <c r="R645" s="39"/>
      <c r="S645" s="39"/>
      <c r="T645" s="38"/>
      <c r="V645" s="38"/>
      <c r="W645" s="39"/>
      <c r="X645" s="38"/>
    </row>
    <row r="646" spans="2:26" x14ac:dyDescent="0.3">
      <c r="O646" s="38"/>
      <c r="T646" s="38"/>
      <c r="V646" s="38"/>
      <c r="W646" s="39"/>
      <c r="X646" s="38"/>
    </row>
    <row r="647" spans="2:26" x14ac:dyDescent="0.3">
      <c r="X647" s="38"/>
    </row>
    <row r="648" spans="2:26" x14ac:dyDescent="0.3">
      <c r="Q648" s="12" t="s">
        <v>31</v>
      </c>
      <c r="Z648" s="12" t="s">
        <v>31</v>
      </c>
    </row>
    <row r="649" spans="2:26" x14ac:dyDescent="0.3">
      <c r="Q649" s="12" t="s">
        <v>31</v>
      </c>
      <c r="Z649" s="12" t="s">
        <v>31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7D834-01C4-4365-8C0B-9FF9D0D7B7FF}">
  <dimension ref="A1:Z649"/>
  <sheetViews>
    <sheetView zoomScale="85" zoomScaleNormal="85" zoomScalePageLayoutView="90" workbookViewId="0">
      <pane ySplit="1" topLeftCell="A8" activePane="bottomLeft" state="frozen"/>
      <selection pane="bottomLeft" activeCell="K31" sqref="K31"/>
    </sheetView>
  </sheetViews>
  <sheetFormatPr defaultColWidth="8.88671875" defaultRowHeight="14.4" x14ac:dyDescent="0.3"/>
  <cols>
    <col min="1" max="1" width="8.88671875" style="16"/>
    <col min="2" max="2" width="13.33203125" style="18" customWidth="1"/>
    <col min="3" max="3" width="13" style="6" bestFit="1" customWidth="1"/>
    <col min="4" max="4" width="12.5546875" style="42" bestFit="1" customWidth="1"/>
    <col min="5" max="5" width="20.6640625" style="10" bestFit="1" customWidth="1"/>
    <col min="6" max="6" width="8.88671875" style="10"/>
    <col min="7" max="7" width="25" style="14" bestFit="1" customWidth="1"/>
    <col min="8" max="8" width="29.21875" style="14" bestFit="1" customWidth="1"/>
    <col min="9" max="9" width="9.6640625" style="14" customWidth="1"/>
    <col min="10" max="10" width="4.44140625" style="28" customWidth="1"/>
    <col min="11" max="11" width="17.77734375" style="12" customWidth="1"/>
    <col min="12" max="12" width="12.44140625" style="12" bestFit="1" customWidth="1"/>
    <col min="13" max="13" width="13.6640625" style="12" bestFit="1" customWidth="1"/>
    <col min="14" max="15" width="12.44140625" style="12" bestFit="1" customWidth="1"/>
    <col min="16" max="16" width="13.33203125" style="12" bestFit="1" customWidth="1"/>
    <col min="17" max="17" width="11.33203125" style="12" bestFit="1" customWidth="1"/>
    <col min="18" max="18" width="13" style="12" bestFit="1" customWidth="1"/>
    <col min="19" max="19" width="12.44140625" style="12" bestFit="1" customWidth="1"/>
    <col min="20" max="20" width="12.44140625" style="12" customWidth="1"/>
    <col min="21" max="21" width="8.88671875" style="12"/>
    <col min="22" max="22" width="10.44140625" style="12" bestFit="1" customWidth="1"/>
    <col min="23" max="23" width="9.44140625" style="12" bestFit="1" customWidth="1"/>
    <col min="24" max="24" width="11.88671875" style="12" customWidth="1"/>
    <col min="25" max="16384" width="8.88671875" style="12"/>
  </cols>
  <sheetData>
    <row r="1" spans="1:12" s="9" customFormat="1" x14ac:dyDescent="0.3">
      <c r="A1" s="15" t="s">
        <v>0</v>
      </c>
      <c r="B1" s="17" t="s">
        <v>5</v>
      </c>
      <c r="C1" s="5" t="s">
        <v>36</v>
      </c>
      <c r="D1" s="45" t="s">
        <v>51</v>
      </c>
      <c r="E1" s="7" t="s">
        <v>38</v>
      </c>
      <c r="F1" s="8" t="s">
        <v>45</v>
      </c>
      <c r="G1" s="13" t="s">
        <v>40</v>
      </c>
      <c r="H1" s="41" t="s">
        <v>79</v>
      </c>
      <c r="I1" s="41"/>
      <c r="J1" s="27"/>
    </row>
    <row r="2" spans="1:12" x14ac:dyDescent="0.3">
      <c r="A2" s="16">
        <v>0</v>
      </c>
      <c r="B2" s="3">
        <v>45293</v>
      </c>
      <c r="C2" s="40">
        <v>4742.83</v>
      </c>
      <c r="D2" s="19"/>
      <c r="E2">
        <v>3714.77</v>
      </c>
      <c r="F2">
        <v>7.8155000000000001</v>
      </c>
      <c r="G2" s="43">
        <f>E2/F2</f>
        <v>475.30804171198258</v>
      </c>
      <c r="H2"/>
      <c r="I2"/>
      <c r="K2" s="50">
        <f>MIN($B$2:$B$501)</f>
        <v>45293</v>
      </c>
    </row>
    <row r="3" spans="1:12" x14ac:dyDescent="0.3">
      <c r="A3" s="16">
        <v>1</v>
      </c>
      <c r="B3" s="3">
        <v>45294</v>
      </c>
      <c r="C3" s="40">
        <v>4704.8100000000004</v>
      </c>
      <c r="D3" s="46">
        <f>$C3/$C2-1</f>
        <v>-8.0163109367190621E-3</v>
      </c>
      <c r="E3">
        <v>3646.39</v>
      </c>
      <c r="F3">
        <v>7.8068999999999997</v>
      </c>
      <c r="G3" s="43">
        <f t="shared" ref="G3:G66" si="0">E3/F3</f>
        <v>467.0727177240646</v>
      </c>
      <c r="H3">
        <f>$G3/$G2-1</f>
        <v>-1.732628793372748E-2</v>
      </c>
      <c r="I3"/>
      <c r="K3" s="50">
        <f>MAX($B$2:$B$501)</f>
        <v>45777</v>
      </c>
    </row>
    <row r="4" spans="1:12" x14ac:dyDescent="0.3">
      <c r="A4" s="16">
        <v>2</v>
      </c>
      <c r="B4" s="3">
        <v>45295</v>
      </c>
      <c r="C4" s="40">
        <v>4688.68</v>
      </c>
      <c r="D4" s="46">
        <f t="shared" ref="D4:D67" si="1">$C4/$C3-1</f>
        <v>-3.4284062480738342E-3</v>
      </c>
      <c r="E4">
        <v>3654.94</v>
      </c>
      <c r="F4">
        <v>7.8080999999999996</v>
      </c>
      <c r="G4" s="43">
        <f t="shared" si="0"/>
        <v>468.09595163996369</v>
      </c>
      <c r="H4">
        <f t="shared" ref="H4:H67" si="2">$G4/$G3-1</f>
        <v>2.1907379238184088E-3</v>
      </c>
      <c r="I4"/>
    </row>
    <row r="5" spans="1:12" x14ac:dyDescent="0.3">
      <c r="A5" s="16">
        <v>3</v>
      </c>
      <c r="B5" s="3">
        <v>45296</v>
      </c>
      <c r="C5" s="40">
        <v>4697.24</v>
      </c>
      <c r="D5" s="46">
        <f t="shared" si="1"/>
        <v>1.8256737503945519E-3</v>
      </c>
      <c r="E5">
        <v>3592.33</v>
      </c>
      <c r="F5">
        <v>7.8112000000000004</v>
      </c>
      <c r="G5" s="43">
        <f t="shared" si="0"/>
        <v>459.89476648914376</v>
      </c>
      <c r="H5">
        <f t="shared" si="2"/>
        <v>-1.7520307796056067E-2</v>
      </c>
      <c r="I5"/>
      <c r="K5" s="12" t="str">
        <f>"Y"&amp;" = "&amp; $H$1</f>
        <v>Y = USD Hang Seng Tech Index HPR</v>
      </c>
    </row>
    <row r="6" spans="1:12" x14ac:dyDescent="0.3">
      <c r="A6" s="16">
        <v>4</v>
      </c>
      <c r="B6" s="3">
        <v>45299</v>
      </c>
      <c r="C6" s="40">
        <v>4763.54</v>
      </c>
      <c r="D6" s="46">
        <f t="shared" si="1"/>
        <v>1.4114671594383177E-2</v>
      </c>
      <c r="E6">
        <v>3484.75</v>
      </c>
      <c r="F6">
        <v>7.8064999999999998</v>
      </c>
      <c r="G6" s="43">
        <f t="shared" si="0"/>
        <v>446.39082815602382</v>
      </c>
      <c r="H6">
        <f t="shared" si="2"/>
        <v>-2.9363105034244219E-2</v>
      </c>
      <c r="I6"/>
      <c r="K6" s="12" t="str">
        <f>"X"&amp;" = "&amp; $D$1</f>
        <v>X = S&amp;P500 HPR</v>
      </c>
    </row>
    <row r="7" spans="1:12" x14ac:dyDescent="0.3">
      <c r="A7" s="16">
        <v>5</v>
      </c>
      <c r="B7" s="3">
        <v>45300</v>
      </c>
      <c r="C7" s="40">
        <v>4756.5</v>
      </c>
      <c r="D7" s="46">
        <f t="shared" si="1"/>
        <v>-1.4778924917183689E-3</v>
      </c>
      <c r="E7">
        <v>3454.5</v>
      </c>
      <c r="F7">
        <v>7.8156999999999996</v>
      </c>
      <c r="G7" s="43">
        <f t="shared" si="0"/>
        <v>441.99495886484897</v>
      </c>
      <c r="H7">
        <f t="shared" si="2"/>
        <v>-9.8475797751793603E-3</v>
      </c>
      <c r="I7"/>
    </row>
    <row r="8" spans="1:12" x14ac:dyDescent="0.3">
      <c r="A8" s="16">
        <v>6</v>
      </c>
      <c r="B8" s="3">
        <v>45301</v>
      </c>
      <c r="C8" s="40">
        <v>4783.45</v>
      </c>
      <c r="D8" s="46">
        <f t="shared" si="1"/>
        <v>5.6659308314936929E-3</v>
      </c>
      <c r="E8">
        <v>3428.2</v>
      </c>
      <c r="F8">
        <v>7.8190999999999997</v>
      </c>
      <c r="G8" s="43">
        <f t="shared" si="0"/>
        <v>438.43920655829953</v>
      </c>
      <c r="H8">
        <f t="shared" si="2"/>
        <v>-8.0447802293525106E-3</v>
      </c>
      <c r="I8"/>
      <c r="K8" s="12" t="s">
        <v>52</v>
      </c>
    </row>
    <row r="9" spans="1:12" ht="15" thickBot="1" x14ac:dyDescent="0.35">
      <c r="A9" s="16">
        <v>7</v>
      </c>
      <c r="B9" s="3">
        <v>45302</v>
      </c>
      <c r="C9" s="40">
        <v>4780.24</v>
      </c>
      <c r="D9" s="46">
        <f t="shared" si="1"/>
        <v>-6.7106377196379796E-4</v>
      </c>
      <c r="E9">
        <v>3503.02</v>
      </c>
      <c r="F9">
        <v>7.8174999999999999</v>
      </c>
      <c r="G9" s="43">
        <f t="shared" si="0"/>
        <v>448.09977614326829</v>
      </c>
      <c r="H9">
        <f t="shared" si="2"/>
        <v>2.2034000245560126E-2</v>
      </c>
      <c r="I9"/>
    </row>
    <row r="10" spans="1:12" x14ac:dyDescent="0.3">
      <c r="A10" s="16">
        <v>8</v>
      </c>
      <c r="B10" s="3">
        <v>45303</v>
      </c>
      <c r="C10" s="40">
        <v>4783.83</v>
      </c>
      <c r="D10" s="46">
        <f t="shared" si="1"/>
        <v>7.5100831757413111E-4</v>
      </c>
      <c r="E10">
        <v>3470.64</v>
      </c>
      <c r="F10">
        <v>7.8211000000000004</v>
      </c>
      <c r="G10" s="43">
        <f t="shared" si="0"/>
        <v>443.75343621741183</v>
      </c>
      <c r="H10">
        <f t="shared" si="2"/>
        <v>-9.699491401814142E-3</v>
      </c>
      <c r="I10"/>
      <c r="K10" s="47" t="s">
        <v>53</v>
      </c>
      <c r="L10" s="47"/>
    </row>
    <row r="11" spans="1:12" x14ac:dyDescent="0.3">
      <c r="A11" s="16">
        <v>9</v>
      </c>
      <c r="B11" s="3">
        <v>45307</v>
      </c>
      <c r="C11" s="40">
        <v>4765.9799999999996</v>
      </c>
      <c r="D11" s="46">
        <f t="shared" si="1"/>
        <v>-3.7313198838587747E-3</v>
      </c>
      <c r="E11">
        <v>3325.93</v>
      </c>
      <c r="F11">
        <v>7.8259999999999996</v>
      </c>
      <c r="G11" s="43">
        <f t="shared" si="0"/>
        <v>424.98466649629438</v>
      </c>
      <c r="H11">
        <f t="shared" si="2"/>
        <v>-4.2295491570958577E-2</v>
      </c>
      <c r="I11"/>
      <c r="K11" s="12" t="s">
        <v>54</v>
      </c>
      <c r="L11" s="12">
        <v>0.27029122475653006</v>
      </c>
    </row>
    <row r="12" spans="1:12" x14ac:dyDescent="0.3">
      <c r="A12" s="16">
        <v>10</v>
      </c>
      <c r="B12" s="3">
        <v>45308</v>
      </c>
      <c r="C12" s="40">
        <v>4739.21</v>
      </c>
      <c r="D12" s="46">
        <f t="shared" si="1"/>
        <v>-5.6168930629166836E-3</v>
      </c>
      <c r="E12">
        <v>3160</v>
      </c>
      <c r="F12">
        <v>7.8209999999999997</v>
      </c>
      <c r="G12" s="43">
        <f t="shared" si="0"/>
        <v>404.04040404040404</v>
      </c>
      <c r="H12">
        <f t="shared" si="2"/>
        <v>-4.9282395594554829E-2</v>
      </c>
      <c r="I12"/>
      <c r="K12" s="12" t="s">
        <v>55</v>
      </c>
      <c r="L12" s="12">
        <v>7.3057346180385035E-2</v>
      </c>
    </row>
    <row r="13" spans="1:12" x14ac:dyDescent="0.3">
      <c r="A13" s="16">
        <v>11</v>
      </c>
      <c r="B13" s="3">
        <v>45309</v>
      </c>
      <c r="C13" s="40">
        <v>4780.9399999999996</v>
      </c>
      <c r="D13" s="46">
        <f t="shared" si="1"/>
        <v>8.8052650125229892E-3</v>
      </c>
      <c r="E13">
        <v>3176.08</v>
      </c>
      <c r="F13">
        <v>7.8208000000000002</v>
      </c>
      <c r="G13" s="43">
        <f t="shared" si="0"/>
        <v>406.10679214402614</v>
      </c>
      <c r="H13">
        <f t="shared" si="2"/>
        <v>5.1143105564646074E-3</v>
      </c>
      <c r="I13"/>
      <c r="K13" s="12" t="s">
        <v>56</v>
      </c>
      <c r="L13" s="12">
        <v>7.0095868053165811E-2</v>
      </c>
    </row>
    <row r="14" spans="1:12" x14ac:dyDescent="0.3">
      <c r="A14" s="16">
        <v>12</v>
      </c>
      <c r="B14" s="3">
        <v>45310</v>
      </c>
      <c r="C14" s="40">
        <v>4839.8100000000004</v>
      </c>
      <c r="D14" s="46">
        <f t="shared" si="1"/>
        <v>1.2313478102632613E-2</v>
      </c>
      <c r="E14">
        <v>3129.92</v>
      </c>
      <c r="F14">
        <v>7.8174999999999999</v>
      </c>
      <c r="G14" s="43">
        <f t="shared" si="0"/>
        <v>400.37352094659417</v>
      </c>
      <c r="H14">
        <f t="shared" si="2"/>
        <v>-1.411764419689554E-2</v>
      </c>
      <c r="I14"/>
      <c r="K14" s="12" t="s">
        <v>57</v>
      </c>
      <c r="L14" s="12">
        <v>2.4921558766411722E-2</v>
      </c>
    </row>
    <row r="15" spans="1:12" ht="15" thickBot="1" x14ac:dyDescent="0.35">
      <c r="A15" s="16">
        <v>13</v>
      </c>
      <c r="B15" s="3">
        <v>45313</v>
      </c>
      <c r="C15" s="40">
        <v>4850.43</v>
      </c>
      <c r="D15" s="46">
        <f t="shared" si="1"/>
        <v>2.194301015948863E-3</v>
      </c>
      <c r="E15">
        <v>3035.47</v>
      </c>
      <c r="F15">
        <v>7.8175999999999997</v>
      </c>
      <c r="G15" s="43">
        <f t="shared" si="0"/>
        <v>388.28668645108473</v>
      </c>
      <c r="H15">
        <f t="shared" si="2"/>
        <v>-3.0188895776456004E-2</v>
      </c>
      <c r="I15"/>
      <c r="K15" s="48" t="s">
        <v>58</v>
      </c>
      <c r="L15" s="48">
        <v>315</v>
      </c>
    </row>
    <row r="16" spans="1:12" x14ac:dyDescent="0.3">
      <c r="A16" s="16">
        <v>14</v>
      </c>
      <c r="B16" s="3">
        <v>45314</v>
      </c>
      <c r="C16" s="40">
        <v>4864.6000000000004</v>
      </c>
      <c r="D16" s="46">
        <f t="shared" si="1"/>
        <v>2.9213904746590025E-3</v>
      </c>
      <c r="E16">
        <v>3147.81</v>
      </c>
      <c r="F16">
        <v>7.8219000000000003</v>
      </c>
      <c r="G16" s="43">
        <f t="shared" si="0"/>
        <v>402.43546964292563</v>
      </c>
      <c r="H16">
        <f t="shared" si="2"/>
        <v>3.6439011909370045E-2</v>
      </c>
      <c r="I16"/>
    </row>
    <row r="17" spans="1:19" ht="15" thickBot="1" x14ac:dyDescent="0.35">
      <c r="A17" s="16">
        <v>15</v>
      </c>
      <c r="B17" s="3">
        <v>45315</v>
      </c>
      <c r="C17" s="40">
        <v>4868.55</v>
      </c>
      <c r="D17" s="46">
        <f t="shared" si="1"/>
        <v>8.1198865271558951E-4</v>
      </c>
      <c r="E17">
        <v>3281.16</v>
      </c>
      <c r="F17">
        <v>7.8177000000000003</v>
      </c>
      <c r="G17" s="43">
        <f t="shared" si="0"/>
        <v>419.70912160865726</v>
      </c>
      <c r="H17">
        <f t="shared" si="2"/>
        <v>4.2922787052190658E-2</v>
      </c>
      <c r="I17"/>
      <c r="K17" s="12" t="s">
        <v>59</v>
      </c>
    </row>
    <row r="18" spans="1:19" x14ac:dyDescent="0.3">
      <c r="A18" s="16">
        <v>16</v>
      </c>
      <c r="B18" s="3">
        <v>45316</v>
      </c>
      <c r="C18" s="40">
        <v>4894.16</v>
      </c>
      <c r="D18" s="46">
        <f t="shared" si="1"/>
        <v>5.2602931057501578E-3</v>
      </c>
      <c r="E18">
        <v>3310.69</v>
      </c>
      <c r="F18">
        <v>7.8175999999999997</v>
      </c>
      <c r="G18" s="43">
        <f t="shared" si="0"/>
        <v>423.49186451084734</v>
      </c>
      <c r="H18">
        <f t="shared" si="2"/>
        <v>9.0127726738260527E-3</v>
      </c>
      <c r="I18"/>
      <c r="K18" s="49"/>
      <c r="L18" s="49" t="s">
        <v>64</v>
      </c>
      <c r="M18" s="49" t="s">
        <v>65</v>
      </c>
      <c r="N18" s="49" t="s">
        <v>66</v>
      </c>
      <c r="O18" s="49" t="s">
        <v>67</v>
      </c>
      <c r="P18" s="49" t="s">
        <v>68</v>
      </c>
    </row>
    <row r="19" spans="1:19" x14ac:dyDescent="0.3">
      <c r="A19" s="16">
        <v>17</v>
      </c>
      <c r="B19" s="3">
        <v>45317</v>
      </c>
      <c r="C19" s="40">
        <v>4890.97</v>
      </c>
      <c r="D19" s="46">
        <f t="shared" si="1"/>
        <v>-6.517972440622799E-4</v>
      </c>
      <c r="E19">
        <v>3186.49</v>
      </c>
      <c r="F19">
        <v>7.8144</v>
      </c>
      <c r="G19" s="43">
        <f t="shared" si="0"/>
        <v>407.77154995904993</v>
      </c>
      <c r="H19">
        <f t="shared" si="2"/>
        <v>-3.712070022869296E-2</v>
      </c>
      <c r="I19"/>
      <c r="K19" s="12" t="s">
        <v>60</v>
      </c>
      <c r="L19" s="12">
        <v>1</v>
      </c>
      <c r="M19" s="12">
        <v>1.5321658144855504E-2</v>
      </c>
      <c r="N19" s="12">
        <v>1.5321658144855504E-2</v>
      </c>
      <c r="O19" s="12">
        <v>24.66921687143601</v>
      </c>
      <c r="P19" s="12">
        <v>1.1213660638446011E-6</v>
      </c>
    </row>
    <row r="20" spans="1:19" x14ac:dyDescent="0.3">
      <c r="A20" s="16">
        <v>18</v>
      </c>
      <c r="B20" s="3">
        <v>45320</v>
      </c>
      <c r="C20" s="40">
        <v>4927.93</v>
      </c>
      <c r="D20" s="46">
        <f t="shared" si="1"/>
        <v>7.5567832147815928E-3</v>
      </c>
      <c r="E20">
        <v>3203.59</v>
      </c>
      <c r="F20">
        <v>7.8136000000000001</v>
      </c>
      <c r="G20" s="43">
        <f t="shared" si="0"/>
        <v>410.00179174772194</v>
      </c>
      <c r="H20">
        <f t="shared" si="2"/>
        <v>5.4693413233364296E-3</v>
      </c>
      <c r="I20"/>
      <c r="K20" s="12" t="s">
        <v>61</v>
      </c>
      <c r="L20" s="12">
        <v>313</v>
      </c>
      <c r="M20" s="12">
        <v>0.19439932059183415</v>
      </c>
      <c r="N20" s="12">
        <v>6.2108409134771297E-4</v>
      </c>
    </row>
    <row r="21" spans="1:19" ht="15" thickBot="1" x14ac:dyDescent="0.35">
      <c r="A21" s="16">
        <v>19</v>
      </c>
      <c r="B21" s="3">
        <v>45321</v>
      </c>
      <c r="C21" s="40">
        <v>4924.97</v>
      </c>
      <c r="D21" s="46">
        <f t="shared" si="1"/>
        <v>-6.0065788272156695E-4</v>
      </c>
      <c r="E21">
        <v>3098.87</v>
      </c>
      <c r="F21">
        <v>7.8177000000000003</v>
      </c>
      <c r="G21" s="43">
        <f t="shared" si="0"/>
        <v>396.39152180308781</v>
      </c>
      <c r="H21">
        <f t="shared" si="2"/>
        <v>-3.3195635283976177E-2</v>
      </c>
      <c r="I21"/>
      <c r="K21" s="48" t="s">
        <v>62</v>
      </c>
      <c r="L21" s="48">
        <v>314</v>
      </c>
      <c r="M21" s="48">
        <v>0.20972097873668966</v>
      </c>
      <c r="N21" s="48"/>
      <c r="O21" s="48"/>
      <c r="P21" s="48"/>
    </row>
    <row r="22" spans="1:19" ht="15" thickBot="1" x14ac:dyDescent="0.35">
      <c r="A22" s="16">
        <v>20</v>
      </c>
      <c r="B22" s="3">
        <v>45322</v>
      </c>
      <c r="C22" s="40">
        <v>4845.6499999999996</v>
      </c>
      <c r="D22" s="46">
        <f t="shared" si="1"/>
        <v>-1.6105681862021659E-2</v>
      </c>
      <c r="E22">
        <v>3005.8</v>
      </c>
      <c r="F22">
        <v>7.8179999999999996</v>
      </c>
      <c r="G22" s="43">
        <f t="shared" si="0"/>
        <v>384.47173190074193</v>
      </c>
      <c r="H22">
        <f t="shared" si="2"/>
        <v>-3.0070748859929441E-2</v>
      </c>
      <c r="I22"/>
    </row>
    <row r="23" spans="1:19" x14ac:dyDescent="0.3">
      <c r="A23" s="16">
        <v>21</v>
      </c>
      <c r="B23" s="3">
        <v>45323</v>
      </c>
      <c r="C23" s="40">
        <v>4906.1899999999996</v>
      </c>
      <c r="D23" s="46">
        <f t="shared" si="1"/>
        <v>1.2493679898465615E-2</v>
      </c>
      <c r="E23">
        <v>3065.95</v>
      </c>
      <c r="F23">
        <v>7.8196000000000003</v>
      </c>
      <c r="G23" s="43">
        <f t="shared" si="0"/>
        <v>392.08527290398484</v>
      </c>
      <c r="H23">
        <f t="shared" si="2"/>
        <v>1.980260282232793E-2</v>
      </c>
      <c r="I23"/>
      <c r="K23" s="49"/>
      <c r="L23" s="49" t="s">
        <v>69</v>
      </c>
      <c r="M23" s="49" t="s">
        <v>57</v>
      </c>
      <c r="N23" s="49" t="s">
        <v>70</v>
      </c>
      <c r="O23" s="49" t="s">
        <v>71</v>
      </c>
      <c r="P23" s="49" t="s">
        <v>72</v>
      </c>
      <c r="Q23" s="49" t="s">
        <v>73</v>
      </c>
      <c r="R23" s="49" t="s">
        <v>74</v>
      </c>
      <c r="S23" s="49" t="s">
        <v>75</v>
      </c>
    </row>
    <row r="24" spans="1:19" x14ac:dyDescent="0.3">
      <c r="A24" s="16">
        <v>22</v>
      </c>
      <c r="B24" s="3">
        <v>45324</v>
      </c>
      <c r="C24" s="40">
        <v>4958.6099999999997</v>
      </c>
      <c r="D24" s="46">
        <f t="shared" si="1"/>
        <v>1.0684461873673889E-2</v>
      </c>
      <c r="E24">
        <v>3043.9</v>
      </c>
      <c r="F24">
        <v>7.8201000000000001</v>
      </c>
      <c r="G24" s="43">
        <f t="shared" si="0"/>
        <v>389.24054679607679</v>
      </c>
      <c r="H24">
        <f t="shared" si="2"/>
        <v>-7.2553760737774642E-3</v>
      </c>
      <c r="I24"/>
      <c r="K24" s="12" t="s">
        <v>63</v>
      </c>
      <c r="L24" s="12">
        <v>1.0068983391284235E-3</v>
      </c>
      <c r="M24" s="12">
        <v>1.4059876255470703E-3</v>
      </c>
      <c r="N24" s="12">
        <v>0.71615021415045454</v>
      </c>
      <c r="O24" s="12">
        <v>0.47443255633869241</v>
      </c>
      <c r="P24" s="12">
        <v>-1.759483572641288E-3</v>
      </c>
      <c r="Q24" s="12">
        <v>3.7732802508981351E-3</v>
      </c>
      <c r="R24" s="12">
        <v>-1.759483572641288E-3</v>
      </c>
      <c r="S24" s="12">
        <v>3.7732802508981351E-3</v>
      </c>
    </row>
    <row r="25" spans="1:19" ht="15" thickBot="1" x14ac:dyDescent="0.35">
      <c r="A25" s="16">
        <v>23</v>
      </c>
      <c r="B25" s="3">
        <v>45327</v>
      </c>
      <c r="C25" s="40">
        <v>4942.8100000000004</v>
      </c>
      <c r="D25" s="46">
        <f t="shared" si="1"/>
        <v>-3.18637682737688E-3</v>
      </c>
      <c r="E25">
        <v>3038.84</v>
      </c>
      <c r="F25">
        <v>7.8215000000000003</v>
      </c>
      <c r="G25" s="43">
        <f t="shared" si="0"/>
        <v>388.52394042063543</v>
      </c>
      <c r="H25">
        <f t="shared" si="2"/>
        <v>-1.8410373259926116E-3</v>
      </c>
      <c r="I25"/>
      <c r="K25" s="48" t="s">
        <v>76</v>
      </c>
      <c r="L25" s="48">
        <v>0.61934845349524303</v>
      </c>
      <c r="M25" s="48">
        <v>0.12469739359707713</v>
      </c>
      <c r="N25" s="48">
        <v>4.9668115397542714</v>
      </c>
      <c r="O25" s="48">
        <v>1.1213660638444933E-6</v>
      </c>
      <c r="P25" s="48">
        <v>0.37399735095082476</v>
      </c>
      <c r="Q25" s="48">
        <v>0.86469955603966131</v>
      </c>
      <c r="R25" s="48">
        <v>0.37399735095082476</v>
      </c>
      <c r="S25" s="48">
        <v>0.86469955603966131</v>
      </c>
    </row>
    <row r="26" spans="1:19" x14ac:dyDescent="0.3">
      <c r="A26" s="16">
        <v>24</v>
      </c>
      <c r="B26" s="3">
        <v>45328</v>
      </c>
      <c r="C26" s="40">
        <v>4954.2299999999996</v>
      </c>
      <c r="D26" s="46">
        <f t="shared" si="1"/>
        <v>2.310426660138587E-3</v>
      </c>
      <c r="E26">
        <v>3243.81</v>
      </c>
      <c r="F26">
        <v>7.8224</v>
      </c>
      <c r="G26" s="43">
        <f t="shared" si="0"/>
        <v>414.68219472284721</v>
      </c>
      <c r="H26">
        <f t="shared" si="2"/>
        <v>6.732726501716102E-2</v>
      </c>
      <c r="I26"/>
    </row>
    <row r="27" spans="1:19" x14ac:dyDescent="0.3">
      <c r="A27" s="16">
        <v>25</v>
      </c>
      <c r="B27" s="3">
        <v>45329</v>
      </c>
      <c r="C27" s="40">
        <v>4995.0600000000004</v>
      </c>
      <c r="D27" s="46">
        <f t="shared" si="1"/>
        <v>8.2414421615468747E-3</v>
      </c>
      <c r="E27">
        <v>3190.68</v>
      </c>
      <c r="F27">
        <v>7.8189000000000002</v>
      </c>
      <c r="G27" s="43">
        <f t="shared" si="0"/>
        <v>408.07274680581662</v>
      </c>
      <c r="H27">
        <f t="shared" si="2"/>
        <v>-1.5938586226129203E-2</v>
      </c>
      <c r="I27"/>
    </row>
    <row r="28" spans="1:19" x14ac:dyDescent="0.3">
      <c r="A28" s="16">
        <v>26</v>
      </c>
      <c r="B28" s="3">
        <v>45330</v>
      </c>
      <c r="C28" s="40">
        <v>4997.91</v>
      </c>
      <c r="D28" s="46">
        <f t="shared" si="1"/>
        <v>5.7056371695218822E-4</v>
      </c>
      <c r="E28">
        <v>3168.55</v>
      </c>
      <c r="F28">
        <v>7.8209999999999997</v>
      </c>
      <c r="G28" s="43">
        <f t="shared" si="0"/>
        <v>405.13361462728557</v>
      </c>
      <c r="H28">
        <f t="shared" si="2"/>
        <v>-7.2024711317701939E-3</v>
      </c>
      <c r="I28"/>
      <c r="K28" s="52" t="s">
        <v>84</v>
      </c>
      <c r="L28" s="51">
        <f>L25</f>
        <v>0.61934845349524303</v>
      </c>
    </row>
    <row r="29" spans="1:19" x14ac:dyDescent="0.3">
      <c r="A29" s="16">
        <v>27</v>
      </c>
      <c r="B29" s="3">
        <v>45331</v>
      </c>
      <c r="C29" s="40">
        <v>5026.6099999999997</v>
      </c>
      <c r="D29" s="46">
        <f t="shared" si="1"/>
        <v>5.7424003233350618E-3</v>
      </c>
      <c r="E29">
        <v>3127.22</v>
      </c>
      <c r="F29">
        <v>7.8197000000000001</v>
      </c>
      <c r="G29" s="43">
        <f t="shared" si="0"/>
        <v>399.91559778508122</v>
      </c>
      <c r="H29">
        <f t="shared" si="2"/>
        <v>-1.2879743012696676E-2</v>
      </c>
      <c r="I29"/>
    </row>
    <row r="30" spans="1:19" x14ac:dyDescent="0.3">
      <c r="A30" s="16">
        <v>28</v>
      </c>
      <c r="B30" s="3">
        <v>45336</v>
      </c>
      <c r="C30" s="40">
        <v>5000.62</v>
      </c>
      <c r="D30" s="46">
        <f t="shared" si="1"/>
        <v>-5.1704826911178614E-3</v>
      </c>
      <c r="E30">
        <v>3197.87</v>
      </c>
      <c r="F30">
        <v>7.8182</v>
      </c>
      <c r="G30" s="43">
        <f t="shared" si="0"/>
        <v>409.02893249085463</v>
      </c>
      <c r="H30">
        <f t="shared" si="2"/>
        <v>2.2788145189253095E-2</v>
      </c>
      <c r="I30"/>
    </row>
    <row r="31" spans="1:19" x14ac:dyDescent="0.3">
      <c r="A31" s="16">
        <v>29</v>
      </c>
      <c r="B31" s="3">
        <v>45337</v>
      </c>
      <c r="C31" s="40">
        <v>5029.7299999999996</v>
      </c>
      <c r="D31" s="46">
        <f t="shared" si="1"/>
        <v>5.8212781615079034E-3</v>
      </c>
      <c r="E31">
        <v>3223.1</v>
      </c>
      <c r="F31">
        <v>7.8193000000000001</v>
      </c>
      <c r="G31" s="43">
        <f t="shared" si="0"/>
        <v>412.19802284091924</v>
      </c>
      <c r="H31">
        <f t="shared" si="2"/>
        <v>7.7478390850393986E-3</v>
      </c>
      <c r="I31"/>
    </row>
    <row r="32" spans="1:19" x14ac:dyDescent="0.3">
      <c r="A32" s="16">
        <v>30</v>
      </c>
      <c r="B32" s="3">
        <v>45338</v>
      </c>
      <c r="C32" s="40">
        <v>5005.57</v>
      </c>
      <c r="D32" s="46">
        <f t="shared" si="1"/>
        <v>-4.8034387531735723E-3</v>
      </c>
      <c r="E32">
        <v>3342.73</v>
      </c>
      <c r="F32">
        <v>7.8223000000000003</v>
      </c>
      <c r="G32" s="43">
        <f t="shared" si="0"/>
        <v>427.33339299183103</v>
      </c>
      <c r="H32">
        <f t="shared" si="2"/>
        <v>3.6718686922845967E-2</v>
      </c>
      <c r="I32"/>
    </row>
    <row r="33" spans="1:9" x14ac:dyDescent="0.3">
      <c r="A33" s="16">
        <v>31</v>
      </c>
      <c r="B33" s="3">
        <v>45342</v>
      </c>
      <c r="C33" s="40">
        <v>4975.51</v>
      </c>
      <c r="D33" s="46">
        <f t="shared" si="1"/>
        <v>-6.0053100845657292E-3</v>
      </c>
      <c r="E33">
        <v>3264.4</v>
      </c>
      <c r="F33">
        <v>7.8207000000000004</v>
      </c>
      <c r="G33" s="43">
        <f t="shared" si="0"/>
        <v>417.40509161583998</v>
      </c>
      <c r="H33">
        <f t="shared" si="2"/>
        <v>-2.3233151302502697E-2</v>
      </c>
      <c r="I33"/>
    </row>
    <row r="34" spans="1:9" x14ac:dyDescent="0.3">
      <c r="A34" s="16">
        <v>32</v>
      </c>
      <c r="B34" s="3">
        <v>45343</v>
      </c>
      <c r="C34" s="40">
        <v>4981.8</v>
      </c>
      <c r="D34" s="46">
        <f t="shared" si="1"/>
        <v>1.2641920124771833E-3</v>
      </c>
      <c r="E34">
        <v>3351.22</v>
      </c>
      <c r="F34">
        <v>7.8209</v>
      </c>
      <c r="G34" s="43">
        <f t="shared" si="0"/>
        <v>428.495441701083</v>
      </c>
      <c r="H34">
        <f t="shared" si="2"/>
        <v>2.656975276058704E-2</v>
      </c>
      <c r="I34"/>
    </row>
    <row r="35" spans="1:9" x14ac:dyDescent="0.3">
      <c r="A35" s="16">
        <v>33</v>
      </c>
      <c r="B35" s="3">
        <v>45344</v>
      </c>
      <c r="C35" s="40">
        <v>5087.03</v>
      </c>
      <c r="D35" s="46">
        <f t="shared" si="1"/>
        <v>2.1122887309807714E-2</v>
      </c>
      <c r="E35">
        <v>3410.02</v>
      </c>
      <c r="F35">
        <v>7.8221999999999996</v>
      </c>
      <c r="G35" s="43">
        <f t="shared" si="0"/>
        <v>435.94129528777074</v>
      </c>
      <c r="H35">
        <f t="shared" si="2"/>
        <v>1.7376739311691258E-2</v>
      </c>
      <c r="I35"/>
    </row>
    <row r="36" spans="1:9" x14ac:dyDescent="0.3">
      <c r="A36" s="16">
        <v>34</v>
      </c>
      <c r="B36" s="3">
        <v>45345</v>
      </c>
      <c r="C36" s="40">
        <v>5088.8</v>
      </c>
      <c r="D36" s="46">
        <f t="shared" si="1"/>
        <v>3.4794369209545373E-4</v>
      </c>
      <c r="E36">
        <v>3399.84</v>
      </c>
      <c r="F36">
        <v>7.8238000000000003</v>
      </c>
      <c r="G36" s="43">
        <f t="shared" si="0"/>
        <v>434.55098545463841</v>
      </c>
      <c r="H36">
        <f t="shared" si="2"/>
        <v>-3.1892134288736829E-3</v>
      </c>
      <c r="I36"/>
    </row>
    <row r="37" spans="1:9" x14ac:dyDescent="0.3">
      <c r="A37" s="16">
        <v>35</v>
      </c>
      <c r="B37" s="3">
        <v>45348</v>
      </c>
      <c r="C37" s="40">
        <v>5069.53</v>
      </c>
      <c r="D37" s="46">
        <f t="shared" si="1"/>
        <v>-3.7867473667663187E-3</v>
      </c>
      <c r="E37">
        <v>3393.29</v>
      </c>
      <c r="F37">
        <v>7.8238000000000003</v>
      </c>
      <c r="G37" s="43">
        <f t="shared" si="0"/>
        <v>433.71379636493771</v>
      </c>
      <c r="H37">
        <f t="shared" si="2"/>
        <v>-1.9265612499412832E-3</v>
      </c>
      <c r="I37"/>
    </row>
    <row r="38" spans="1:9" x14ac:dyDescent="0.3">
      <c r="A38" s="16">
        <v>36</v>
      </c>
      <c r="B38" s="3">
        <v>45349</v>
      </c>
      <c r="C38" s="40">
        <v>5078.18</v>
      </c>
      <c r="D38" s="46">
        <f t="shared" si="1"/>
        <v>1.7062725735916828E-3</v>
      </c>
      <c r="E38">
        <v>3503.17</v>
      </c>
      <c r="F38">
        <v>7.8240999999999996</v>
      </c>
      <c r="G38" s="43">
        <f t="shared" si="0"/>
        <v>447.74095423115762</v>
      </c>
      <c r="H38">
        <f t="shared" si="2"/>
        <v>3.2341968329771875E-2</v>
      </c>
      <c r="I38"/>
    </row>
    <row r="39" spans="1:9" x14ac:dyDescent="0.3">
      <c r="A39" s="16">
        <v>37</v>
      </c>
      <c r="B39" s="3">
        <v>45350</v>
      </c>
      <c r="C39" s="40">
        <v>5069.76</v>
      </c>
      <c r="D39" s="46">
        <f t="shared" si="1"/>
        <v>-1.6580743494716277E-3</v>
      </c>
      <c r="E39">
        <v>3426.61</v>
      </c>
      <c r="F39">
        <v>7.8278999999999996</v>
      </c>
      <c r="G39" s="43">
        <f t="shared" si="0"/>
        <v>437.74320060297146</v>
      </c>
      <c r="H39">
        <f t="shared" si="2"/>
        <v>-2.2329325771313191E-2</v>
      </c>
      <c r="I39"/>
    </row>
    <row r="40" spans="1:9" x14ac:dyDescent="0.3">
      <c r="A40" s="16">
        <v>38</v>
      </c>
      <c r="B40" s="3">
        <v>45351</v>
      </c>
      <c r="C40" s="40">
        <v>5096.2700000000004</v>
      </c>
      <c r="D40" s="46">
        <f t="shared" si="1"/>
        <v>5.229044372909275E-3</v>
      </c>
      <c r="E40">
        <v>3431.3</v>
      </c>
      <c r="F40">
        <v>7.8288000000000002</v>
      </c>
      <c r="G40" s="43">
        <f t="shared" si="0"/>
        <v>438.29194768035973</v>
      </c>
      <c r="H40">
        <f t="shared" si="2"/>
        <v>1.2535821838748351E-3</v>
      </c>
      <c r="I40"/>
    </row>
    <row r="41" spans="1:9" x14ac:dyDescent="0.3">
      <c r="A41" s="16">
        <v>39</v>
      </c>
      <c r="B41" s="3">
        <v>45352</v>
      </c>
      <c r="C41" s="40">
        <v>5137.08</v>
      </c>
      <c r="D41" s="46">
        <f t="shared" si="1"/>
        <v>8.0078174821975878E-3</v>
      </c>
      <c r="E41">
        <v>3488.13</v>
      </c>
      <c r="F41">
        <v>7.8285</v>
      </c>
      <c r="G41" s="43">
        <f t="shared" si="0"/>
        <v>445.56811649741331</v>
      </c>
      <c r="H41">
        <f t="shared" si="2"/>
        <v>1.660119209481814E-2</v>
      </c>
      <c r="I41"/>
    </row>
    <row r="42" spans="1:9" x14ac:dyDescent="0.3">
      <c r="A42" s="16">
        <v>40</v>
      </c>
      <c r="B42" s="3">
        <v>45355</v>
      </c>
      <c r="C42" s="40">
        <v>5130.95</v>
      </c>
      <c r="D42" s="46">
        <f t="shared" si="1"/>
        <v>-1.1932849011501157E-3</v>
      </c>
      <c r="E42">
        <v>3474.77</v>
      </c>
      <c r="F42">
        <v>7.8247</v>
      </c>
      <c r="G42" s="43">
        <f t="shared" si="0"/>
        <v>444.07708921747798</v>
      </c>
      <c r="H42">
        <f t="shared" si="2"/>
        <v>-3.3463509275668546E-3</v>
      </c>
      <c r="I42"/>
    </row>
    <row r="43" spans="1:9" x14ac:dyDescent="0.3">
      <c r="A43" s="16">
        <v>41</v>
      </c>
      <c r="B43" s="3">
        <v>45356</v>
      </c>
      <c r="C43" s="40">
        <v>5078.6499999999996</v>
      </c>
      <c r="D43" s="46">
        <f t="shared" si="1"/>
        <v>-1.0193044173106403E-2</v>
      </c>
      <c r="E43">
        <v>3323.89</v>
      </c>
      <c r="F43">
        <v>7.8239999999999998</v>
      </c>
      <c r="G43" s="43">
        <f t="shared" si="0"/>
        <v>424.83256646216768</v>
      </c>
      <c r="H43">
        <f t="shared" si="2"/>
        <v>-4.3335995534517835E-2</v>
      </c>
      <c r="I43"/>
    </row>
    <row r="44" spans="1:9" x14ac:dyDescent="0.3">
      <c r="A44" s="16">
        <v>42</v>
      </c>
      <c r="B44" s="3">
        <v>45357</v>
      </c>
      <c r="C44" s="40">
        <v>5104.76</v>
      </c>
      <c r="D44" s="46">
        <f t="shared" si="1"/>
        <v>5.1411300247115044E-3</v>
      </c>
      <c r="E44">
        <v>3412.57</v>
      </c>
      <c r="F44">
        <v>7.8251999999999997</v>
      </c>
      <c r="G44" s="43">
        <f t="shared" si="0"/>
        <v>436.10003578183307</v>
      </c>
      <c r="H44">
        <f t="shared" si="2"/>
        <v>2.6522141213175532E-2</v>
      </c>
      <c r="I44"/>
    </row>
    <row r="45" spans="1:9" x14ac:dyDescent="0.3">
      <c r="A45" s="16">
        <v>43</v>
      </c>
      <c r="B45" s="3">
        <v>45358</v>
      </c>
      <c r="C45" s="40">
        <v>5157.3599999999997</v>
      </c>
      <c r="D45" s="46">
        <f t="shared" si="1"/>
        <v>1.0304108322428451E-2</v>
      </c>
      <c r="E45">
        <v>3359.34</v>
      </c>
      <c r="F45">
        <v>7.8207000000000004</v>
      </c>
      <c r="G45" s="43">
        <f t="shared" si="0"/>
        <v>429.54466991445776</v>
      </c>
      <c r="H45">
        <f t="shared" si="2"/>
        <v>-1.5031793922288816E-2</v>
      </c>
      <c r="I45"/>
    </row>
    <row r="46" spans="1:9" x14ac:dyDescent="0.3">
      <c r="A46" s="16">
        <v>44</v>
      </c>
      <c r="B46" s="3">
        <v>45359</v>
      </c>
      <c r="C46" s="40">
        <v>5123.6899999999996</v>
      </c>
      <c r="D46" s="46">
        <f t="shared" si="1"/>
        <v>-6.5285339786247398E-3</v>
      </c>
      <c r="E46">
        <v>3385.58</v>
      </c>
      <c r="F46">
        <v>7.8202999999999996</v>
      </c>
      <c r="G46" s="43">
        <f t="shared" si="0"/>
        <v>432.92201066455254</v>
      </c>
      <c r="H46">
        <f t="shared" si="2"/>
        <v>7.8626065847060556E-3</v>
      </c>
      <c r="I46"/>
    </row>
    <row r="47" spans="1:9" x14ac:dyDescent="0.3">
      <c r="A47" s="16">
        <v>45</v>
      </c>
      <c r="B47" s="3">
        <v>45362</v>
      </c>
      <c r="C47" s="40">
        <v>5117.9399999999996</v>
      </c>
      <c r="D47" s="46">
        <f t="shared" si="1"/>
        <v>-1.1222380745127269E-3</v>
      </c>
      <c r="E47">
        <v>3482.29</v>
      </c>
      <c r="F47">
        <v>7.8216000000000001</v>
      </c>
      <c r="G47" s="43">
        <f t="shared" si="0"/>
        <v>445.2145341106679</v>
      </c>
      <c r="H47">
        <f t="shared" si="2"/>
        <v>2.8394313856312969E-2</v>
      </c>
      <c r="I47"/>
    </row>
    <row r="48" spans="1:9" x14ac:dyDescent="0.3">
      <c r="A48" s="16">
        <v>46</v>
      </c>
      <c r="B48" s="3">
        <v>45363</v>
      </c>
      <c r="C48" s="40">
        <v>5175.2700000000004</v>
      </c>
      <c r="D48" s="46">
        <f t="shared" si="1"/>
        <v>1.1201772588189884E-2</v>
      </c>
      <c r="E48">
        <v>3643.91</v>
      </c>
      <c r="F48">
        <v>7.8235000000000001</v>
      </c>
      <c r="G48" s="43">
        <f t="shared" si="0"/>
        <v>465.76468332587712</v>
      </c>
      <c r="H48">
        <f t="shared" si="2"/>
        <v>4.6157857933049939E-2</v>
      </c>
      <c r="I48"/>
    </row>
    <row r="49" spans="1:9" x14ac:dyDescent="0.3">
      <c r="A49" s="16">
        <v>47</v>
      </c>
      <c r="B49" s="3">
        <v>45364</v>
      </c>
      <c r="C49" s="40">
        <v>5165.3100000000004</v>
      </c>
      <c r="D49" s="46">
        <f t="shared" si="1"/>
        <v>-1.9245372705192221E-3</v>
      </c>
      <c r="E49">
        <v>3656.3</v>
      </c>
      <c r="F49">
        <v>7.8232999999999997</v>
      </c>
      <c r="G49" s="43">
        <f t="shared" si="0"/>
        <v>467.36032109212232</v>
      </c>
      <c r="H49">
        <f t="shared" si="2"/>
        <v>3.4258453321347471E-3</v>
      </c>
      <c r="I49"/>
    </row>
    <row r="50" spans="1:9" x14ac:dyDescent="0.3">
      <c r="A50" s="16">
        <v>48</v>
      </c>
      <c r="B50" s="3">
        <v>45365</v>
      </c>
      <c r="C50" s="40">
        <v>5150.4799999999996</v>
      </c>
      <c r="D50" s="46">
        <f t="shared" si="1"/>
        <v>-2.871076469757039E-3</v>
      </c>
      <c r="E50">
        <v>3603.83</v>
      </c>
      <c r="F50">
        <v>7.8221999999999996</v>
      </c>
      <c r="G50" s="43">
        <f t="shared" si="0"/>
        <v>460.71821226764848</v>
      </c>
      <c r="H50">
        <f t="shared" si="2"/>
        <v>-1.4211965639172486E-2</v>
      </c>
      <c r="I50"/>
    </row>
    <row r="51" spans="1:9" x14ac:dyDescent="0.3">
      <c r="A51" s="16">
        <v>49</v>
      </c>
      <c r="B51" s="3">
        <v>45366</v>
      </c>
      <c r="C51" s="40">
        <v>5117.09</v>
      </c>
      <c r="D51" s="46">
        <f t="shared" si="1"/>
        <v>-6.4828909150214109E-3</v>
      </c>
      <c r="E51">
        <v>3549.84</v>
      </c>
      <c r="F51">
        <v>7.8215000000000003</v>
      </c>
      <c r="G51" s="43">
        <f t="shared" si="0"/>
        <v>453.85667710797162</v>
      </c>
      <c r="H51">
        <f t="shared" si="2"/>
        <v>-1.4893127679725282E-2</v>
      </c>
      <c r="I51"/>
    </row>
    <row r="52" spans="1:9" x14ac:dyDescent="0.3">
      <c r="A52" s="16">
        <v>50</v>
      </c>
      <c r="B52" s="3">
        <v>45369</v>
      </c>
      <c r="C52" s="40">
        <v>5149.42</v>
      </c>
      <c r="D52" s="46">
        <f t="shared" si="1"/>
        <v>6.3180440445644859E-3</v>
      </c>
      <c r="E52">
        <v>3594.22</v>
      </c>
      <c r="F52">
        <v>7.8192000000000004</v>
      </c>
      <c r="G52" s="43">
        <f t="shared" si="0"/>
        <v>459.66595048086754</v>
      </c>
      <c r="H52">
        <f t="shared" si="2"/>
        <v>1.279979708553225E-2</v>
      </c>
      <c r="I52"/>
    </row>
    <row r="53" spans="1:9" x14ac:dyDescent="0.3">
      <c r="A53" s="16">
        <v>51</v>
      </c>
      <c r="B53" s="3">
        <v>45370</v>
      </c>
      <c r="C53" s="40">
        <v>5178.51</v>
      </c>
      <c r="D53" s="46">
        <f t="shared" si="1"/>
        <v>5.6491799076401339E-3</v>
      </c>
      <c r="E53">
        <v>3528.47</v>
      </c>
      <c r="F53">
        <v>7.8230000000000004</v>
      </c>
      <c r="G53" s="43">
        <f t="shared" si="0"/>
        <v>451.03796497507346</v>
      </c>
      <c r="H53">
        <f t="shared" si="2"/>
        <v>-1.8770120990619699E-2</v>
      </c>
      <c r="I53"/>
    </row>
    <row r="54" spans="1:9" x14ac:dyDescent="0.3">
      <c r="A54" s="16">
        <v>52</v>
      </c>
      <c r="B54" s="3">
        <v>45371</v>
      </c>
      <c r="C54" s="40">
        <v>5224.62</v>
      </c>
      <c r="D54" s="46">
        <f t="shared" si="1"/>
        <v>8.9041056211149883E-3</v>
      </c>
      <c r="E54">
        <v>3551.42</v>
      </c>
      <c r="F54">
        <v>7.8228</v>
      </c>
      <c r="G54" s="43">
        <f t="shared" si="0"/>
        <v>453.9832285115304</v>
      </c>
      <c r="H54">
        <f t="shared" si="2"/>
        <v>6.5299681294448408E-3</v>
      </c>
      <c r="I54"/>
    </row>
    <row r="55" spans="1:9" x14ac:dyDescent="0.3">
      <c r="A55" s="16">
        <v>53</v>
      </c>
      <c r="B55" s="3">
        <v>45372</v>
      </c>
      <c r="C55" s="40">
        <v>5241.53</v>
      </c>
      <c r="D55" s="46">
        <f t="shared" si="1"/>
        <v>3.2365990253835353E-3</v>
      </c>
      <c r="E55">
        <v>3582.9</v>
      </c>
      <c r="F55">
        <v>7.8216000000000001</v>
      </c>
      <c r="G55" s="43">
        <f t="shared" si="0"/>
        <v>458.0776311752071</v>
      </c>
      <c r="H55">
        <f t="shared" si="2"/>
        <v>9.0188412402392171E-3</v>
      </c>
      <c r="I55"/>
    </row>
    <row r="56" spans="1:9" x14ac:dyDescent="0.3">
      <c r="A56" s="16">
        <v>54</v>
      </c>
      <c r="B56" s="3">
        <v>45373</v>
      </c>
      <c r="C56" s="40">
        <v>5234.18</v>
      </c>
      <c r="D56" s="46">
        <f t="shared" si="1"/>
        <v>-1.4022623165372838E-3</v>
      </c>
      <c r="E56">
        <v>3455.88</v>
      </c>
      <c r="F56">
        <v>7.8216000000000001</v>
      </c>
      <c r="G56" s="43">
        <f t="shared" si="0"/>
        <v>441.83798711261124</v>
      </c>
      <c r="H56">
        <f t="shared" si="2"/>
        <v>-3.5451729046303226E-2</v>
      </c>
      <c r="I56"/>
    </row>
    <row r="57" spans="1:9" x14ac:dyDescent="0.3">
      <c r="A57" s="16">
        <v>55</v>
      </c>
      <c r="B57" s="3">
        <v>45376</v>
      </c>
      <c r="C57" s="40">
        <v>5218.1899999999996</v>
      </c>
      <c r="D57" s="46">
        <f t="shared" si="1"/>
        <v>-3.0549197773100945E-3</v>
      </c>
      <c r="E57">
        <v>3437.2</v>
      </c>
      <c r="F57">
        <v>7.8216000000000001</v>
      </c>
      <c r="G57" s="43">
        <f t="shared" si="0"/>
        <v>439.44972895571237</v>
      </c>
      <c r="H57">
        <f t="shared" si="2"/>
        <v>-5.4052802759355645E-3</v>
      </c>
      <c r="I57"/>
    </row>
    <row r="58" spans="1:9" x14ac:dyDescent="0.3">
      <c r="A58" s="16">
        <v>56</v>
      </c>
      <c r="B58" s="3">
        <v>45377</v>
      </c>
      <c r="C58" s="40">
        <v>5203.58</v>
      </c>
      <c r="D58" s="46">
        <f t="shared" si="1"/>
        <v>-2.7998213940082506E-3</v>
      </c>
      <c r="E58">
        <v>3471.49</v>
      </c>
      <c r="F58">
        <v>7.8236999999999997</v>
      </c>
      <c r="G58" s="43">
        <f t="shared" si="0"/>
        <v>443.71461073405163</v>
      </c>
      <c r="H58">
        <f t="shared" si="2"/>
        <v>9.7050504240248081E-3</v>
      </c>
      <c r="I58"/>
    </row>
    <row r="59" spans="1:9" x14ac:dyDescent="0.3">
      <c r="A59" s="16">
        <v>57</v>
      </c>
      <c r="B59" s="3">
        <v>45378</v>
      </c>
      <c r="C59" s="40">
        <v>5248.49</v>
      </c>
      <c r="D59" s="46">
        <f t="shared" si="1"/>
        <v>8.6305966277062662E-3</v>
      </c>
      <c r="E59">
        <v>3393.43</v>
      </c>
      <c r="F59">
        <v>7.8239000000000001</v>
      </c>
      <c r="G59" s="43">
        <f t="shared" si="0"/>
        <v>433.72614680657983</v>
      </c>
      <c r="H59">
        <f t="shared" si="2"/>
        <v>-2.2511009747791633E-2</v>
      </c>
      <c r="I59"/>
    </row>
    <row r="60" spans="1:9" x14ac:dyDescent="0.3">
      <c r="A60" s="16">
        <v>58</v>
      </c>
      <c r="B60" s="3">
        <v>45379</v>
      </c>
      <c r="C60" s="40">
        <v>5254.35</v>
      </c>
      <c r="D60" s="46">
        <f t="shared" si="1"/>
        <v>1.1165116061955249E-3</v>
      </c>
      <c r="E60">
        <v>3477.55</v>
      </c>
      <c r="F60">
        <v>7.8265000000000002</v>
      </c>
      <c r="G60" s="43">
        <f t="shared" si="0"/>
        <v>444.33016035264808</v>
      </c>
      <c r="H60">
        <f t="shared" si="2"/>
        <v>2.4448637980769794E-2</v>
      </c>
      <c r="I60"/>
    </row>
    <row r="61" spans="1:9" x14ac:dyDescent="0.3">
      <c r="A61" s="16">
        <v>59</v>
      </c>
      <c r="B61" s="3">
        <v>45384</v>
      </c>
      <c r="C61" s="40">
        <v>5205.8100000000004</v>
      </c>
      <c r="D61" s="46">
        <f t="shared" si="1"/>
        <v>-9.2380598932313429E-3</v>
      </c>
      <c r="E61">
        <v>3543.12</v>
      </c>
      <c r="F61">
        <v>7.8291000000000004</v>
      </c>
      <c r="G61" s="43">
        <f t="shared" si="0"/>
        <v>452.55776526037471</v>
      </c>
      <c r="H61">
        <f t="shared" si="2"/>
        <v>1.8516872456275868E-2</v>
      </c>
      <c r="I61"/>
    </row>
    <row r="62" spans="1:9" x14ac:dyDescent="0.3">
      <c r="A62" s="16">
        <v>60</v>
      </c>
      <c r="B62" s="3">
        <v>45385</v>
      </c>
      <c r="C62" s="40">
        <v>5211.49</v>
      </c>
      <c r="D62" s="46">
        <f t="shared" si="1"/>
        <v>1.0910886106099138E-3</v>
      </c>
      <c r="E62">
        <v>3460.87</v>
      </c>
      <c r="F62">
        <v>7.8287000000000004</v>
      </c>
      <c r="G62" s="43">
        <f t="shared" si="0"/>
        <v>442.07467395608461</v>
      </c>
      <c r="H62">
        <f t="shared" si="2"/>
        <v>-2.3164095523272588E-2</v>
      </c>
      <c r="I62"/>
    </row>
    <row r="63" spans="1:9" x14ac:dyDescent="0.3">
      <c r="A63" s="16">
        <v>61</v>
      </c>
      <c r="B63" s="3">
        <v>45387</v>
      </c>
      <c r="C63" s="40">
        <v>5204.34</v>
      </c>
      <c r="D63" s="46">
        <f t="shared" si="1"/>
        <v>-1.3719684773452201E-3</v>
      </c>
      <c r="E63">
        <v>3450.89</v>
      </c>
      <c r="F63">
        <v>7.8282999999999996</v>
      </c>
      <c r="G63" s="43">
        <f t="shared" si="0"/>
        <v>440.82240077666927</v>
      </c>
      <c r="H63">
        <f t="shared" si="2"/>
        <v>-2.832718663136391E-3</v>
      </c>
      <c r="I63"/>
    </row>
    <row r="64" spans="1:9" x14ac:dyDescent="0.3">
      <c r="A64" s="16">
        <v>62</v>
      </c>
      <c r="B64" s="3">
        <v>45390</v>
      </c>
      <c r="C64" s="40">
        <v>5202.3900000000003</v>
      </c>
      <c r="D64" s="46">
        <f t="shared" si="1"/>
        <v>-3.7468728023148934E-4</v>
      </c>
      <c r="E64">
        <v>3444.61</v>
      </c>
      <c r="F64">
        <v>7.8315999999999999</v>
      </c>
      <c r="G64" s="43">
        <f t="shared" si="0"/>
        <v>439.83477194953781</v>
      </c>
      <c r="H64">
        <f t="shared" si="2"/>
        <v>-2.2404234117672228E-3</v>
      </c>
      <c r="I64"/>
    </row>
    <row r="65" spans="1:11" x14ac:dyDescent="0.3">
      <c r="A65" s="16">
        <v>63</v>
      </c>
      <c r="B65" s="3">
        <v>45391</v>
      </c>
      <c r="C65" s="40">
        <v>5209.91</v>
      </c>
      <c r="D65" s="46">
        <f t="shared" si="1"/>
        <v>1.4454894769517779E-3</v>
      </c>
      <c r="E65">
        <v>3478.24</v>
      </c>
      <c r="F65">
        <v>7.8304</v>
      </c>
      <c r="G65" s="43">
        <f t="shared" si="0"/>
        <v>444.19697588884344</v>
      </c>
      <c r="H65">
        <f t="shared" si="2"/>
        <v>9.917824186501889E-3</v>
      </c>
      <c r="I65"/>
    </row>
    <row r="66" spans="1:11" x14ac:dyDescent="0.3">
      <c r="A66" s="16">
        <v>64</v>
      </c>
      <c r="B66" s="3">
        <v>45392</v>
      </c>
      <c r="C66" s="40">
        <v>5160.6400000000003</v>
      </c>
      <c r="D66" s="46">
        <f t="shared" si="1"/>
        <v>-9.4569771838668437E-3</v>
      </c>
      <c r="E66">
        <v>3552.01</v>
      </c>
      <c r="F66">
        <v>7.8353999999999999</v>
      </c>
      <c r="G66" s="43">
        <f t="shared" si="0"/>
        <v>453.32848354902114</v>
      </c>
      <c r="H66">
        <f t="shared" si="2"/>
        <v>2.055733864893039E-2</v>
      </c>
      <c r="I66"/>
    </row>
    <row r="67" spans="1:11" x14ac:dyDescent="0.3">
      <c r="A67" s="16">
        <v>65</v>
      </c>
      <c r="B67" s="3">
        <v>45393</v>
      </c>
      <c r="C67" s="40">
        <v>5199.0600000000004</v>
      </c>
      <c r="D67" s="46">
        <f t="shared" si="1"/>
        <v>7.4448130464439544E-3</v>
      </c>
      <c r="E67">
        <v>3538.39</v>
      </c>
      <c r="F67">
        <v>7.8379000000000003</v>
      </c>
      <c r="G67" s="43">
        <f t="shared" ref="G67:G130" si="3">E67/F67</f>
        <v>451.44617818548335</v>
      </c>
      <c r="H67">
        <f t="shared" si="2"/>
        <v>-4.1521886046109735E-3</v>
      </c>
      <c r="I67"/>
    </row>
    <row r="68" spans="1:11" x14ac:dyDescent="0.3">
      <c r="A68" s="16">
        <v>66</v>
      </c>
      <c r="B68" s="3">
        <v>45394</v>
      </c>
      <c r="C68" s="40">
        <v>5123.41</v>
      </c>
      <c r="D68" s="46">
        <f t="shared" ref="D68:D131" si="4">$C68/$C67-1</f>
        <v>-1.4550707243232486E-2</v>
      </c>
      <c r="E68">
        <v>3474.47</v>
      </c>
      <c r="F68">
        <v>7.8372999999999999</v>
      </c>
      <c r="G68" s="43">
        <f t="shared" si="3"/>
        <v>443.32486953415076</v>
      </c>
      <c r="H68">
        <f t="shared" ref="H68:H131" si="5">$G68/$G67-1</f>
        <v>-1.7989539049759862E-2</v>
      </c>
      <c r="I68"/>
      <c r="K68" s="38"/>
    </row>
    <row r="69" spans="1:11" x14ac:dyDescent="0.3">
      <c r="A69" s="16">
        <v>67</v>
      </c>
      <c r="B69" s="3">
        <v>45397</v>
      </c>
      <c r="C69" s="40">
        <v>5061.82</v>
      </c>
      <c r="D69" s="46">
        <f t="shared" si="4"/>
        <v>-1.2021290507689297E-2</v>
      </c>
      <c r="E69">
        <v>3442.49</v>
      </c>
      <c r="F69">
        <v>7.8285999999999998</v>
      </c>
      <c r="G69" s="43">
        <f t="shared" si="3"/>
        <v>439.73251922438237</v>
      </c>
      <c r="H69">
        <f t="shared" si="5"/>
        <v>-8.1032005119479056E-3</v>
      </c>
      <c r="I69"/>
      <c r="K69" s="38"/>
    </row>
    <row r="70" spans="1:11" x14ac:dyDescent="0.3">
      <c r="A70" s="16">
        <v>68</v>
      </c>
      <c r="B70" s="3">
        <v>45398</v>
      </c>
      <c r="C70" s="40">
        <v>5051.41</v>
      </c>
      <c r="D70" s="46">
        <f t="shared" si="4"/>
        <v>-2.056572537150636E-3</v>
      </c>
      <c r="E70">
        <v>3337.85</v>
      </c>
      <c r="F70">
        <v>7.8315999999999999</v>
      </c>
      <c r="G70" s="43">
        <f t="shared" si="3"/>
        <v>426.20281934725983</v>
      </c>
      <c r="H70">
        <f t="shared" si="5"/>
        <v>-3.0768022117142357E-2</v>
      </c>
      <c r="I70"/>
      <c r="K70" s="38"/>
    </row>
    <row r="71" spans="1:11" x14ac:dyDescent="0.3">
      <c r="A71" s="16">
        <v>69</v>
      </c>
      <c r="B71" s="3">
        <v>45399</v>
      </c>
      <c r="C71" s="40">
        <v>5022.21</v>
      </c>
      <c r="D71" s="46">
        <f t="shared" si="4"/>
        <v>-5.780564238499708E-3</v>
      </c>
      <c r="E71">
        <v>3340.22</v>
      </c>
      <c r="F71">
        <v>7.8301999999999996</v>
      </c>
      <c r="G71" s="43">
        <f t="shared" si="3"/>
        <v>426.58169650839056</v>
      </c>
      <c r="H71">
        <f t="shared" si="5"/>
        <v>8.8895977204228593E-4</v>
      </c>
      <c r="I71"/>
      <c r="K71" s="38"/>
    </row>
    <row r="72" spans="1:11" x14ac:dyDescent="0.3">
      <c r="A72" s="16">
        <v>70</v>
      </c>
      <c r="B72" s="3">
        <v>45400</v>
      </c>
      <c r="C72" s="40">
        <v>5011.12</v>
      </c>
      <c r="D72" s="46">
        <f t="shared" si="4"/>
        <v>-2.2081912146246774E-3</v>
      </c>
      <c r="E72">
        <v>3356.82</v>
      </c>
      <c r="F72">
        <v>7.8311999999999999</v>
      </c>
      <c r="G72" s="43">
        <f t="shared" si="3"/>
        <v>428.64695065890288</v>
      </c>
      <c r="H72">
        <f t="shared" si="5"/>
        <v>4.8414035750163897E-3</v>
      </c>
      <c r="I72"/>
      <c r="K72" s="38"/>
    </row>
    <row r="73" spans="1:11" x14ac:dyDescent="0.3">
      <c r="A73" s="16">
        <v>71</v>
      </c>
      <c r="B73" s="3">
        <v>45401</v>
      </c>
      <c r="C73" s="40">
        <v>4967.2299999999996</v>
      </c>
      <c r="D73" s="46">
        <f t="shared" si="4"/>
        <v>-8.7585210491867294E-3</v>
      </c>
      <c r="E73">
        <v>3278.06</v>
      </c>
      <c r="F73">
        <v>7.8320999999999996</v>
      </c>
      <c r="G73" s="43">
        <f t="shared" si="3"/>
        <v>418.54164272672722</v>
      </c>
      <c r="H73">
        <f t="shared" si="5"/>
        <v>-2.3574897515641013E-2</v>
      </c>
      <c r="I73"/>
      <c r="K73" s="38"/>
    </row>
    <row r="74" spans="1:11" x14ac:dyDescent="0.3">
      <c r="A74" s="16">
        <v>72</v>
      </c>
      <c r="B74" s="3">
        <v>45404</v>
      </c>
      <c r="C74" s="40">
        <v>5010.6000000000004</v>
      </c>
      <c r="D74" s="46">
        <f t="shared" si="4"/>
        <v>8.7312244450128418E-3</v>
      </c>
      <c r="E74">
        <v>3336.35</v>
      </c>
      <c r="F74">
        <v>7.8354999999999997</v>
      </c>
      <c r="G74" s="43">
        <f t="shared" si="3"/>
        <v>425.7992470167826</v>
      </c>
      <c r="H74">
        <f t="shared" si="5"/>
        <v>1.7340220301075293E-2</v>
      </c>
      <c r="I74"/>
      <c r="K74" s="38"/>
    </row>
    <row r="75" spans="1:11" x14ac:dyDescent="0.3">
      <c r="A75" s="16">
        <v>73</v>
      </c>
      <c r="B75" s="3">
        <v>45405</v>
      </c>
      <c r="C75" s="40">
        <v>5070.55</v>
      </c>
      <c r="D75" s="46">
        <f t="shared" si="4"/>
        <v>1.1964634973855359E-2</v>
      </c>
      <c r="E75">
        <v>3449.1</v>
      </c>
      <c r="F75">
        <v>7.8345000000000002</v>
      </c>
      <c r="G75" s="43">
        <f t="shared" si="3"/>
        <v>440.24506988320888</v>
      </c>
      <c r="H75">
        <f t="shared" si="5"/>
        <v>3.3926370155973773E-2</v>
      </c>
      <c r="I75"/>
      <c r="K75" s="38"/>
    </row>
    <row r="76" spans="1:11" x14ac:dyDescent="0.3">
      <c r="A76" s="16">
        <v>74</v>
      </c>
      <c r="B76" s="3">
        <v>45406</v>
      </c>
      <c r="C76" s="40">
        <v>5071.63</v>
      </c>
      <c r="D76" s="46">
        <f t="shared" si="4"/>
        <v>2.129946455513565E-4</v>
      </c>
      <c r="E76">
        <v>3573.59</v>
      </c>
      <c r="F76">
        <v>7.8315999999999999</v>
      </c>
      <c r="G76" s="43">
        <f t="shared" si="3"/>
        <v>456.30394810766643</v>
      </c>
      <c r="H76">
        <f t="shared" si="5"/>
        <v>3.6477133585431698E-2</v>
      </c>
      <c r="I76"/>
      <c r="K76" s="38"/>
    </row>
    <row r="77" spans="1:11" x14ac:dyDescent="0.3">
      <c r="A77" s="16">
        <v>75</v>
      </c>
      <c r="B77" s="3">
        <v>45407</v>
      </c>
      <c r="C77" s="40">
        <v>5048.42</v>
      </c>
      <c r="D77" s="46">
        <f t="shared" si="4"/>
        <v>-4.5764379499293462E-3</v>
      </c>
      <c r="E77">
        <v>3554.3</v>
      </c>
      <c r="F77">
        <v>7.8277000000000001</v>
      </c>
      <c r="G77" s="43">
        <f t="shared" si="3"/>
        <v>454.0669673084048</v>
      </c>
      <c r="H77">
        <f t="shared" si="5"/>
        <v>-4.9023919440946973E-3</v>
      </c>
      <c r="I77"/>
      <c r="K77" s="38"/>
    </row>
    <row r="78" spans="1:11" x14ac:dyDescent="0.3">
      <c r="A78" s="16">
        <v>76</v>
      </c>
      <c r="B78" s="3">
        <v>45408</v>
      </c>
      <c r="C78" s="40">
        <v>5099.96</v>
      </c>
      <c r="D78" s="46">
        <f t="shared" si="4"/>
        <v>1.0209134739185721E-2</v>
      </c>
      <c r="E78">
        <v>3718.27</v>
      </c>
      <c r="F78">
        <v>7.8282999999999996</v>
      </c>
      <c r="G78" s="43">
        <f t="shared" si="3"/>
        <v>474.97796456446486</v>
      </c>
      <c r="H78">
        <f t="shared" si="5"/>
        <v>4.6052672318392274E-2</v>
      </c>
      <c r="I78"/>
      <c r="K78" s="38"/>
    </row>
    <row r="79" spans="1:11" x14ac:dyDescent="0.3">
      <c r="A79" s="16">
        <v>77</v>
      </c>
      <c r="B79" s="3">
        <v>45411</v>
      </c>
      <c r="C79" s="40">
        <v>5116.17</v>
      </c>
      <c r="D79" s="46">
        <f t="shared" si="4"/>
        <v>3.178456301617949E-3</v>
      </c>
      <c r="E79">
        <v>3713.32</v>
      </c>
      <c r="F79">
        <v>7.8246000000000002</v>
      </c>
      <c r="G79" s="43">
        <f t="shared" si="3"/>
        <v>474.56994606753062</v>
      </c>
      <c r="H79">
        <f t="shared" si="5"/>
        <v>-8.5902615989430497E-4</v>
      </c>
      <c r="I79"/>
      <c r="K79" s="38"/>
    </row>
    <row r="80" spans="1:11" x14ac:dyDescent="0.3">
      <c r="A80" s="16">
        <v>78</v>
      </c>
      <c r="B80" s="3">
        <v>45412</v>
      </c>
      <c r="C80" s="40">
        <v>5035.6899999999996</v>
      </c>
      <c r="D80" s="46">
        <f t="shared" si="4"/>
        <v>-1.5730517164206925E-2</v>
      </c>
      <c r="E80">
        <v>3700.67</v>
      </c>
      <c r="F80">
        <v>7.8235000000000001</v>
      </c>
      <c r="G80" s="43">
        <f t="shared" si="3"/>
        <v>473.0197481945421</v>
      </c>
      <c r="H80">
        <f t="shared" si="5"/>
        <v>-3.2665319113316382E-3</v>
      </c>
      <c r="I80"/>
      <c r="K80" s="38"/>
    </row>
    <row r="81" spans="1:11" x14ac:dyDescent="0.3">
      <c r="A81" s="16">
        <v>79</v>
      </c>
      <c r="B81" s="3">
        <v>45414</v>
      </c>
      <c r="C81" s="40">
        <v>5064.2</v>
      </c>
      <c r="D81" s="46">
        <f t="shared" si="4"/>
        <v>5.6615875877983335E-3</v>
      </c>
      <c r="E81">
        <v>3865.48</v>
      </c>
      <c r="F81">
        <v>7.8127000000000004</v>
      </c>
      <c r="G81" s="43">
        <f t="shared" si="3"/>
        <v>494.76877391938763</v>
      </c>
      <c r="H81">
        <f t="shared" si="5"/>
        <v>4.597910723148213E-2</v>
      </c>
      <c r="I81"/>
      <c r="K81" s="38"/>
    </row>
    <row r="82" spans="1:11" x14ac:dyDescent="0.3">
      <c r="A82" s="16">
        <v>80</v>
      </c>
      <c r="B82" s="3">
        <v>45415</v>
      </c>
      <c r="C82" s="40">
        <v>5127.79</v>
      </c>
      <c r="D82" s="46">
        <f t="shared" si="4"/>
        <v>1.2556771059594851E-2</v>
      </c>
      <c r="E82">
        <v>3971.29</v>
      </c>
      <c r="F82">
        <v>7.8105000000000002</v>
      </c>
      <c r="G82" s="43">
        <f t="shared" si="3"/>
        <v>508.45528455284551</v>
      </c>
      <c r="H82">
        <f t="shared" si="5"/>
        <v>2.7662438203280404E-2</v>
      </c>
      <c r="I82"/>
      <c r="K82" s="38"/>
    </row>
    <row r="83" spans="1:11" x14ac:dyDescent="0.3">
      <c r="A83" s="16">
        <v>81</v>
      </c>
      <c r="B83" s="3">
        <v>45418</v>
      </c>
      <c r="C83" s="40">
        <v>5180.74</v>
      </c>
      <c r="D83" s="46">
        <f t="shared" si="4"/>
        <v>1.0326085896653403E-2</v>
      </c>
      <c r="E83">
        <v>4007.78</v>
      </c>
      <c r="F83">
        <v>7.8182</v>
      </c>
      <c r="G83" s="43">
        <f t="shared" si="3"/>
        <v>512.62183111202069</v>
      </c>
      <c r="H83">
        <f t="shared" si="5"/>
        <v>8.1945191362096104E-3</v>
      </c>
      <c r="I83"/>
      <c r="K83" s="38"/>
    </row>
    <row r="84" spans="1:11" x14ac:dyDescent="0.3">
      <c r="A84" s="16">
        <v>82</v>
      </c>
      <c r="B84" s="3">
        <v>45419</v>
      </c>
      <c r="C84" s="40">
        <v>5187.7</v>
      </c>
      <c r="D84" s="46">
        <f t="shared" si="4"/>
        <v>1.3434374239973401E-3</v>
      </c>
      <c r="E84">
        <v>3922.54</v>
      </c>
      <c r="F84">
        <v>7.8212999999999999</v>
      </c>
      <c r="G84" s="43">
        <f t="shared" si="3"/>
        <v>501.5202076381164</v>
      </c>
      <c r="H84">
        <f t="shared" si="5"/>
        <v>-2.1656556159190044E-2</v>
      </c>
      <c r="I84"/>
      <c r="K84" s="38"/>
    </row>
    <row r="85" spans="1:11" x14ac:dyDescent="0.3">
      <c r="A85" s="16">
        <v>83</v>
      </c>
      <c r="B85" s="3">
        <v>45420</v>
      </c>
      <c r="C85" s="40">
        <v>5187.67</v>
      </c>
      <c r="D85" s="46">
        <f t="shared" si="4"/>
        <v>-5.7829095745365322E-6</v>
      </c>
      <c r="E85">
        <v>3872.01</v>
      </c>
      <c r="F85">
        <v>7.8170000000000002</v>
      </c>
      <c r="G85" s="43">
        <f t="shared" si="3"/>
        <v>495.33196878597931</v>
      </c>
      <c r="H85">
        <f t="shared" si="5"/>
        <v>-1.2338962135305165E-2</v>
      </c>
      <c r="I85"/>
      <c r="K85" s="38"/>
    </row>
    <row r="86" spans="1:11" x14ac:dyDescent="0.3">
      <c r="A86" s="16">
        <v>84</v>
      </c>
      <c r="B86" s="3">
        <v>45421</v>
      </c>
      <c r="C86" s="40">
        <v>5214.08</v>
      </c>
      <c r="D86" s="46">
        <f t="shared" si="4"/>
        <v>5.0909175024624886E-3</v>
      </c>
      <c r="E86">
        <v>3947.41</v>
      </c>
      <c r="F86">
        <v>7.8136000000000001</v>
      </c>
      <c r="G86" s="43">
        <f t="shared" si="3"/>
        <v>505.19734821337153</v>
      </c>
      <c r="H86">
        <f t="shared" si="5"/>
        <v>1.9916702432050792E-2</v>
      </c>
      <c r="I86"/>
      <c r="K86" s="38"/>
    </row>
    <row r="87" spans="1:11" x14ac:dyDescent="0.3">
      <c r="A87" s="16">
        <v>85</v>
      </c>
      <c r="B87" s="3">
        <v>45422</v>
      </c>
      <c r="C87" s="40">
        <v>5222.68</v>
      </c>
      <c r="D87" s="46">
        <f t="shared" si="4"/>
        <v>1.6493801399288799E-3</v>
      </c>
      <c r="E87">
        <v>3962.32</v>
      </c>
      <c r="F87">
        <v>7.8132000000000001</v>
      </c>
      <c r="G87" s="43">
        <f t="shared" si="3"/>
        <v>507.131521015717</v>
      </c>
      <c r="H87">
        <f t="shared" si="5"/>
        <v>3.828549000080228E-3</v>
      </c>
      <c r="I87"/>
      <c r="K87" s="38"/>
    </row>
    <row r="88" spans="1:11" x14ac:dyDescent="0.3">
      <c r="A88" s="16">
        <v>86</v>
      </c>
      <c r="B88" s="3">
        <v>45425</v>
      </c>
      <c r="C88" s="40">
        <v>5221.42</v>
      </c>
      <c r="D88" s="46">
        <f t="shared" si="4"/>
        <v>-2.4125544739483917E-4</v>
      </c>
      <c r="E88">
        <v>4018.69</v>
      </c>
      <c r="F88">
        <v>7.8117000000000001</v>
      </c>
      <c r="G88" s="43">
        <f t="shared" si="3"/>
        <v>514.44499916791483</v>
      </c>
      <c r="H88">
        <f t="shared" si="5"/>
        <v>1.4421265192804178E-2</v>
      </c>
      <c r="I88"/>
      <c r="K88" s="38"/>
    </row>
    <row r="89" spans="1:11" x14ac:dyDescent="0.3">
      <c r="A89" s="16">
        <v>87</v>
      </c>
      <c r="B89" s="3">
        <v>45426</v>
      </c>
      <c r="C89" s="40">
        <v>5246.68</v>
      </c>
      <c r="D89" s="46">
        <f t="shared" si="4"/>
        <v>4.8377644395585229E-3</v>
      </c>
      <c r="E89">
        <v>4041.45</v>
      </c>
      <c r="F89">
        <v>7.8112000000000004</v>
      </c>
      <c r="G89" s="43">
        <f t="shared" si="3"/>
        <v>517.39169397787782</v>
      </c>
      <c r="H89">
        <f t="shared" si="5"/>
        <v>5.7279103008662791E-3</v>
      </c>
      <c r="I89"/>
      <c r="K89" s="38"/>
    </row>
    <row r="90" spans="1:11" x14ac:dyDescent="0.3">
      <c r="A90" s="16">
        <v>88</v>
      </c>
      <c r="B90" s="3">
        <v>45428</v>
      </c>
      <c r="C90" s="40">
        <v>5297.1</v>
      </c>
      <c r="D90" s="46">
        <f t="shared" si="4"/>
        <v>9.6098866330709409E-3</v>
      </c>
      <c r="E90">
        <v>4072.15</v>
      </c>
      <c r="F90">
        <v>7.8011999999999997</v>
      </c>
      <c r="G90" s="43">
        <f t="shared" si="3"/>
        <v>521.9902066348767</v>
      </c>
      <c r="H90">
        <f t="shared" si="5"/>
        <v>8.8878749128034062E-3</v>
      </c>
      <c r="I90"/>
      <c r="K90" s="38"/>
    </row>
    <row r="91" spans="1:11" x14ac:dyDescent="0.3">
      <c r="A91" s="16">
        <v>89</v>
      </c>
      <c r="B91" s="3">
        <v>45429</v>
      </c>
      <c r="C91" s="40">
        <v>5303.27</v>
      </c>
      <c r="D91" s="46">
        <f t="shared" si="4"/>
        <v>1.1647882803798026E-3</v>
      </c>
      <c r="E91">
        <v>4112.59</v>
      </c>
      <c r="F91">
        <v>7.8021000000000003</v>
      </c>
      <c r="G91" s="43">
        <f t="shared" si="3"/>
        <v>527.11321310929111</v>
      </c>
      <c r="H91">
        <f t="shared" si="5"/>
        <v>9.8143727780659606E-3</v>
      </c>
      <c r="I91"/>
      <c r="K91" s="38"/>
    </row>
    <row r="92" spans="1:11" x14ac:dyDescent="0.3">
      <c r="A92" s="16">
        <v>90</v>
      </c>
      <c r="B92" s="3">
        <v>45432</v>
      </c>
      <c r="C92" s="40">
        <v>5308.13</v>
      </c>
      <c r="D92" s="46">
        <f t="shared" si="4"/>
        <v>9.1641572086653689E-4</v>
      </c>
      <c r="E92">
        <v>4135.38</v>
      </c>
      <c r="F92">
        <v>7.7983000000000002</v>
      </c>
      <c r="G92" s="43">
        <f t="shared" si="3"/>
        <v>530.29249964735902</v>
      </c>
      <c r="H92">
        <f t="shared" si="5"/>
        <v>6.0315060579001489E-3</v>
      </c>
      <c r="I92"/>
      <c r="K92" s="38"/>
    </row>
    <row r="93" spans="1:11" x14ac:dyDescent="0.3">
      <c r="A93" s="16">
        <v>91</v>
      </c>
      <c r="B93" s="3">
        <v>45433</v>
      </c>
      <c r="C93" s="40">
        <v>5321.41</v>
      </c>
      <c r="D93" s="46">
        <f t="shared" si="4"/>
        <v>2.5018226757822504E-3</v>
      </c>
      <c r="E93">
        <v>3980.63</v>
      </c>
      <c r="F93">
        <v>7.8044000000000002</v>
      </c>
      <c r="G93" s="43">
        <f t="shared" si="3"/>
        <v>510.04945927938087</v>
      </c>
      <c r="H93">
        <f t="shared" si="5"/>
        <v>-3.8173348447205324E-2</v>
      </c>
      <c r="I93"/>
      <c r="K93" s="38"/>
    </row>
    <row r="94" spans="1:11" x14ac:dyDescent="0.3">
      <c r="A94" s="16">
        <v>92</v>
      </c>
      <c r="B94" s="3">
        <v>45434</v>
      </c>
      <c r="C94" s="40">
        <v>5307.01</v>
      </c>
      <c r="D94" s="46">
        <f t="shared" si="4"/>
        <v>-2.7060497123881921E-3</v>
      </c>
      <c r="E94">
        <v>3992.59</v>
      </c>
      <c r="F94">
        <v>7.8078000000000003</v>
      </c>
      <c r="G94" s="43">
        <f t="shared" si="3"/>
        <v>511.359153666846</v>
      </c>
      <c r="H94">
        <f t="shared" si="5"/>
        <v>2.5677791901113078E-3</v>
      </c>
      <c r="I94"/>
      <c r="K94" s="38"/>
    </row>
    <row r="95" spans="1:11" x14ac:dyDescent="0.3">
      <c r="A95" s="16">
        <v>93</v>
      </c>
      <c r="B95" s="3">
        <v>45435</v>
      </c>
      <c r="C95" s="40">
        <v>5267.84</v>
      </c>
      <c r="D95" s="46">
        <f t="shared" si="4"/>
        <v>-7.3808038801509435E-3</v>
      </c>
      <c r="E95">
        <v>3896.19</v>
      </c>
      <c r="F95">
        <v>7.8091999999999997</v>
      </c>
      <c r="G95" s="43">
        <f t="shared" si="3"/>
        <v>498.92306510269941</v>
      </c>
      <c r="H95">
        <f t="shared" si="5"/>
        <v>-2.4319675271225916E-2</v>
      </c>
      <c r="I95"/>
      <c r="K95" s="38"/>
    </row>
    <row r="96" spans="1:11" x14ac:dyDescent="0.3">
      <c r="A96" s="16">
        <v>94</v>
      </c>
      <c r="B96" s="3">
        <v>45436</v>
      </c>
      <c r="C96" s="40">
        <v>5304.72</v>
      </c>
      <c r="D96" s="46">
        <f t="shared" si="4"/>
        <v>7.0009719353663069E-3</v>
      </c>
      <c r="E96">
        <v>3799.47</v>
      </c>
      <c r="F96">
        <v>7.8122999999999996</v>
      </c>
      <c r="G96" s="43">
        <f t="shared" si="3"/>
        <v>486.34461042202679</v>
      </c>
      <c r="H96">
        <f t="shared" si="5"/>
        <v>-2.5211211027262204E-2</v>
      </c>
      <c r="I96"/>
      <c r="K96" s="38"/>
    </row>
    <row r="97" spans="1:11" x14ac:dyDescent="0.3">
      <c r="A97" s="16">
        <v>95</v>
      </c>
      <c r="B97" s="3">
        <v>45440</v>
      </c>
      <c r="C97" s="40">
        <v>5306.04</v>
      </c>
      <c r="D97" s="46">
        <f t="shared" si="4"/>
        <v>2.4883499977379486E-4</v>
      </c>
      <c r="E97">
        <v>3854.57</v>
      </c>
      <c r="F97">
        <v>7.8113999999999999</v>
      </c>
      <c r="G97" s="43">
        <f t="shared" si="3"/>
        <v>493.45443838492463</v>
      </c>
      <c r="H97">
        <f t="shared" si="5"/>
        <v>1.4618909741239472E-2</v>
      </c>
      <c r="I97"/>
      <c r="K97" s="38"/>
    </row>
    <row r="98" spans="1:11" x14ac:dyDescent="0.3">
      <c r="A98" s="16">
        <v>96</v>
      </c>
      <c r="B98" s="3">
        <v>45441</v>
      </c>
      <c r="C98" s="40">
        <v>5266.95</v>
      </c>
      <c r="D98" s="46">
        <f t="shared" si="4"/>
        <v>-7.3670760114887823E-3</v>
      </c>
      <c r="E98">
        <v>3765.24</v>
      </c>
      <c r="F98">
        <v>7.8135000000000003</v>
      </c>
      <c r="G98" s="43">
        <f t="shared" si="3"/>
        <v>481.88903820310998</v>
      </c>
      <c r="H98">
        <f t="shared" si="5"/>
        <v>-2.343762520338899E-2</v>
      </c>
      <c r="I98"/>
      <c r="K98" s="38"/>
    </row>
    <row r="99" spans="1:11" x14ac:dyDescent="0.3">
      <c r="A99" s="16">
        <v>97</v>
      </c>
      <c r="B99" s="3">
        <v>45442</v>
      </c>
      <c r="C99" s="40">
        <v>5235.4799999999996</v>
      </c>
      <c r="D99" s="46">
        <f t="shared" si="4"/>
        <v>-5.9749950160910004E-3</v>
      </c>
      <c r="E99">
        <v>3752.76</v>
      </c>
      <c r="F99">
        <v>7.8173000000000004</v>
      </c>
      <c r="G99" s="43">
        <f t="shared" si="3"/>
        <v>480.05833216072045</v>
      </c>
      <c r="H99">
        <f t="shared" si="5"/>
        <v>-3.7990198930772934E-3</v>
      </c>
      <c r="I99"/>
      <c r="K99" s="38"/>
    </row>
    <row r="100" spans="1:11" x14ac:dyDescent="0.3">
      <c r="A100" s="16">
        <v>98</v>
      </c>
      <c r="B100" s="3">
        <v>45443</v>
      </c>
      <c r="C100" s="40">
        <v>5277.51</v>
      </c>
      <c r="D100" s="46">
        <f t="shared" si="4"/>
        <v>8.0279172110295782E-3</v>
      </c>
      <c r="E100">
        <v>3690.76</v>
      </c>
      <c r="F100">
        <v>7.8186999999999998</v>
      </c>
      <c r="G100" s="43">
        <f t="shared" si="3"/>
        <v>472.04266693951683</v>
      </c>
      <c r="H100">
        <f t="shared" si="5"/>
        <v>-1.669727340243321E-2</v>
      </c>
      <c r="I100"/>
      <c r="K100" s="38"/>
    </row>
    <row r="101" spans="1:11" x14ac:dyDescent="0.3">
      <c r="A101" s="16">
        <v>99</v>
      </c>
      <c r="B101" s="3">
        <v>45446</v>
      </c>
      <c r="C101" s="40">
        <v>5283.4</v>
      </c>
      <c r="D101" s="46">
        <f t="shared" si="4"/>
        <v>1.116056625188655E-3</v>
      </c>
      <c r="E101">
        <v>3784.04</v>
      </c>
      <c r="F101">
        <v>7.8194999999999997</v>
      </c>
      <c r="G101" s="43">
        <f t="shared" si="3"/>
        <v>483.92352452202829</v>
      </c>
      <c r="H101">
        <f t="shared" si="5"/>
        <v>2.5169033256126738E-2</v>
      </c>
      <c r="I101"/>
      <c r="K101" s="38"/>
    </row>
    <row r="102" spans="1:11" x14ac:dyDescent="0.3">
      <c r="A102" s="16">
        <v>100</v>
      </c>
      <c r="B102" s="3">
        <v>45447</v>
      </c>
      <c r="C102" s="40">
        <v>5291.34</v>
      </c>
      <c r="D102" s="46">
        <f t="shared" si="4"/>
        <v>1.5028201536890773E-3</v>
      </c>
      <c r="E102">
        <v>3796.17</v>
      </c>
      <c r="F102">
        <v>7.8132999999999999</v>
      </c>
      <c r="G102" s="43">
        <f t="shared" si="3"/>
        <v>485.86000793518747</v>
      </c>
      <c r="H102">
        <f t="shared" si="5"/>
        <v>4.0016310739838801E-3</v>
      </c>
      <c r="I102"/>
      <c r="K102" s="38"/>
    </row>
    <row r="103" spans="1:11" x14ac:dyDescent="0.3">
      <c r="A103" s="16">
        <v>101</v>
      </c>
      <c r="B103" s="3">
        <v>45448</v>
      </c>
      <c r="C103" s="40">
        <v>5354.03</v>
      </c>
      <c r="D103" s="46">
        <f t="shared" si="4"/>
        <v>1.1847660516995706E-2</v>
      </c>
      <c r="E103">
        <v>3807.73</v>
      </c>
      <c r="F103">
        <v>7.8116000000000003</v>
      </c>
      <c r="G103" s="43">
        <f t="shared" si="3"/>
        <v>487.44559373239798</v>
      </c>
      <c r="H103">
        <f t="shared" si="5"/>
        <v>3.2634622552059067E-3</v>
      </c>
      <c r="I103"/>
      <c r="K103" s="38"/>
    </row>
    <row r="104" spans="1:11" x14ac:dyDescent="0.3">
      <c r="A104" s="16">
        <v>102</v>
      </c>
      <c r="B104" s="3">
        <v>45449</v>
      </c>
      <c r="C104" s="40">
        <v>5352.96</v>
      </c>
      <c r="D104" s="46">
        <f t="shared" si="4"/>
        <v>-1.9984945919238051E-4</v>
      </c>
      <c r="E104">
        <v>3840.66</v>
      </c>
      <c r="F104">
        <v>7.8094000000000001</v>
      </c>
      <c r="G104" s="43">
        <f t="shared" si="3"/>
        <v>491.79962609163312</v>
      </c>
      <c r="H104">
        <f t="shared" si="5"/>
        <v>8.9323453021619148E-3</v>
      </c>
      <c r="I104"/>
      <c r="K104" s="38"/>
    </row>
    <row r="105" spans="1:11" x14ac:dyDescent="0.3">
      <c r="A105" s="16">
        <v>103</v>
      </c>
      <c r="B105" s="3">
        <v>45450</v>
      </c>
      <c r="C105" s="40">
        <v>5346.99</v>
      </c>
      <c r="D105" s="46">
        <f t="shared" si="4"/>
        <v>-1.1152708034434244E-3</v>
      </c>
      <c r="E105">
        <v>3772.47</v>
      </c>
      <c r="F105">
        <v>7.8117999999999999</v>
      </c>
      <c r="G105" s="43">
        <f t="shared" si="3"/>
        <v>482.91942958089044</v>
      </c>
      <c r="H105">
        <f t="shared" si="5"/>
        <v>-1.8056533676762299E-2</v>
      </c>
      <c r="I105"/>
      <c r="K105" s="38"/>
    </row>
    <row r="106" spans="1:11" x14ac:dyDescent="0.3">
      <c r="A106" s="16">
        <v>104</v>
      </c>
      <c r="B106" s="3">
        <v>45454</v>
      </c>
      <c r="C106" s="40">
        <v>5375.32</v>
      </c>
      <c r="D106" s="46">
        <f t="shared" si="4"/>
        <v>5.2983080200261767E-3</v>
      </c>
      <c r="E106">
        <v>3755.42</v>
      </c>
      <c r="F106">
        <v>7.8121</v>
      </c>
      <c r="G106" s="43">
        <f t="shared" si="3"/>
        <v>480.71837278068637</v>
      </c>
      <c r="H106">
        <f t="shared" si="5"/>
        <v>-4.557813716698611E-3</v>
      </c>
      <c r="I106"/>
      <c r="K106" s="38"/>
    </row>
    <row r="107" spans="1:11" x14ac:dyDescent="0.3">
      <c r="A107" s="16">
        <v>105</v>
      </c>
      <c r="B107" s="3">
        <v>45455</v>
      </c>
      <c r="C107" s="40">
        <v>5421.03</v>
      </c>
      <c r="D107" s="46">
        <f t="shared" si="4"/>
        <v>8.503679780924589E-3</v>
      </c>
      <c r="E107">
        <v>3691.28</v>
      </c>
      <c r="F107">
        <v>7.8093000000000004</v>
      </c>
      <c r="G107" s="43">
        <f t="shared" si="3"/>
        <v>472.67744868298053</v>
      </c>
      <c r="H107">
        <f t="shared" si="5"/>
        <v>-1.6726891571032798E-2</v>
      </c>
      <c r="I107"/>
      <c r="K107" s="38"/>
    </row>
    <row r="108" spans="1:11" x14ac:dyDescent="0.3">
      <c r="A108" s="16">
        <v>106</v>
      </c>
      <c r="B108" s="3">
        <v>45456</v>
      </c>
      <c r="C108" s="40">
        <v>5433.74</v>
      </c>
      <c r="D108" s="46">
        <f t="shared" si="4"/>
        <v>2.3445728948188194E-3</v>
      </c>
      <c r="E108">
        <v>3739.14</v>
      </c>
      <c r="F108">
        <v>7.8101000000000003</v>
      </c>
      <c r="G108" s="43">
        <f t="shared" si="3"/>
        <v>478.75699414860242</v>
      </c>
      <c r="H108">
        <f t="shared" si="5"/>
        <v>1.2861932555829236E-2</v>
      </c>
      <c r="I108"/>
      <c r="K108" s="38"/>
    </row>
    <row r="109" spans="1:11" x14ac:dyDescent="0.3">
      <c r="A109" s="16">
        <v>107</v>
      </c>
      <c r="B109" s="3">
        <v>45457</v>
      </c>
      <c r="C109" s="40">
        <v>5431.6</v>
      </c>
      <c r="D109" s="46">
        <f t="shared" si="4"/>
        <v>-3.9383555341243603E-4</v>
      </c>
      <c r="E109">
        <v>3707.62</v>
      </c>
      <c r="F109">
        <v>7.8106</v>
      </c>
      <c r="G109" s="43">
        <f t="shared" si="3"/>
        <v>474.69080480372827</v>
      </c>
      <c r="H109">
        <f t="shared" si="5"/>
        <v>-8.4932218110050917E-3</v>
      </c>
      <c r="I109"/>
      <c r="K109" s="38"/>
    </row>
    <row r="110" spans="1:11" x14ac:dyDescent="0.3">
      <c r="A110" s="16">
        <v>108</v>
      </c>
      <c r="B110" s="3">
        <v>45460</v>
      </c>
      <c r="C110" s="40">
        <v>5473.23</v>
      </c>
      <c r="D110" s="46">
        <f t="shared" si="4"/>
        <v>7.6644082774870448E-3</v>
      </c>
      <c r="E110">
        <v>3709.35</v>
      </c>
      <c r="F110">
        <v>7.8101000000000003</v>
      </c>
      <c r="G110" s="43">
        <f t="shared" si="3"/>
        <v>474.94270239817666</v>
      </c>
      <c r="H110">
        <f t="shared" si="5"/>
        <v>5.306561490117101E-4</v>
      </c>
      <c r="I110"/>
      <c r="K110" s="38"/>
    </row>
    <row r="111" spans="1:11" x14ac:dyDescent="0.3">
      <c r="A111" s="16">
        <v>109</v>
      </c>
      <c r="B111" s="3">
        <v>45461</v>
      </c>
      <c r="C111" s="40">
        <v>5487.03</v>
      </c>
      <c r="D111" s="46">
        <f t="shared" si="4"/>
        <v>2.5213630708009749E-3</v>
      </c>
      <c r="E111">
        <v>3697.21</v>
      </c>
      <c r="F111">
        <v>7.8071000000000002</v>
      </c>
      <c r="G111" s="43">
        <f t="shared" si="3"/>
        <v>473.57021173034803</v>
      </c>
      <c r="H111">
        <f t="shared" si="5"/>
        <v>-2.8898026243974195E-3</v>
      </c>
      <c r="I111"/>
      <c r="K111" s="38"/>
    </row>
    <row r="112" spans="1:11" x14ac:dyDescent="0.3">
      <c r="A112" s="16">
        <v>110</v>
      </c>
      <c r="B112" s="3">
        <v>45463</v>
      </c>
      <c r="C112" s="40">
        <v>5473.17</v>
      </c>
      <c r="D112" s="46">
        <f t="shared" si="4"/>
        <v>-2.5259566650810417E-3</v>
      </c>
      <c r="E112">
        <v>3767.88</v>
      </c>
      <c r="F112">
        <v>7.8042999999999996</v>
      </c>
      <c r="G112" s="43">
        <f t="shared" si="3"/>
        <v>482.79538203298188</v>
      </c>
      <c r="H112">
        <f t="shared" si="5"/>
        <v>1.9480047676408097E-2</v>
      </c>
      <c r="I112"/>
      <c r="K112" s="38"/>
    </row>
    <row r="113" spans="1:11" x14ac:dyDescent="0.3">
      <c r="A113" s="16">
        <v>111</v>
      </c>
      <c r="B113" s="3">
        <v>45464</v>
      </c>
      <c r="C113" s="40">
        <v>5464.62</v>
      </c>
      <c r="D113" s="46">
        <f t="shared" si="4"/>
        <v>-1.5621659842468549E-3</v>
      </c>
      <c r="E113">
        <v>3701.4</v>
      </c>
      <c r="F113">
        <v>7.8056999999999999</v>
      </c>
      <c r="G113" s="43">
        <f t="shared" si="3"/>
        <v>474.19193666167035</v>
      </c>
      <c r="H113">
        <f t="shared" si="5"/>
        <v>-1.7820065583650901E-2</v>
      </c>
      <c r="I113"/>
      <c r="K113" s="38"/>
    </row>
    <row r="114" spans="1:11" x14ac:dyDescent="0.3">
      <c r="A114" s="16">
        <v>112</v>
      </c>
      <c r="B114" s="3">
        <v>45467</v>
      </c>
      <c r="C114" s="40">
        <v>5447.87</v>
      </c>
      <c r="D114" s="46">
        <f t="shared" si="4"/>
        <v>-3.0651719607218686E-3</v>
      </c>
      <c r="E114">
        <v>3677.51</v>
      </c>
      <c r="F114">
        <v>7.8075000000000001</v>
      </c>
      <c r="G114" s="43">
        <f t="shared" si="3"/>
        <v>471.02273455011209</v>
      </c>
      <c r="H114">
        <f t="shared" si="5"/>
        <v>-6.6833741076863795E-3</v>
      </c>
      <c r="I114"/>
      <c r="K114" s="38"/>
    </row>
    <row r="115" spans="1:11" x14ac:dyDescent="0.3">
      <c r="A115" s="16">
        <v>113</v>
      </c>
      <c r="B115" s="3">
        <v>45468</v>
      </c>
      <c r="C115" s="40">
        <v>5469.3</v>
      </c>
      <c r="D115" s="46">
        <f t="shared" si="4"/>
        <v>3.9336474622191364E-3</v>
      </c>
      <c r="E115">
        <v>3655.46</v>
      </c>
      <c r="F115">
        <v>7.8085000000000004</v>
      </c>
      <c r="G115" s="43">
        <f t="shared" si="3"/>
        <v>468.13856694627646</v>
      </c>
      <c r="H115">
        <f t="shared" si="5"/>
        <v>-6.1232025383878286E-3</v>
      </c>
      <c r="I115"/>
      <c r="K115" s="38"/>
    </row>
    <row r="116" spans="1:11" x14ac:dyDescent="0.3">
      <c r="A116" s="16">
        <v>114</v>
      </c>
      <c r="B116" s="3">
        <v>45469</v>
      </c>
      <c r="C116" s="40">
        <v>5477.9</v>
      </c>
      <c r="D116" s="46">
        <f t="shared" si="4"/>
        <v>1.5724132887204867E-3</v>
      </c>
      <c r="E116">
        <v>3689.68</v>
      </c>
      <c r="F116">
        <v>7.8090999999999999</v>
      </c>
      <c r="G116" s="43">
        <f t="shared" si="3"/>
        <v>472.48466532635001</v>
      </c>
      <c r="H116">
        <f t="shared" si="5"/>
        <v>9.2837862268508875E-3</v>
      </c>
      <c r="I116"/>
      <c r="K116" s="38"/>
    </row>
    <row r="117" spans="1:11" x14ac:dyDescent="0.3">
      <c r="A117" s="16">
        <v>115</v>
      </c>
      <c r="B117" s="3">
        <v>45470</v>
      </c>
      <c r="C117" s="40">
        <v>5482.87</v>
      </c>
      <c r="D117" s="46">
        <f t="shared" si="4"/>
        <v>9.0728198762302092E-4</v>
      </c>
      <c r="E117">
        <v>3588.86</v>
      </c>
      <c r="F117">
        <v>7.8087</v>
      </c>
      <c r="G117" s="43">
        <f t="shared" si="3"/>
        <v>459.5976282863985</v>
      </c>
      <c r="H117">
        <f t="shared" si="5"/>
        <v>-2.7275037658736068E-2</v>
      </c>
      <c r="I117"/>
      <c r="K117" s="38"/>
    </row>
    <row r="118" spans="1:11" x14ac:dyDescent="0.3">
      <c r="A118" s="16">
        <v>116</v>
      </c>
      <c r="B118" s="3">
        <v>45471</v>
      </c>
      <c r="C118" s="40">
        <v>5460.48</v>
      </c>
      <c r="D118" s="46">
        <f t="shared" si="4"/>
        <v>-4.0836277351096184E-3</v>
      </c>
      <c r="E118">
        <v>3554.45</v>
      </c>
      <c r="F118">
        <v>7.8079999999999998</v>
      </c>
      <c r="G118" s="43">
        <f t="shared" si="3"/>
        <v>455.23181352459017</v>
      </c>
      <c r="H118">
        <f t="shared" si="5"/>
        <v>-9.4992108163964861E-3</v>
      </c>
      <c r="I118"/>
      <c r="K118" s="38"/>
    </row>
    <row r="119" spans="1:11" x14ac:dyDescent="0.3">
      <c r="A119" s="16">
        <v>117</v>
      </c>
      <c r="B119" s="3">
        <v>45475</v>
      </c>
      <c r="C119" s="40">
        <v>5509.01</v>
      </c>
      <c r="D119" s="46">
        <f t="shared" si="4"/>
        <v>8.8874970698546996E-3</v>
      </c>
      <c r="E119">
        <v>3539.13</v>
      </c>
      <c r="F119">
        <v>7.8133999999999997</v>
      </c>
      <c r="G119" s="43">
        <f t="shared" si="3"/>
        <v>452.95645941587532</v>
      </c>
      <c r="H119">
        <f t="shared" si="5"/>
        <v>-4.9982317604257975E-3</v>
      </c>
      <c r="I119"/>
      <c r="K119" s="38"/>
    </row>
    <row r="120" spans="1:11" x14ac:dyDescent="0.3">
      <c r="A120" s="16">
        <v>118</v>
      </c>
      <c r="B120" s="3">
        <v>45476</v>
      </c>
      <c r="C120" s="40">
        <v>5537.02</v>
      </c>
      <c r="D120" s="46">
        <f t="shared" si="4"/>
        <v>5.0843981041965858E-3</v>
      </c>
      <c r="E120">
        <v>3626.93</v>
      </c>
      <c r="F120">
        <v>7.8097000000000003</v>
      </c>
      <c r="G120" s="43">
        <f t="shared" si="3"/>
        <v>464.41348579330827</v>
      </c>
      <c r="H120">
        <f t="shared" si="5"/>
        <v>2.529388010540301E-2</v>
      </c>
      <c r="I120"/>
      <c r="K120" s="38"/>
    </row>
    <row r="121" spans="1:11" x14ac:dyDescent="0.3">
      <c r="A121" s="16">
        <v>119</v>
      </c>
      <c r="B121" s="3">
        <v>45478</v>
      </c>
      <c r="C121" s="40">
        <v>5567.19</v>
      </c>
      <c r="D121" s="46">
        <f t="shared" si="4"/>
        <v>5.4487793072806046E-3</v>
      </c>
      <c r="E121">
        <v>3596.8</v>
      </c>
      <c r="F121">
        <v>7.8129</v>
      </c>
      <c r="G121" s="43">
        <f t="shared" si="3"/>
        <v>460.36682921834404</v>
      </c>
      <c r="H121">
        <f t="shared" si="5"/>
        <v>-8.7134777493632631E-3</v>
      </c>
      <c r="I121"/>
      <c r="K121" s="38"/>
    </row>
    <row r="122" spans="1:11" x14ac:dyDescent="0.3">
      <c r="A122" s="16">
        <v>120</v>
      </c>
      <c r="B122" s="3">
        <v>45481</v>
      </c>
      <c r="C122" s="40">
        <v>5572.85</v>
      </c>
      <c r="D122" s="46">
        <f t="shared" si="4"/>
        <v>1.0166708878267539E-3</v>
      </c>
      <c r="E122">
        <v>3566.63</v>
      </c>
      <c r="F122">
        <v>7.8095999999999997</v>
      </c>
      <c r="G122" s="43">
        <f t="shared" si="3"/>
        <v>456.69816635935263</v>
      </c>
      <c r="H122">
        <f t="shared" si="5"/>
        <v>-7.9689991245034397E-3</v>
      </c>
      <c r="I122"/>
      <c r="K122" s="38"/>
    </row>
    <row r="123" spans="1:11" x14ac:dyDescent="0.3">
      <c r="A123" s="16">
        <v>121</v>
      </c>
      <c r="B123" s="3">
        <v>45482</v>
      </c>
      <c r="C123" s="40">
        <v>5576.98</v>
      </c>
      <c r="D123" s="46">
        <f t="shared" si="4"/>
        <v>7.410929775606423E-4</v>
      </c>
      <c r="E123">
        <v>3600.9</v>
      </c>
      <c r="F123">
        <v>7.8117999999999999</v>
      </c>
      <c r="G123" s="43">
        <f t="shared" si="3"/>
        <v>460.95650170255254</v>
      </c>
      <c r="H123">
        <f t="shared" si="5"/>
        <v>9.3241787615352401E-3</v>
      </c>
      <c r="I123"/>
      <c r="K123" s="38"/>
    </row>
    <row r="124" spans="1:11" x14ac:dyDescent="0.3">
      <c r="A124" s="16">
        <v>122</v>
      </c>
      <c r="B124" s="3">
        <v>45483</v>
      </c>
      <c r="C124" s="40">
        <v>5633.91</v>
      </c>
      <c r="D124" s="46">
        <f t="shared" si="4"/>
        <v>1.0208033738690059E-2</v>
      </c>
      <c r="E124">
        <v>3600.49</v>
      </c>
      <c r="F124">
        <v>7.8108000000000004</v>
      </c>
      <c r="G124" s="43">
        <f t="shared" si="3"/>
        <v>460.96302555436057</v>
      </c>
      <c r="H124">
        <f t="shared" si="5"/>
        <v>1.4152857772842253E-5</v>
      </c>
      <c r="I124"/>
      <c r="K124" s="38"/>
    </row>
    <row r="125" spans="1:11" x14ac:dyDescent="0.3">
      <c r="A125" s="16">
        <v>123</v>
      </c>
      <c r="B125" s="3">
        <v>45484</v>
      </c>
      <c r="C125" s="40">
        <v>5584.54</v>
      </c>
      <c r="D125" s="46">
        <f t="shared" si="4"/>
        <v>-8.763008283767415E-3</v>
      </c>
      <c r="E125">
        <v>3696.49</v>
      </c>
      <c r="F125">
        <v>7.8074000000000003</v>
      </c>
      <c r="G125" s="43">
        <f t="shared" si="3"/>
        <v>473.45979455388471</v>
      </c>
      <c r="H125">
        <f t="shared" si="5"/>
        <v>2.7110133148955606E-2</v>
      </c>
      <c r="I125"/>
      <c r="K125" s="38"/>
    </row>
    <row r="126" spans="1:11" x14ac:dyDescent="0.3">
      <c r="A126" s="16">
        <v>124</v>
      </c>
      <c r="B126" s="3">
        <v>45485</v>
      </c>
      <c r="C126" s="40">
        <v>5615.35</v>
      </c>
      <c r="D126" s="46">
        <f t="shared" si="4"/>
        <v>5.5170166208855509E-3</v>
      </c>
      <c r="E126">
        <v>3782.08</v>
      </c>
      <c r="F126">
        <v>7.8072999999999997</v>
      </c>
      <c r="G126" s="43">
        <f t="shared" si="3"/>
        <v>484.4286757265636</v>
      </c>
      <c r="H126">
        <f t="shared" si="5"/>
        <v>2.3167502919681393E-2</v>
      </c>
      <c r="I126"/>
      <c r="K126" s="38"/>
    </row>
    <row r="127" spans="1:11" x14ac:dyDescent="0.3">
      <c r="A127" s="16">
        <v>125</v>
      </c>
      <c r="B127" s="3">
        <v>45488</v>
      </c>
      <c r="C127" s="40">
        <v>5631.22</v>
      </c>
      <c r="D127" s="46">
        <f t="shared" si="4"/>
        <v>2.826181805230199E-3</v>
      </c>
      <c r="E127">
        <v>3672.58</v>
      </c>
      <c r="F127">
        <v>7.8064</v>
      </c>
      <c r="G127" s="43">
        <f t="shared" si="3"/>
        <v>470.45757327321172</v>
      </c>
      <c r="H127">
        <f t="shared" si="5"/>
        <v>-2.8840370426869377E-2</v>
      </c>
      <c r="I127"/>
      <c r="K127" s="38"/>
    </row>
    <row r="128" spans="1:11" x14ac:dyDescent="0.3">
      <c r="A128" s="16">
        <v>126</v>
      </c>
      <c r="B128" s="3">
        <v>45489</v>
      </c>
      <c r="C128" s="40">
        <v>5667.2</v>
      </c>
      <c r="D128" s="46">
        <f t="shared" si="4"/>
        <v>6.3893792108991043E-3</v>
      </c>
      <c r="E128">
        <v>3622.84</v>
      </c>
      <c r="F128">
        <v>7.8075999999999999</v>
      </c>
      <c r="G128" s="43">
        <f t="shared" si="3"/>
        <v>464.01454992571342</v>
      </c>
      <c r="H128">
        <f t="shared" si="5"/>
        <v>-1.369522718631333E-2</v>
      </c>
      <c r="I128"/>
      <c r="K128" s="38"/>
    </row>
    <row r="129" spans="1:11" x14ac:dyDescent="0.3">
      <c r="A129" s="16">
        <v>127</v>
      </c>
      <c r="B129" s="3">
        <v>45490</v>
      </c>
      <c r="C129" s="40">
        <v>5588.27</v>
      </c>
      <c r="D129" s="46">
        <f t="shared" si="4"/>
        <v>-1.3927512704686507E-2</v>
      </c>
      <c r="E129">
        <v>3640.88</v>
      </c>
      <c r="F129">
        <v>7.8071000000000002</v>
      </c>
      <c r="G129" s="43">
        <f t="shared" si="3"/>
        <v>466.35498456533156</v>
      </c>
      <c r="H129">
        <f t="shared" si="5"/>
        <v>5.0438820075637825E-3</v>
      </c>
      <c r="I129"/>
      <c r="K129" s="38"/>
    </row>
    <row r="130" spans="1:11" x14ac:dyDescent="0.3">
      <c r="A130" s="16">
        <v>128</v>
      </c>
      <c r="B130" s="3">
        <v>45491</v>
      </c>
      <c r="C130" s="40">
        <v>5544.59</v>
      </c>
      <c r="D130" s="46">
        <f t="shared" si="4"/>
        <v>-7.8163725088444824E-3</v>
      </c>
      <c r="E130">
        <v>3613.13</v>
      </c>
      <c r="F130">
        <v>7.8101000000000003</v>
      </c>
      <c r="G130" s="43">
        <f t="shared" si="3"/>
        <v>462.62275771116884</v>
      </c>
      <c r="H130">
        <f t="shared" si="5"/>
        <v>-8.0029740813027939E-3</v>
      </c>
      <c r="I130"/>
      <c r="K130" s="38"/>
    </row>
    <row r="131" spans="1:11" x14ac:dyDescent="0.3">
      <c r="A131" s="16">
        <v>129</v>
      </c>
      <c r="B131" s="3">
        <v>45492</v>
      </c>
      <c r="C131" s="40">
        <v>5505</v>
      </c>
      <c r="D131" s="46">
        <f t="shared" si="4"/>
        <v>-7.1402935113327182E-3</v>
      </c>
      <c r="E131">
        <v>3536.54</v>
      </c>
      <c r="F131">
        <v>7.8101000000000003</v>
      </c>
      <c r="G131" s="43">
        <f t="shared" ref="G131:G194" si="6">E131/F131</f>
        <v>452.81622514436435</v>
      </c>
      <c r="H131">
        <f t="shared" si="5"/>
        <v>-2.1197687323733061E-2</v>
      </c>
      <c r="I131"/>
      <c r="K131" s="38"/>
    </row>
    <row r="132" spans="1:11" x14ac:dyDescent="0.3">
      <c r="A132" s="16">
        <v>130</v>
      </c>
      <c r="B132" s="3">
        <v>45495</v>
      </c>
      <c r="C132" s="40">
        <v>5564.41</v>
      </c>
      <c r="D132" s="46">
        <f t="shared" ref="D132:D195" si="7">$C132/$C131-1</f>
        <v>1.0792007266121617E-2</v>
      </c>
      <c r="E132">
        <v>3610.71</v>
      </c>
      <c r="F132">
        <v>7.8071000000000002</v>
      </c>
      <c r="G132" s="43">
        <f t="shared" si="6"/>
        <v>462.49055347055884</v>
      </c>
      <c r="H132">
        <f t="shared" ref="H132:H195" si="8">$G132/$G131-1</f>
        <v>2.1364800528316241E-2</v>
      </c>
      <c r="I132"/>
      <c r="K132" s="38"/>
    </row>
    <row r="133" spans="1:11" x14ac:dyDescent="0.3">
      <c r="A133" s="16">
        <v>131</v>
      </c>
      <c r="B133" s="3">
        <v>45496</v>
      </c>
      <c r="C133" s="40">
        <v>5555.74</v>
      </c>
      <c r="D133" s="46">
        <f t="shared" si="7"/>
        <v>-1.558116673645582E-3</v>
      </c>
      <c r="E133">
        <v>3545.09</v>
      </c>
      <c r="F133">
        <v>7.8093000000000004</v>
      </c>
      <c r="G133" s="43">
        <f t="shared" si="6"/>
        <v>453.9574609760158</v>
      </c>
      <c r="H133">
        <f t="shared" si="8"/>
        <v>-1.845030656412372E-2</v>
      </c>
      <c r="I133"/>
      <c r="K133" s="38"/>
    </row>
    <row r="134" spans="1:11" x14ac:dyDescent="0.3">
      <c r="A134" s="16">
        <v>132</v>
      </c>
      <c r="B134" s="3">
        <v>45497</v>
      </c>
      <c r="C134" s="40">
        <v>5427.13</v>
      </c>
      <c r="D134" s="46">
        <f t="shared" si="7"/>
        <v>-2.3149031452155744E-2</v>
      </c>
      <c r="E134">
        <v>3491.2</v>
      </c>
      <c r="F134">
        <v>7.8083999999999998</v>
      </c>
      <c r="G134" s="43">
        <f t="shared" si="6"/>
        <v>447.10824240561448</v>
      </c>
      <c r="H134">
        <f t="shared" si="8"/>
        <v>-1.5087798217206072E-2</v>
      </c>
      <c r="I134"/>
      <c r="K134" s="38"/>
    </row>
    <row r="135" spans="1:11" x14ac:dyDescent="0.3">
      <c r="A135" s="16">
        <v>133</v>
      </c>
      <c r="B135" s="3">
        <v>45498</v>
      </c>
      <c r="C135" s="40">
        <v>5399.22</v>
      </c>
      <c r="D135" s="46">
        <f t="shared" si="7"/>
        <v>-5.1426813066942634E-3</v>
      </c>
      <c r="E135">
        <v>3421.26</v>
      </c>
      <c r="F135">
        <v>7.8064</v>
      </c>
      <c r="G135" s="43">
        <f t="shared" si="6"/>
        <v>438.26347612215619</v>
      </c>
      <c r="H135">
        <f t="shared" si="8"/>
        <v>-1.9782158870232491E-2</v>
      </c>
      <c r="I135"/>
      <c r="K135" s="38"/>
    </row>
    <row r="136" spans="1:11" x14ac:dyDescent="0.3">
      <c r="A136" s="16">
        <v>134</v>
      </c>
      <c r="B136" s="3">
        <v>45499</v>
      </c>
      <c r="C136" s="40">
        <v>5459.1</v>
      </c>
      <c r="D136" s="46">
        <f t="shared" si="7"/>
        <v>1.1090490848678192E-2</v>
      </c>
      <c r="E136">
        <v>3443.73</v>
      </c>
      <c r="F136">
        <v>7.8066000000000004</v>
      </c>
      <c r="G136" s="43">
        <f t="shared" si="6"/>
        <v>441.13058181538696</v>
      </c>
      <c r="H136">
        <f t="shared" si="8"/>
        <v>6.541968129764042E-3</v>
      </c>
      <c r="I136"/>
      <c r="K136" s="38"/>
    </row>
    <row r="137" spans="1:11" x14ac:dyDescent="0.3">
      <c r="A137" s="16">
        <v>135</v>
      </c>
      <c r="B137" s="3">
        <v>45502</v>
      </c>
      <c r="C137" s="40">
        <v>5463.54</v>
      </c>
      <c r="D137" s="46">
        <f t="shared" si="7"/>
        <v>8.1332087706753597E-4</v>
      </c>
      <c r="E137">
        <v>3466.6</v>
      </c>
      <c r="F137">
        <v>7.8098000000000001</v>
      </c>
      <c r="G137" s="43">
        <f t="shared" si="6"/>
        <v>443.87820430740862</v>
      </c>
      <c r="H137">
        <f t="shared" si="8"/>
        <v>6.2285921794729138E-3</v>
      </c>
      <c r="I137"/>
      <c r="K137" s="38"/>
    </row>
    <row r="138" spans="1:11" x14ac:dyDescent="0.3">
      <c r="A138" s="16">
        <v>136</v>
      </c>
      <c r="B138" s="3">
        <v>45503</v>
      </c>
      <c r="C138" s="40">
        <v>5436.44</v>
      </c>
      <c r="D138" s="46">
        <f t="shared" si="7"/>
        <v>-4.9601540393225951E-3</v>
      </c>
      <c r="E138">
        <v>3414.04</v>
      </c>
      <c r="F138">
        <v>7.8132000000000001</v>
      </c>
      <c r="G138" s="43">
        <f t="shared" si="6"/>
        <v>436.95796856601646</v>
      </c>
      <c r="H138">
        <f t="shared" si="8"/>
        <v>-1.5590393207501441E-2</v>
      </c>
      <c r="I138"/>
      <c r="K138" s="38"/>
    </row>
    <row r="139" spans="1:11" x14ac:dyDescent="0.3">
      <c r="A139" s="16">
        <v>137</v>
      </c>
      <c r="B139" s="3">
        <v>45504</v>
      </c>
      <c r="C139" s="40">
        <v>5522.3</v>
      </c>
      <c r="D139" s="46">
        <f t="shared" si="7"/>
        <v>1.579342363752767E-2</v>
      </c>
      <c r="E139">
        <v>3516.87</v>
      </c>
      <c r="F139">
        <v>7.8120000000000003</v>
      </c>
      <c r="G139" s="43">
        <f t="shared" si="6"/>
        <v>450.1881720430107</v>
      </c>
      <c r="H139">
        <f t="shared" si="8"/>
        <v>3.0277977354234764E-2</v>
      </c>
      <c r="I139"/>
      <c r="K139" s="38"/>
    </row>
    <row r="140" spans="1:11" x14ac:dyDescent="0.3">
      <c r="A140" s="16">
        <v>138</v>
      </c>
      <c r="B140" s="3">
        <v>45505</v>
      </c>
      <c r="C140" s="40">
        <v>5446.68</v>
      </c>
      <c r="D140" s="46">
        <f t="shared" si="7"/>
        <v>-1.3693569708273734E-2</v>
      </c>
      <c r="E140">
        <v>3476.58</v>
      </c>
      <c r="F140">
        <v>7.8147000000000002</v>
      </c>
      <c r="G140" s="43">
        <f t="shared" si="6"/>
        <v>444.87696264731852</v>
      </c>
      <c r="H140">
        <f t="shared" si="8"/>
        <v>-1.1797754195960408E-2</v>
      </c>
      <c r="I140"/>
      <c r="K140" s="38"/>
    </row>
    <row r="141" spans="1:11" x14ac:dyDescent="0.3">
      <c r="A141" s="16">
        <v>139</v>
      </c>
      <c r="B141" s="3">
        <v>45506</v>
      </c>
      <c r="C141" s="40">
        <v>5346.56</v>
      </c>
      <c r="D141" s="46">
        <f t="shared" si="7"/>
        <v>-1.8381839946536194E-2</v>
      </c>
      <c r="E141">
        <v>3385.6</v>
      </c>
      <c r="F141">
        <v>7.8061999999999996</v>
      </c>
      <c r="G141" s="43">
        <f t="shared" si="6"/>
        <v>433.70654095462584</v>
      </c>
      <c r="H141">
        <f t="shared" si="8"/>
        <v>-2.5109013571350425E-2</v>
      </c>
      <c r="I141"/>
      <c r="K141" s="38"/>
    </row>
    <row r="142" spans="1:11" x14ac:dyDescent="0.3">
      <c r="A142" s="16">
        <v>140</v>
      </c>
      <c r="B142" s="3">
        <v>45509</v>
      </c>
      <c r="C142" s="40">
        <v>5186.33</v>
      </c>
      <c r="D142" s="46">
        <f t="shared" si="7"/>
        <v>-2.9968802370122227E-2</v>
      </c>
      <c r="E142">
        <v>3339.42</v>
      </c>
      <c r="F142">
        <v>7.7885</v>
      </c>
      <c r="G142" s="43">
        <f t="shared" si="6"/>
        <v>428.76291968928547</v>
      </c>
      <c r="H142">
        <f t="shared" si="8"/>
        <v>-1.1398539792503493E-2</v>
      </c>
      <c r="I142"/>
      <c r="K142" s="38"/>
    </row>
    <row r="143" spans="1:11" x14ac:dyDescent="0.3">
      <c r="A143" s="16">
        <v>141</v>
      </c>
      <c r="B143" s="3">
        <v>45510</v>
      </c>
      <c r="C143" s="40">
        <v>5240.03</v>
      </c>
      <c r="D143" s="46">
        <f t="shared" si="7"/>
        <v>1.0354142524675369E-2</v>
      </c>
      <c r="E143">
        <v>3342.52</v>
      </c>
      <c r="F143">
        <v>7.7944000000000004</v>
      </c>
      <c r="G143" s="43">
        <f t="shared" si="6"/>
        <v>428.83608744739809</v>
      </c>
      <c r="H143">
        <f t="shared" si="8"/>
        <v>1.7064852101866812E-4</v>
      </c>
      <c r="I143"/>
      <c r="K143" s="38"/>
    </row>
    <row r="144" spans="1:11" x14ac:dyDescent="0.3">
      <c r="A144" s="16">
        <v>142</v>
      </c>
      <c r="B144" s="3">
        <v>45511</v>
      </c>
      <c r="C144" s="40">
        <v>5199.5</v>
      </c>
      <c r="D144" s="46">
        <f t="shared" si="7"/>
        <v>-7.7346885418594358E-3</v>
      </c>
      <c r="E144">
        <v>3382.42</v>
      </c>
      <c r="F144">
        <v>7.7984</v>
      </c>
      <c r="G144" s="43">
        <f t="shared" si="6"/>
        <v>433.73256052523595</v>
      </c>
      <c r="H144">
        <f t="shared" si="8"/>
        <v>1.1418052773924936E-2</v>
      </c>
      <c r="I144"/>
      <c r="K144" s="38"/>
    </row>
    <row r="145" spans="1:11" x14ac:dyDescent="0.3">
      <c r="A145" s="16">
        <v>143</v>
      </c>
      <c r="B145" s="3">
        <v>45512</v>
      </c>
      <c r="C145" s="40">
        <v>5319.31</v>
      </c>
      <c r="D145" s="46">
        <f t="shared" si="7"/>
        <v>2.3042600250024137E-2</v>
      </c>
      <c r="E145">
        <v>3366.68</v>
      </c>
      <c r="F145">
        <v>7.7946</v>
      </c>
      <c r="G145" s="43">
        <f t="shared" si="6"/>
        <v>431.92466579426781</v>
      </c>
      <c r="H145">
        <f t="shared" si="8"/>
        <v>-4.168224605454629E-3</v>
      </c>
      <c r="I145"/>
      <c r="K145" s="38"/>
    </row>
    <row r="146" spans="1:11" x14ac:dyDescent="0.3">
      <c r="A146" s="16">
        <v>144</v>
      </c>
      <c r="B146" s="3">
        <v>45513</v>
      </c>
      <c r="C146" s="40">
        <v>5344.16</v>
      </c>
      <c r="D146" s="46">
        <f t="shared" si="7"/>
        <v>4.6716585421793244E-3</v>
      </c>
      <c r="E146">
        <v>3436.8</v>
      </c>
      <c r="F146">
        <v>7.7975000000000003</v>
      </c>
      <c r="G146" s="43">
        <f t="shared" si="6"/>
        <v>440.75665277332479</v>
      </c>
      <c r="H146">
        <f t="shared" si="8"/>
        <v>2.0447980118976972E-2</v>
      </c>
      <c r="I146"/>
      <c r="K146" s="38"/>
    </row>
    <row r="147" spans="1:11" x14ac:dyDescent="0.3">
      <c r="A147" s="16">
        <v>145</v>
      </c>
      <c r="B147" s="3">
        <v>45516</v>
      </c>
      <c r="C147" s="40">
        <v>5344.39</v>
      </c>
      <c r="D147" s="46">
        <f t="shared" si="7"/>
        <v>4.3037633603804082E-5</v>
      </c>
      <c r="E147">
        <v>3429.84</v>
      </c>
      <c r="F147">
        <v>7.7907999999999999</v>
      </c>
      <c r="G147" s="43">
        <f t="shared" si="6"/>
        <v>440.24233711557224</v>
      </c>
      <c r="H147">
        <f t="shared" si="8"/>
        <v>-1.1668925574154221E-3</v>
      </c>
      <c r="I147"/>
      <c r="K147" s="38"/>
    </row>
    <row r="148" spans="1:11" x14ac:dyDescent="0.3">
      <c r="A148" s="16">
        <v>146</v>
      </c>
      <c r="B148" s="3">
        <v>45517</v>
      </c>
      <c r="C148" s="40">
        <v>5434.43</v>
      </c>
      <c r="D148" s="46">
        <f t="shared" si="7"/>
        <v>1.6847572875482442E-2</v>
      </c>
      <c r="E148">
        <v>3429.69</v>
      </c>
      <c r="F148">
        <v>7.7881</v>
      </c>
      <c r="G148" s="43">
        <f t="shared" si="6"/>
        <v>440.37570139058306</v>
      </c>
      <c r="H148">
        <f t="shared" si="8"/>
        <v>3.0293377934653698E-4</v>
      </c>
      <c r="I148"/>
      <c r="K148" s="38"/>
    </row>
    <row r="149" spans="1:11" x14ac:dyDescent="0.3">
      <c r="A149" s="16">
        <v>147</v>
      </c>
      <c r="B149" s="3">
        <v>45518</v>
      </c>
      <c r="C149" s="40">
        <v>5455.21</v>
      </c>
      <c r="D149" s="46">
        <f t="shared" si="7"/>
        <v>3.8237680860733203E-3</v>
      </c>
      <c r="E149">
        <v>3395.7</v>
      </c>
      <c r="F149">
        <v>7.7919999999999998</v>
      </c>
      <c r="G149" s="43">
        <f t="shared" si="6"/>
        <v>435.79312114989733</v>
      </c>
      <c r="H149">
        <f t="shared" si="8"/>
        <v>-1.0406069695069964E-2</v>
      </c>
      <c r="I149"/>
      <c r="K149" s="38"/>
    </row>
    <row r="150" spans="1:11" x14ac:dyDescent="0.3">
      <c r="A150" s="16">
        <v>148</v>
      </c>
      <c r="B150" s="3">
        <v>45519</v>
      </c>
      <c r="C150" s="40">
        <v>5543.22</v>
      </c>
      <c r="D150" s="46">
        <f t="shared" si="7"/>
        <v>1.6133201104998829E-2</v>
      </c>
      <c r="E150">
        <v>3384.38</v>
      </c>
      <c r="F150">
        <v>7.7968000000000002</v>
      </c>
      <c r="G150" s="43">
        <f t="shared" si="6"/>
        <v>434.07295300636162</v>
      </c>
      <c r="H150">
        <f t="shared" si="8"/>
        <v>-3.947212702662295E-3</v>
      </c>
      <c r="I150"/>
      <c r="K150" s="38"/>
    </row>
    <row r="151" spans="1:11" x14ac:dyDescent="0.3">
      <c r="A151" s="16">
        <v>149</v>
      </c>
      <c r="B151" s="3">
        <v>45520</v>
      </c>
      <c r="C151" s="40">
        <v>5554.25</v>
      </c>
      <c r="D151" s="46">
        <f t="shared" si="7"/>
        <v>1.9898181923141411E-3</v>
      </c>
      <c r="E151">
        <v>3459.09</v>
      </c>
      <c r="F151">
        <v>7.7942999999999998</v>
      </c>
      <c r="G151" s="43">
        <f t="shared" si="6"/>
        <v>443.79739040067744</v>
      </c>
      <c r="H151">
        <f t="shared" si="8"/>
        <v>2.2402771992507287E-2</v>
      </c>
      <c r="I151"/>
      <c r="K151" s="38"/>
    </row>
    <row r="152" spans="1:11" x14ac:dyDescent="0.3">
      <c r="A152" s="16">
        <v>150</v>
      </c>
      <c r="B152" s="3">
        <v>45523</v>
      </c>
      <c r="C152" s="40">
        <v>5608.25</v>
      </c>
      <c r="D152" s="46">
        <f t="shared" si="7"/>
        <v>9.7222847369131671E-3</v>
      </c>
      <c r="E152">
        <v>3517.09</v>
      </c>
      <c r="F152">
        <v>7.7882999999999996</v>
      </c>
      <c r="G152" s="43">
        <f t="shared" si="6"/>
        <v>451.58635388980912</v>
      </c>
      <c r="H152">
        <f t="shared" si="8"/>
        <v>1.7550719444518359E-2</v>
      </c>
      <c r="I152"/>
      <c r="K152" s="38"/>
    </row>
    <row r="153" spans="1:11" x14ac:dyDescent="0.3">
      <c r="A153" s="16">
        <v>151</v>
      </c>
      <c r="B153" s="3">
        <v>45524</v>
      </c>
      <c r="C153" s="40">
        <v>5597.12</v>
      </c>
      <c r="D153" s="46">
        <f t="shared" si="7"/>
        <v>-1.9845762938528466E-3</v>
      </c>
      <c r="E153">
        <v>3498.08</v>
      </c>
      <c r="F153">
        <v>7.7880000000000003</v>
      </c>
      <c r="G153" s="43">
        <f t="shared" si="6"/>
        <v>449.16281458654339</v>
      </c>
      <c r="H153">
        <f t="shared" si="8"/>
        <v>-5.3667239552085411E-3</v>
      </c>
      <c r="I153"/>
      <c r="K153" s="38"/>
    </row>
    <row r="154" spans="1:11" x14ac:dyDescent="0.3">
      <c r="A154" s="16">
        <v>152</v>
      </c>
      <c r="B154" s="3">
        <v>45525</v>
      </c>
      <c r="C154" s="40">
        <v>5620.85</v>
      </c>
      <c r="D154" s="46">
        <f t="shared" si="7"/>
        <v>4.2396804070665706E-3</v>
      </c>
      <c r="E154">
        <v>3434.39</v>
      </c>
      <c r="F154">
        <v>7.7937000000000003</v>
      </c>
      <c r="G154" s="43">
        <f t="shared" si="6"/>
        <v>440.66232983050412</v>
      </c>
      <c r="H154">
        <f t="shared" si="8"/>
        <v>-1.89251747472996E-2</v>
      </c>
      <c r="I154"/>
      <c r="K154" s="38"/>
    </row>
    <row r="155" spans="1:11" x14ac:dyDescent="0.3">
      <c r="A155" s="16">
        <v>153</v>
      </c>
      <c r="B155" s="3">
        <v>45526</v>
      </c>
      <c r="C155" s="40">
        <v>5570.64</v>
      </c>
      <c r="D155" s="46">
        <f t="shared" si="7"/>
        <v>-8.9328126528905871E-3</v>
      </c>
      <c r="E155">
        <v>3508.61</v>
      </c>
      <c r="F155">
        <v>7.7965</v>
      </c>
      <c r="G155" s="43">
        <f t="shared" si="6"/>
        <v>450.02372859616497</v>
      </c>
      <c r="H155">
        <f t="shared" si="8"/>
        <v>2.1243927905663318E-2</v>
      </c>
      <c r="I155"/>
      <c r="K155" s="38"/>
    </row>
    <row r="156" spans="1:11" x14ac:dyDescent="0.3">
      <c r="A156" s="16">
        <v>154</v>
      </c>
      <c r="B156" s="3">
        <v>45527</v>
      </c>
      <c r="C156" s="40">
        <v>5634.61</v>
      </c>
      <c r="D156" s="46">
        <f t="shared" si="7"/>
        <v>1.1483420217425433E-2</v>
      </c>
      <c r="E156">
        <v>3468.94</v>
      </c>
      <c r="F156">
        <v>7.7953999999999999</v>
      </c>
      <c r="G156" s="43">
        <f t="shared" si="6"/>
        <v>444.99833234984737</v>
      </c>
      <c r="H156">
        <f t="shared" si="8"/>
        <v>-1.1166958377937464E-2</v>
      </c>
      <c r="I156"/>
      <c r="K156" s="38"/>
    </row>
    <row r="157" spans="1:11" x14ac:dyDescent="0.3">
      <c r="A157" s="16">
        <v>155</v>
      </c>
      <c r="B157" s="3">
        <v>45530</v>
      </c>
      <c r="C157" s="40">
        <v>5616.84</v>
      </c>
      <c r="D157" s="46">
        <f t="shared" si="7"/>
        <v>-3.1537231503155905E-3</v>
      </c>
      <c r="E157">
        <v>3502.96</v>
      </c>
      <c r="F157">
        <v>7.7958999999999996</v>
      </c>
      <c r="G157" s="43">
        <f t="shared" si="6"/>
        <v>449.3336240844547</v>
      </c>
      <c r="H157">
        <f t="shared" si="8"/>
        <v>9.742265126510663E-3</v>
      </c>
      <c r="I157"/>
      <c r="K157" s="38"/>
    </row>
    <row r="158" spans="1:11" x14ac:dyDescent="0.3">
      <c r="A158" s="16">
        <v>156</v>
      </c>
      <c r="B158" s="3">
        <v>45531</v>
      </c>
      <c r="C158" s="40">
        <v>5625.8</v>
      </c>
      <c r="D158" s="46">
        <f t="shared" si="7"/>
        <v>1.5952029967027936E-3</v>
      </c>
      <c r="E158">
        <v>3501.29</v>
      </c>
      <c r="F158">
        <v>7.8010999999999999</v>
      </c>
      <c r="G158" s="43">
        <f t="shared" si="6"/>
        <v>448.82003819974108</v>
      </c>
      <c r="H158">
        <f t="shared" si="8"/>
        <v>-1.1429945527893226E-3</v>
      </c>
      <c r="I158"/>
      <c r="K158" s="38"/>
    </row>
    <row r="159" spans="1:11" x14ac:dyDescent="0.3">
      <c r="A159" s="16">
        <v>157</v>
      </c>
      <c r="B159" s="3">
        <v>45532</v>
      </c>
      <c r="C159" s="40">
        <v>5592.18</v>
      </c>
      <c r="D159" s="46">
        <f t="shared" si="7"/>
        <v>-5.9760389633474187E-3</v>
      </c>
      <c r="E159">
        <v>3445.46</v>
      </c>
      <c r="F159">
        <v>7.8007</v>
      </c>
      <c r="G159" s="43">
        <f t="shared" si="6"/>
        <v>441.68600253823377</v>
      </c>
      <c r="H159">
        <f t="shared" si="8"/>
        <v>-1.589509169448533E-2</v>
      </c>
      <c r="I159"/>
      <c r="K159" s="38"/>
    </row>
    <row r="160" spans="1:11" x14ac:dyDescent="0.3">
      <c r="A160" s="16">
        <v>158</v>
      </c>
      <c r="B160" s="3">
        <v>45533</v>
      </c>
      <c r="C160" s="40">
        <v>5591.96</v>
      </c>
      <c r="D160" s="46">
        <f t="shared" si="7"/>
        <v>-3.9340650694441592E-5</v>
      </c>
      <c r="E160">
        <v>3461.22</v>
      </c>
      <c r="F160">
        <v>7.7975000000000003</v>
      </c>
      <c r="G160" s="43">
        <f t="shared" si="6"/>
        <v>443.88842577749273</v>
      </c>
      <c r="H160">
        <f t="shared" si="8"/>
        <v>4.9864003536501667E-3</v>
      </c>
      <c r="I160"/>
      <c r="K160" s="38"/>
    </row>
    <row r="161" spans="1:11" x14ac:dyDescent="0.3">
      <c r="A161" s="16">
        <v>159</v>
      </c>
      <c r="B161" s="3">
        <v>45534</v>
      </c>
      <c r="C161" s="40">
        <v>5648.4</v>
      </c>
      <c r="D161" s="46">
        <f t="shared" si="7"/>
        <v>1.0093062182132906E-2</v>
      </c>
      <c r="E161">
        <v>3560.61</v>
      </c>
      <c r="F161">
        <v>7.7972999999999999</v>
      </c>
      <c r="G161" s="43">
        <f t="shared" si="6"/>
        <v>456.6465314916702</v>
      </c>
      <c r="H161">
        <f t="shared" si="8"/>
        <v>2.874169492441947E-2</v>
      </c>
      <c r="I161"/>
      <c r="K161" s="38"/>
    </row>
    <row r="162" spans="1:11" x14ac:dyDescent="0.3">
      <c r="A162" s="16">
        <v>160</v>
      </c>
      <c r="B162" s="3">
        <v>45538</v>
      </c>
      <c r="C162" s="40">
        <v>5528.93</v>
      </c>
      <c r="D162" s="46">
        <f t="shared" si="7"/>
        <v>-2.1151122441753323E-2</v>
      </c>
      <c r="E162">
        <v>3496.49</v>
      </c>
      <c r="F162">
        <v>7.7986000000000004</v>
      </c>
      <c r="G162" s="43">
        <f t="shared" si="6"/>
        <v>448.34842151155328</v>
      </c>
      <c r="H162">
        <f t="shared" si="8"/>
        <v>-1.8171844978238427E-2</v>
      </c>
      <c r="I162"/>
      <c r="K162" s="38"/>
    </row>
    <row r="163" spans="1:11" x14ac:dyDescent="0.3">
      <c r="A163" s="16">
        <v>161</v>
      </c>
      <c r="B163" s="3">
        <v>45539</v>
      </c>
      <c r="C163" s="40">
        <v>5520.07</v>
      </c>
      <c r="D163" s="46">
        <f t="shared" si="7"/>
        <v>-1.6024800458679378E-3</v>
      </c>
      <c r="E163">
        <v>3482.84</v>
      </c>
      <c r="F163">
        <v>7.7967000000000004</v>
      </c>
      <c r="G163" s="43">
        <f t="shared" si="6"/>
        <v>446.70694011568997</v>
      </c>
      <c r="H163">
        <f t="shared" si="8"/>
        <v>-3.6611735808710355E-3</v>
      </c>
      <c r="I163"/>
      <c r="K163" s="38"/>
    </row>
    <row r="164" spans="1:11" x14ac:dyDescent="0.3">
      <c r="A164" s="16">
        <v>162</v>
      </c>
      <c r="B164" s="3">
        <v>45540</v>
      </c>
      <c r="C164" s="40">
        <v>5503.41</v>
      </c>
      <c r="D164" s="46">
        <f t="shared" si="7"/>
        <v>-3.0180776693048417E-3</v>
      </c>
      <c r="E164">
        <v>3487.8</v>
      </c>
      <c r="F164">
        <v>7.7930000000000001</v>
      </c>
      <c r="G164" s="43">
        <f t="shared" si="6"/>
        <v>447.5554985243167</v>
      </c>
      <c r="H164">
        <f t="shared" si="8"/>
        <v>1.899586356117533E-3</v>
      </c>
      <c r="I164"/>
      <c r="K164" s="38"/>
    </row>
    <row r="165" spans="1:11" x14ac:dyDescent="0.3">
      <c r="A165" s="16">
        <v>163</v>
      </c>
      <c r="B165" s="3">
        <v>45541</v>
      </c>
      <c r="C165" s="40">
        <v>5408.42</v>
      </c>
      <c r="D165" s="46">
        <f t="shared" si="7"/>
        <v>-1.726020776209658E-2</v>
      </c>
      <c r="E165">
        <v>3436.75</v>
      </c>
      <c r="F165">
        <v>7.7953999999999999</v>
      </c>
      <c r="G165" s="43">
        <f t="shared" si="6"/>
        <v>440.86897401031376</v>
      </c>
      <c r="H165">
        <f t="shared" si="8"/>
        <v>-1.4940101364076197E-2</v>
      </c>
      <c r="I165"/>
      <c r="K165" s="38"/>
    </row>
    <row r="166" spans="1:11" x14ac:dyDescent="0.3">
      <c r="A166" s="16">
        <v>164</v>
      </c>
      <c r="B166" s="3">
        <v>45544</v>
      </c>
      <c r="C166" s="40">
        <v>5471.05</v>
      </c>
      <c r="D166" s="46">
        <f t="shared" si="7"/>
        <v>1.1580091782812829E-2</v>
      </c>
      <c r="E166">
        <v>3450.73</v>
      </c>
      <c r="F166">
        <v>7.7965</v>
      </c>
      <c r="G166" s="43">
        <f t="shared" si="6"/>
        <v>442.59988456358622</v>
      </c>
      <c r="H166">
        <f t="shared" si="8"/>
        <v>3.9261337388463158E-3</v>
      </c>
      <c r="I166"/>
      <c r="K166" s="38"/>
    </row>
    <row r="167" spans="1:11" x14ac:dyDescent="0.3">
      <c r="A167" s="16">
        <v>165</v>
      </c>
      <c r="B167" s="3">
        <v>45545</v>
      </c>
      <c r="C167" s="40">
        <v>5495.52</v>
      </c>
      <c r="D167" s="46">
        <f t="shared" si="7"/>
        <v>4.4726332239699573E-3</v>
      </c>
      <c r="E167">
        <v>3450.92</v>
      </c>
      <c r="F167">
        <v>7.7972999999999999</v>
      </c>
      <c r="G167" s="43">
        <f t="shared" si="6"/>
        <v>442.57884139381582</v>
      </c>
      <c r="H167">
        <f t="shared" si="8"/>
        <v>-4.7544453815495658E-5</v>
      </c>
      <c r="I167"/>
      <c r="K167" s="38"/>
    </row>
    <row r="168" spans="1:11" x14ac:dyDescent="0.3">
      <c r="A168" s="16">
        <v>166</v>
      </c>
      <c r="B168" s="3">
        <v>45546</v>
      </c>
      <c r="C168" s="40">
        <v>5554.13</v>
      </c>
      <c r="D168" s="46">
        <f t="shared" si="7"/>
        <v>1.0665050805019227E-2</v>
      </c>
      <c r="E168">
        <v>3475.25</v>
      </c>
      <c r="F168">
        <v>7.7984999999999998</v>
      </c>
      <c r="G168" s="43">
        <f t="shared" si="6"/>
        <v>445.63056998140672</v>
      </c>
      <c r="H168">
        <f t="shared" si="8"/>
        <v>6.8953332201333595E-3</v>
      </c>
      <c r="I168"/>
      <c r="K168" s="38"/>
    </row>
    <row r="169" spans="1:11" x14ac:dyDescent="0.3">
      <c r="A169" s="16">
        <v>167</v>
      </c>
      <c r="B169" s="3">
        <v>45547</v>
      </c>
      <c r="C169" s="40">
        <v>5595.76</v>
      </c>
      <c r="D169" s="46">
        <f t="shared" si="7"/>
        <v>7.4953232999588337E-3</v>
      </c>
      <c r="E169">
        <v>3479.8</v>
      </c>
      <c r="F169">
        <v>7.8029999999999999</v>
      </c>
      <c r="G169" s="43">
        <f t="shared" si="6"/>
        <v>445.95668332692554</v>
      </c>
      <c r="H169">
        <f t="shared" si="8"/>
        <v>7.3180200705813547E-4</v>
      </c>
      <c r="I169"/>
      <c r="K169" s="38"/>
    </row>
    <row r="170" spans="1:11" x14ac:dyDescent="0.3">
      <c r="A170" s="16">
        <v>168</v>
      </c>
      <c r="B170" s="3">
        <v>45548</v>
      </c>
      <c r="C170" s="40">
        <v>5626.02</v>
      </c>
      <c r="D170" s="46">
        <f t="shared" si="7"/>
        <v>5.4076658041088965E-3</v>
      </c>
      <c r="E170">
        <v>3497.45</v>
      </c>
      <c r="F170">
        <v>7.7987000000000002</v>
      </c>
      <c r="G170" s="43">
        <f t="shared" si="6"/>
        <v>448.46576993601496</v>
      </c>
      <c r="H170">
        <f t="shared" si="8"/>
        <v>5.6263011698156618E-3</v>
      </c>
      <c r="I170"/>
      <c r="K170" s="38"/>
    </row>
    <row r="171" spans="1:11" x14ac:dyDescent="0.3">
      <c r="A171" s="16">
        <v>169</v>
      </c>
      <c r="B171" s="3">
        <v>45551</v>
      </c>
      <c r="C171" s="40">
        <v>5633.09</v>
      </c>
      <c r="D171" s="46">
        <f t="shared" si="7"/>
        <v>1.2566610143582846E-3</v>
      </c>
      <c r="E171">
        <v>3536.57</v>
      </c>
      <c r="F171">
        <v>7.7927</v>
      </c>
      <c r="G171" s="43">
        <f t="shared" si="6"/>
        <v>453.83114966571281</v>
      </c>
      <c r="H171">
        <f t="shared" si="8"/>
        <v>1.1963855637105558E-2</v>
      </c>
      <c r="I171"/>
      <c r="K171" s="38"/>
    </row>
    <row r="172" spans="1:11" x14ac:dyDescent="0.3">
      <c r="A172" s="16">
        <v>170</v>
      </c>
      <c r="B172" s="3">
        <v>45552</v>
      </c>
      <c r="C172" s="40">
        <v>5634.58</v>
      </c>
      <c r="D172" s="46">
        <f t="shared" si="7"/>
        <v>2.6450846693371055E-4</v>
      </c>
      <c r="E172">
        <v>3651.56</v>
      </c>
      <c r="F172">
        <v>7.7942</v>
      </c>
      <c r="G172" s="43">
        <f t="shared" si="6"/>
        <v>468.49708757794258</v>
      </c>
      <c r="H172">
        <f t="shared" si="8"/>
        <v>3.2315846814465088E-2</v>
      </c>
      <c r="I172"/>
      <c r="K172" s="38"/>
    </row>
    <row r="173" spans="1:11" x14ac:dyDescent="0.3">
      <c r="A173" s="16">
        <v>171</v>
      </c>
      <c r="B173" s="3">
        <v>45554</v>
      </c>
      <c r="C173" s="40">
        <v>5713.64</v>
      </c>
      <c r="D173" s="46">
        <f t="shared" si="7"/>
        <v>1.4031214393974478E-2</v>
      </c>
      <c r="E173">
        <v>3703.84</v>
      </c>
      <c r="F173">
        <v>7.7946</v>
      </c>
      <c r="G173" s="43">
        <f t="shared" si="6"/>
        <v>475.18025299566369</v>
      </c>
      <c r="H173">
        <f t="shared" si="8"/>
        <v>1.4265116251356069E-2</v>
      </c>
      <c r="I173"/>
      <c r="K173" s="38"/>
    </row>
    <row r="174" spans="1:11" x14ac:dyDescent="0.3">
      <c r="A174" s="16">
        <v>172</v>
      </c>
      <c r="B174" s="3">
        <v>45555</v>
      </c>
      <c r="C174" s="40">
        <v>5702.55</v>
      </c>
      <c r="D174" s="46">
        <f t="shared" si="7"/>
        <v>-1.9409693295342478E-3</v>
      </c>
      <c r="E174">
        <v>3698.27</v>
      </c>
      <c r="F174">
        <v>7.7897999999999996</v>
      </c>
      <c r="G174" s="43">
        <f t="shared" si="6"/>
        <v>474.75801689388692</v>
      </c>
      <c r="H174">
        <f t="shared" si="8"/>
        <v>-8.8858091032795183E-4</v>
      </c>
      <c r="I174"/>
      <c r="K174" s="38"/>
    </row>
    <row r="175" spans="1:11" x14ac:dyDescent="0.3">
      <c r="A175" s="16">
        <v>173</v>
      </c>
      <c r="B175" s="3">
        <v>45558</v>
      </c>
      <c r="C175" s="40">
        <v>5718.57</v>
      </c>
      <c r="D175" s="46">
        <f t="shared" si="7"/>
        <v>2.8092695373120868E-3</v>
      </c>
      <c r="E175">
        <v>3915.58</v>
      </c>
      <c r="F175">
        <v>7.7858000000000001</v>
      </c>
      <c r="G175" s="43">
        <f t="shared" si="6"/>
        <v>502.91299545326103</v>
      </c>
      <c r="H175">
        <f t="shared" si="8"/>
        <v>5.9303850714472528E-2</v>
      </c>
      <c r="I175"/>
      <c r="K175" s="38"/>
    </row>
    <row r="176" spans="1:11" x14ac:dyDescent="0.3">
      <c r="A176" s="16">
        <v>174</v>
      </c>
      <c r="B176" s="3">
        <v>45559</v>
      </c>
      <c r="C176" s="40">
        <v>5732.93</v>
      </c>
      <c r="D176" s="46">
        <f t="shared" si="7"/>
        <v>2.5111172898120149E-3</v>
      </c>
      <c r="E176">
        <v>3924.45</v>
      </c>
      <c r="F176">
        <v>7.7845000000000004</v>
      </c>
      <c r="G176" s="43">
        <f t="shared" si="6"/>
        <v>504.13642494701003</v>
      </c>
      <c r="H176">
        <f t="shared" si="8"/>
        <v>2.4326861799353061E-3</v>
      </c>
      <c r="I176"/>
      <c r="K176" s="38"/>
    </row>
    <row r="177" spans="1:11" x14ac:dyDescent="0.3">
      <c r="A177" s="16">
        <v>175</v>
      </c>
      <c r="B177" s="3">
        <v>45560</v>
      </c>
      <c r="C177" s="40">
        <v>5722.26</v>
      </c>
      <c r="D177" s="46">
        <f t="shared" si="7"/>
        <v>-1.8611774432969463E-3</v>
      </c>
      <c r="E177">
        <v>4209.71</v>
      </c>
      <c r="F177">
        <v>7.7845000000000004</v>
      </c>
      <c r="G177" s="43">
        <f t="shared" si="6"/>
        <v>540.78103924465279</v>
      </c>
      <c r="H177">
        <f t="shared" si="8"/>
        <v>7.2687892570933554E-2</v>
      </c>
      <c r="I177"/>
      <c r="K177" s="38"/>
    </row>
    <row r="178" spans="1:11" x14ac:dyDescent="0.3">
      <c r="A178" s="16">
        <v>176</v>
      </c>
      <c r="B178" s="3">
        <v>45561</v>
      </c>
      <c r="C178" s="40">
        <v>5745.37</v>
      </c>
      <c r="D178" s="46">
        <f t="shared" si="7"/>
        <v>4.0386141140038578E-3</v>
      </c>
      <c r="E178">
        <v>4453.24</v>
      </c>
      <c r="F178">
        <v>7.7789000000000001</v>
      </c>
      <c r="G178" s="43">
        <f t="shared" si="6"/>
        <v>572.47682834333898</v>
      </c>
      <c r="H178">
        <f t="shared" si="8"/>
        <v>5.8611132414993605E-2</v>
      </c>
      <c r="I178"/>
      <c r="K178" s="38"/>
    </row>
    <row r="179" spans="1:11" x14ac:dyDescent="0.3">
      <c r="A179" s="16">
        <v>177</v>
      </c>
      <c r="B179" s="3">
        <v>45562</v>
      </c>
      <c r="C179" s="40">
        <v>5738.17</v>
      </c>
      <c r="D179" s="46">
        <f t="shared" si="7"/>
        <v>-1.2531829977877607E-3</v>
      </c>
      <c r="E179">
        <v>4751.8100000000004</v>
      </c>
      <c r="F179">
        <v>7.7721</v>
      </c>
      <c r="G179" s="43">
        <f t="shared" si="6"/>
        <v>611.39331712149874</v>
      </c>
      <c r="H179">
        <f t="shared" si="8"/>
        <v>6.797915103529717E-2</v>
      </c>
      <c r="I179"/>
      <c r="K179" s="38"/>
    </row>
    <row r="180" spans="1:11" x14ac:dyDescent="0.3">
      <c r="A180" s="16">
        <v>178</v>
      </c>
      <c r="B180" s="3">
        <v>45565</v>
      </c>
      <c r="C180" s="40">
        <v>5762.48</v>
      </c>
      <c r="D180" s="46">
        <f t="shared" si="7"/>
        <v>4.2365423122701085E-3</v>
      </c>
      <c r="E180">
        <v>5157.08</v>
      </c>
      <c r="F180">
        <v>7.7727000000000004</v>
      </c>
      <c r="G180" s="43">
        <f t="shared" si="6"/>
        <v>663.48630463030861</v>
      </c>
      <c r="H180">
        <f t="shared" si="8"/>
        <v>8.520372410033672E-2</v>
      </c>
      <c r="I180"/>
      <c r="K180" s="38"/>
    </row>
    <row r="181" spans="1:11" x14ac:dyDescent="0.3">
      <c r="A181" s="16">
        <v>179</v>
      </c>
      <c r="B181" s="3">
        <v>45567</v>
      </c>
      <c r="C181" s="40">
        <v>5709.54</v>
      </c>
      <c r="D181" s="46">
        <f t="shared" si="7"/>
        <v>-9.1870167011425252E-3</v>
      </c>
      <c r="E181">
        <v>4978.6400000000003</v>
      </c>
      <c r="F181">
        <v>7.7625999999999999</v>
      </c>
      <c r="G181" s="43">
        <f t="shared" si="6"/>
        <v>641.36243011362183</v>
      </c>
      <c r="H181">
        <f t="shared" si="8"/>
        <v>-3.3344884984497281E-2</v>
      </c>
      <c r="I181"/>
      <c r="K181" s="38"/>
    </row>
    <row r="182" spans="1:11" x14ac:dyDescent="0.3">
      <c r="A182" s="16">
        <v>180</v>
      </c>
      <c r="B182" s="3">
        <v>45568</v>
      </c>
      <c r="C182" s="40">
        <v>5699.94</v>
      </c>
      <c r="D182" s="46">
        <f t="shared" si="7"/>
        <v>-1.681396399709989E-3</v>
      </c>
      <c r="E182">
        <v>5227.13</v>
      </c>
      <c r="F182">
        <v>7.7637999999999998</v>
      </c>
      <c r="G182" s="43">
        <f t="shared" si="6"/>
        <v>673.26953296066358</v>
      </c>
      <c r="H182">
        <f t="shared" si="8"/>
        <v>4.9748942795712514E-2</v>
      </c>
      <c r="I182"/>
      <c r="K182" s="38"/>
    </row>
    <row r="183" spans="1:11" x14ac:dyDescent="0.3">
      <c r="A183" s="16">
        <v>181</v>
      </c>
      <c r="B183" s="3">
        <v>45569</v>
      </c>
      <c r="C183" s="40">
        <v>5751.07</v>
      </c>
      <c r="D183" s="46">
        <f t="shared" si="7"/>
        <v>8.9702698624898325E-3</v>
      </c>
      <c r="E183">
        <v>5386.48</v>
      </c>
      <c r="F183">
        <v>7.7662000000000004</v>
      </c>
      <c r="G183" s="43">
        <f t="shared" si="6"/>
        <v>693.57987175195069</v>
      </c>
      <c r="H183">
        <f t="shared" si="8"/>
        <v>3.0166727880843736E-2</v>
      </c>
      <c r="I183"/>
      <c r="K183" s="38"/>
    </row>
    <row r="184" spans="1:11" x14ac:dyDescent="0.3">
      <c r="A184" s="16">
        <v>182</v>
      </c>
      <c r="B184" s="3">
        <v>45572</v>
      </c>
      <c r="C184" s="40">
        <v>5695.94</v>
      </c>
      <c r="D184" s="46">
        <f t="shared" si="7"/>
        <v>-9.5860422495291919E-3</v>
      </c>
      <c r="E184">
        <v>4695.8100000000004</v>
      </c>
      <c r="F184">
        <v>7.7656999999999998</v>
      </c>
      <c r="G184" s="43">
        <f t="shared" si="6"/>
        <v>604.68599096024832</v>
      </c>
      <c r="H184">
        <f t="shared" si="8"/>
        <v>-0.12816675398488786</v>
      </c>
      <c r="I184"/>
      <c r="K184" s="38"/>
    </row>
    <row r="185" spans="1:11" x14ac:dyDescent="0.3">
      <c r="A185" s="16">
        <v>183</v>
      </c>
      <c r="B185" s="3">
        <v>45573</v>
      </c>
      <c r="C185" s="40">
        <v>5751.13</v>
      </c>
      <c r="D185" s="46">
        <f t="shared" si="7"/>
        <v>9.68935768284096E-3</v>
      </c>
      <c r="E185">
        <v>4640.75</v>
      </c>
      <c r="F185">
        <v>7.7747999999999999</v>
      </c>
      <c r="G185" s="43">
        <f t="shared" si="6"/>
        <v>596.89638318670575</v>
      </c>
      <c r="H185">
        <f t="shared" si="8"/>
        <v>-1.2882070843368787E-2</v>
      </c>
      <c r="I185"/>
      <c r="K185" s="38"/>
    </row>
    <row r="186" spans="1:11" x14ac:dyDescent="0.3">
      <c r="A186" s="16">
        <v>184</v>
      </c>
      <c r="B186" s="3">
        <v>45574</v>
      </c>
      <c r="C186" s="40">
        <v>5792.04</v>
      </c>
      <c r="D186" s="46">
        <f t="shared" si="7"/>
        <v>7.1133846739683815E-3</v>
      </c>
      <c r="E186">
        <v>4736.1000000000004</v>
      </c>
      <c r="F186">
        <v>7.7708000000000004</v>
      </c>
      <c r="G186" s="43">
        <f t="shared" si="6"/>
        <v>609.47392803829723</v>
      </c>
      <c r="H186">
        <f t="shared" si="8"/>
        <v>2.1071571558940683E-2</v>
      </c>
      <c r="I186"/>
      <c r="K186" s="38"/>
    </row>
    <row r="187" spans="1:11" x14ac:dyDescent="0.3">
      <c r="A187" s="16">
        <v>185</v>
      </c>
      <c r="B187" s="3">
        <v>45575</v>
      </c>
      <c r="C187" s="40">
        <v>5780.05</v>
      </c>
      <c r="D187" s="46">
        <f t="shared" si="7"/>
        <v>-2.0700823889336917E-3</v>
      </c>
      <c r="E187">
        <v>4668.18</v>
      </c>
      <c r="F187">
        <v>7.7698</v>
      </c>
      <c r="G187" s="43">
        <f t="shared" si="6"/>
        <v>600.81083168163923</v>
      </c>
      <c r="H187">
        <f t="shared" si="8"/>
        <v>-1.4214055693147931E-2</v>
      </c>
      <c r="I187"/>
      <c r="K187" s="38"/>
    </row>
    <row r="188" spans="1:11" x14ac:dyDescent="0.3">
      <c r="A188" s="16">
        <v>186</v>
      </c>
      <c r="B188" s="3">
        <v>45579</v>
      </c>
      <c r="C188" s="40">
        <v>5859.85</v>
      </c>
      <c r="D188" s="46">
        <f t="shared" si="7"/>
        <v>1.3806108943694273E-2</v>
      </c>
      <c r="E188">
        <v>4450.95</v>
      </c>
      <c r="F188">
        <v>7.7638999999999996</v>
      </c>
      <c r="G188" s="43">
        <f t="shared" si="6"/>
        <v>573.28790942696321</v>
      </c>
      <c r="H188">
        <f t="shared" si="8"/>
        <v>-4.5809630591447159E-2</v>
      </c>
      <c r="I188"/>
      <c r="K188" s="38"/>
    </row>
    <row r="189" spans="1:11" x14ac:dyDescent="0.3">
      <c r="A189" s="16">
        <v>187</v>
      </c>
      <c r="B189" s="3">
        <v>45580</v>
      </c>
      <c r="C189" s="40">
        <v>5815.26</v>
      </c>
      <c r="D189" s="46">
        <f t="shared" si="7"/>
        <v>-7.6094097971791674E-3</v>
      </c>
      <c r="E189">
        <v>4402.37</v>
      </c>
      <c r="F189">
        <v>7.7671999999999999</v>
      </c>
      <c r="G189" s="43">
        <f t="shared" si="6"/>
        <v>566.78983417447728</v>
      </c>
      <c r="H189">
        <f t="shared" si="8"/>
        <v>-1.1334750211252742E-2</v>
      </c>
      <c r="I189"/>
      <c r="K189" s="38"/>
    </row>
    <row r="190" spans="1:11" x14ac:dyDescent="0.3">
      <c r="A190" s="16">
        <v>188</v>
      </c>
      <c r="B190" s="3">
        <v>45581</v>
      </c>
      <c r="C190" s="40">
        <v>5842.47</v>
      </c>
      <c r="D190" s="46">
        <f t="shared" si="7"/>
        <v>4.6790685197222182E-3</v>
      </c>
      <c r="E190">
        <v>4349.7700000000004</v>
      </c>
      <c r="F190">
        <v>7.7705000000000002</v>
      </c>
      <c r="G190" s="43">
        <f t="shared" si="6"/>
        <v>559.77993694099484</v>
      </c>
      <c r="H190">
        <f t="shared" si="8"/>
        <v>-1.2367718704221708E-2</v>
      </c>
      <c r="I190"/>
      <c r="K190" s="38"/>
    </row>
    <row r="191" spans="1:11" x14ac:dyDescent="0.3">
      <c r="A191" s="16">
        <v>189</v>
      </c>
      <c r="B191" s="3">
        <v>45582</v>
      </c>
      <c r="C191" s="40">
        <v>5841.47</v>
      </c>
      <c r="D191" s="46">
        <f t="shared" si="7"/>
        <v>-1.7116048520571248E-4</v>
      </c>
      <c r="E191">
        <v>4600.8500000000004</v>
      </c>
      <c r="F191">
        <v>7.7736000000000001</v>
      </c>
      <c r="G191" s="43">
        <f t="shared" si="6"/>
        <v>591.85576824122677</v>
      </c>
      <c r="H191">
        <f t="shared" si="8"/>
        <v>5.7300787655083507E-2</v>
      </c>
      <c r="I191"/>
      <c r="K191" s="38"/>
    </row>
    <row r="192" spans="1:11" x14ac:dyDescent="0.3">
      <c r="A192" s="16">
        <v>190</v>
      </c>
      <c r="B192" s="3">
        <v>45583</v>
      </c>
      <c r="C192" s="40">
        <v>5864.67</v>
      </c>
      <c r="D192" s="46">
        <f t="shared" si="7"/>
        <v>3.9716030382763723E-3</v>
      </c>
      <c r="E192">
        <v>4491.8999999999996</v>
      </c>
      <c r="F192">
        <v>7.77</v>
      </c>
      <c r="G192" s="43">
        <f t="shared" si="6"/>
        <v>578.10810810810813</v>
      </c>
      <c r="H192">
        <f t="shared" si="8"/>
        <v>-2.3228058035104637E-2</v>
      </c>
      <c r="I192"/>
      <c r="K192" s="38"/>
    </row>
    <row r="193" spans="1:11" x14ac:dyDescent="0.3">
      <c r="A193" s="16">
        <v>191</v>
      </c>
      <c r="B193" s="3">
        <v>45586</v>
      </c>
      <c r="C193" s="40">
        <v>5853.98</v>
      </c>
      <c r="D193" s="46">
        <f t="shared" si="7"/>
        <v>-1.8227794573267841E-3</v>
      </c>
      <c r="E193">
        <v>4521.63</v>
      </c>
      <c r="F193">
        <v>7.7728999999999999</v>
      </c>
      <c r="G193" s="43">
        <f t="shared" si="6"/>
        <v>581.71724838863236</v>
      </c>
      <c r="H193">
        <f t="shared" si="8"/>
        <v>6.2430196530807169E-3</v>
      </c>
      <c r="I193"/>
      <c r="K193" s="38"/>
    </row>
    <row r="194" spans="1:11" x14ac:dyDescent="0.3">
      <c r="A194" s="16">
        <v>192</v>
      </c>
      <c r="B194" s="3">
        <v>45587</v>
      </c>
      <c r="C194" s="40">
        <v>5851.2</v>
      </c>
      <c r="D194" s="46">
        <f t="shared" si="7"/>
        <v>-4.7489058725858069E-4</v>
      </c>
      <c r="E194">
        <v>4605.62</v>
      </c>
      <c r="F194">
        <v>7.7721</v>
      </c>
      <c r="G194" s="43">
        <f t="shared" si="6"/>
        <v>592.58372897929769</v>
      </c>
      <c r="H194">
        <f t="shared" si="8"/>
        <v>1.8680004109841386E-2</v>
      </c>
      <c r="I194"/>
      <c r="K194" s="38"/>
    </row>
    <row r="195" spans="1:11" x14ac:dyDescent="0.3">
      <c r="A195" s="16">
        <v>193</v>
      </c>
      <c r="B195" s="3">
        <v>45588</v>
      </c>
      <c r="C195" s="40">
        <v>5797.42</v>
      </c>
      <c r="D195" s="46">
        <f t="shared" si="7"/>
        <v>-9.1912770030079249E-3</v>
      </c>
      <c r="E195">
        <v>4483.99</v>
      </c>
      <c r="F195">
        <v>7.7686000000000002</v>
      </c>
      <c r="G195" s="43">
        <f t="shared" ref="G195:G258" si="9">E195/F195</f>
        <v>577.19408902504949</v>
      </c>
      <c r="H195">
        <f t="shared" si="8"/>
        <v>-2.5970405871177493E-2</v>
      </c>
      <c r="I195"/>
      <c r="K195" s="38"/>
    </row>
    <row r="196" spans="1:11" x14ac:dyDescent="0.3">
      <c r="A196" s="16">
        <v>194</v>
      </c>
      <c r="B196" s="3">
        <v>45589</v>
      </c>
      <c r="C196" s="40">
        <v>5809.86</v>
      </c>
      <c r="D196" s="46">
        <f t="shared" ref="D196:D259" si="10">$C196/$C195-1</f>
        <v>2.1457820892740731E-3</v>
      </c>
      <c r="E196">
        <v>4538.03</v>
      </c>
      <c r="F196">
        <v>7.7701000000000002</v>
      </c>
      <c r="G196" s="43">
        <f t="shared" si="9"/>
        <v>584.037528474537</v>
      </c>
      <c r="H196">
        <f t="shared" ref="H196:H259" si="11">$G196/$G195-1</f>
        <v>1.1856392121144088E-2</v>
      </c>
      <c r="I196"/>
      <c r="K196" s="38"/>
    </row>
    <row r="197" spans="1:11" x14ac:dyDescent="0.3">
      <c r="A197" s="16">
        <v>195</v>
      </c>
      <c r="B197" s="3">
        <v>45590</v>
      </c>
      <c r="C197" s="40">
        <v>5808.12</v>
      </c>
      <c r="D197" s="46">
        <f t="shared" si="10"/>
        <v>-2.994908655286066E-4</v>
      </c>
      <c r="E197">
        <v>4574.07</v>
      </c>
      <c r="F197">
        <v>7.7701000000000002</v>
      </c>
      <c r="G197" s="43">
        <f t="shared" si="9"/>
        <v>588.67582141799971</v>
      </c>
      <c r="H197">
        <f t="shared" si="11"/>
        <v>7.941772090532595E-3</v>
      </c>
      <c r="I197"/>
      <c r="K197" s="38"/>
    </row>
    <row r="198" spans="1:11" x14ac:dyDescent="0.3">
      <c r="A198" s="16">
        <v>196</v>
      </c>
      <c r="B198" s="3">
        <v>45593</v>
      </c>
      <c r="C198" s="40">
        <v>5823.52</v>
      </c>
      <c r="D198" s="46">
        <f t="shared" si="10"/>
        <v>2.6514603692762151E-3</v>
      </c>
      <c r="E198">
        <v>4623.84</v>
      </c>
      <c r="F198">
        <v>7.7713999999999999</v>
      </c>
      <c r="G198" s="43">
        <f t="shared" si="9"/>
        <v>594.98159919705586</v>
      </c>
      <c r="H198">
        <f t="shared" si="11"/>
        <v>1.0711800195677856E-2</v>
      </c>
      <c r="I198"/>
      <c r="K198" s="38"/>
    </row>
    <row r="199" spans="1:11" x14ac:dyDescent="0.3">
      <c r="A199" s="16">
        <v>197</v>
      </c>
      <c r="B199" s="3">
        <v>45594</v>
      </c>
      <c r="C199" s="40">
        <v>5832.92</v>
      </c>
      <c r="D199" s="46">
        <f t="shared" si="10"/>
        <v>1.6141440228589765E-3</v>
      </c>
      <c r="E199">
        <v>4513.68</v>
      </c>
      <c r="F199">
        <v>7.7709999999999999</v>
      </c>
      <c r="G199" s="43">
        <f t="shared" si="9"/>
        <v>580.8364431862052</v>
      </c>
      <c r="H199">
        <f t="shared" si="11"/>
        <v>-2.3774106678155937E-2</v>
      </c>
      <c r="I199"/>
      <c r="K199" s="38"/>
    </row>
    <row r="200" spans="1:11" x14ac:dyDescent="0.3">
      <c r="A200" s="16">
        <v>198</v>
      </c>
      <c r="B200" s="3">
        <v>45595</v>
      </c>
      <c r="C200" s="40">
        <v>5813.67</v>
      </c>
      <c r="D200" s="46">
        <f t="shared" si="10"/>
        <v>-3.3002338451409985E-3</v>
      </c>
      <c r="E200">
        <v>4499.1499999999996</v>
      </c>
      <c r="F200">
        <v>7.7718999999999996</v>
      </c>
      <c r="G200" s="43">
        <f t="shared" si="9"/>
        <v>578.89962557418391</v>
      </c>
      <c r="H200">
        <f t="shared" si="11"/>
        <v>-3.3345318372187682E-3</v>
      </c>
      <c r="I200"/>
      <c r="K200" s="38"/>
    </row>
    <row r="201" spans="1:11" x14ac:dyDescent="0.3">
      <c r="A201" s="16">
        <v>199</v>
      </c>
      <c r="B201" s="3">
        <v>45596</v>
      </c>
      <c r="C201" s="40">
        <v>5705.45</v>
      </c>
      <c r="D201" s="46">
        <f t="shared" si="10"/>
        <v>-1.8614747655095742E-2</v>
      </c>
      <c r="E201">
        <v>4483.91</v>
      </c>
      <c r="F201">
        <v>7.7728999999999999</v>
      </c>
      <c r="G201" s="43">
        <f t="shared" si="9"/>
        <v>576.86449073061533</v>
      </c>
      <c r="H201">
        <f t="shared" si="11"/>
        <v>-3.515522818917094E-3</v>
      </c>
      <c r="I201"/>
      <c r="K201" s="38"/>
    </row>
    <row r="202" spans="1:11" x14ac:dyDescent="0.3">
      <c r="A202" s="16">
        <v>200</v>
      </c>
      <c r="B202" s="3">
        <v>45597</v>
      </c>
      <c r="C202" s="40">
        <v>5728.8</v>
      </c>
      <c r="D202" s="46">
        <f t="shared" si="10"/>
        <v>4.0925781489629109E-3</v>
      </c>
      <c r="E202">
        <v>4532.18</v>
      </c>
      <c r="F202">
        <v>7.7769000000000004</v>
      </c>
      <c r="G202" s="43">
        <f t="shared" si="9"/>
        <v>582.7746274222377</v>
      </c>
      <c r="H202">
        <f t="shared" si="11"/>
        <v>1.0245277333914338E-2</v>
      </c>
      <c r="I202"/>
      <c r="K202" s="38"/>
    </row>
    <row r="203" spans="1:11" x14ac:dyDescent="0.3">
      <c r="A203" s="16">
        <v>201</v>
      </c>
      <c r="B203" s="3">
        <v>45600</v>
      </c>
      <c r="C203" s="40">
        <v>5712.69</v>
      </c>
      <c r="D203" s="46">
        <f t="shared" si="10"/>
        <v>-2.8121072475911779E-3</v>
      </c>
      <c r="E203">
        <v>4693.8500000000004</v>
      </c>
      <c r="F203">
        <v>7.7721</v>
      </c>
      <c r="G203" s="43">
        <f t="shared" si="9"/>
        <v>603.93587318742686</v>
      </c>
      <c r="H203">
        <f t="shared" si="11"/>
        <v>3.6311199509132308E-2</v>
      </c>
      <c r="I203"/>
      <c r="K203" s="38"/>
    </row>
    <row r="204" spans="1:11" x14ac:dyDescent="0.3">
      <c r="A204" s="16">
        <v>202</v>
      </c>
      <c r="B204" s="3">
        <v>45601</v>
      </c>
      <c r="C204" s="40">
        <v>5782.76</v>
      </c>
      <c r="D204" s="46">
        <f t="shared" si="10"/>
        <v>1.2265675189796932E-2</v>
      </c>
      <c r="E204">
        <v>4574.5</v>
      </c>
      <c r="F204">
        <v>7.7727000000000004</v>
      </c>
      <c r="G204" s="43">
        <f t="shared" si="9"/>
        <v>588.53422877507171</v>
      </c>
      <c r="H204">
        <f t="shared" si="11"/>
        <v>-2.5502118844288879E-2</v>
      </c>
      <c r="I204"/>
      <c r="K204" s="38"/>
    </row>
    <row r="205" spans="1:11" x14ac:dyDescent="0.3">
      <c r="A205" s="16">
        <v>203</v>
      </c>
      <c r="B205" s="3">
        <v>45602</v>
      </c>
      <c r="C205" s="40">
        <v>5929.04</v>
      </c>
      <c r="D205" s="46">
        <f t="shared" si="10"/>
        <v>2.5295879476236127E-2</v>
      </c>
      <c r="E205">
        <v>4677.6400000000003</v>
      </c>
      <c r="F205">
        <v>7.7759</v>
      </c>
      <c r="G205" s="43">
        <f t="shared" si="9"/>
        <v>601.55608997029287</v>
      </c>
      <c r="H205">
        <f t="shared" si="11"/>
        <v>2.2125919884598444E-2</v>
      </c>
      <c r="I205"/>
      <c r="K205" s="38"/>
    </row>
    <row r="206" spans="1:11" x14ac:dyDescent="0.3">
      <c r="A206" s="16">
        <v>204</v>
      </c>
      <c r="B206" s="3">
        <v>45603</v>
      </c>
      <c r="C206" s="40">
        <v>5973.1</v>
      </c>
      <c r="D206" s="46">
        <f t="shared" si="10"/>
        <v>7.4312198939459062E-3</v>
      </c>
      <c r="E206">
        <v>4668.26</v>
      </c>
      <c r="F206">
        <v>7.7706</v>
      </c>
      <c r="G206" s="43">
        <f t="shared" si="9"/>
        <v>600.75927212827844</v>
      </c>
      <c r="H206">
        <f t="shared" si="11"/>
        <v>-1.3245944231963236E-3</v>
      </c>
      <c r="I206"/>
      <c r="K206" s="38"/>
    </row>
    <row r="207" spans="1:11" x14ac:dyDescent="0.3">
      <c r="A207" s="16">
        <v>205</v>
      </c>
      <c r="B207" s="3">
        <v>45604</v>
      </c>
      <c r="C207" s="40">
        <v>5995.54</v>
      </c>
      <c r="D207" s="46">
        <f t="shared" si="10"/>
        <v>3.7568431802581514E-3</v>
      </c>
      <c r="E207">
        <v>4651.71</v>
      </c>
      <c r="F207">
        <v>7.7744999999999997</v>
      </c>
      <c r="G207" s="43">
        <f t="shared" si="9"/>
        <v>598.32915300019295</v>
      </c>
      <c r="H207">
        <f t="shared" si="11"/>
        <v>-4.0450796863715777E-3</v>
      </c>
      <c r="I207"/>
      <c r="K207" s="38"/>
    </row>
    <row r="208" spans="1:11" x14ac:dyDescent="0.3">
      <c r="A208" s="16">
        <v>206</v>
      </c>
      <c r="B208" s="3">
        <v>45607</v>
      </c>
      <c r="C208" s="40">
        <v>6001.35</v>
      </c>
      <c r="D208" s="46">
        <f t="shared" si="10"/>
        <v>9.6905366322297404E-4</v>
      </c>
      <c r="E208">
        <v>4456.8599999999997</v>
      </c>
      <c r="F208">
        <v>7.7755999999999998</v>
      </c>
      <c r="G208" s="43">
        <f t="shared" si="9"/>
        <v>573.18534904058845</v>
      </c>
      <c r="H208">
        <f t="shared" si="11"/>
        <v>-4.2023364286239984E-2</v>
      </c>
      <c r="I208"/>
      <c r="K208" s="38"/>
    </row>
    <row r="209" spans="1:11" x14ac:dyDescent="0.3">
      <c r="A209" s="16">
        <v>207</v>
      </c>
      <c r="B209" s="3">
        <v>45608</v>
      </c>
      <c r="C209" s="40">
        <v>5983.99</v>
      </c>
      <c r="D209" s="46">
        <f t="shared" si="10"/>
        <v>-2.8926824797754769E-3</v>
      </c>
      <c r="E209">
        <v>4455.67</v>
      </c>
      <c r="F209">
        <v>7.7778999999999998</v>
      </c>
      <c r="G209" s="43">
        <f t="shared" si="9"/>
        <v>572.86285501227837</v>
      </c>
      <c r="H209">
        <f t="shared" si="11"/>
        <v>-5.6263480713503178E-4</v>
      </c>
      <c r="I209"/>
      <c r="K209" s="38"/>
    </row>
    <row r="210" spans="1:11" x14ac:dyDescent="0.3">
      <c r="A210" s="16">
        <v>208</v>
      </c>
      <c r="B210" s="3">
        <v>45609</v>
      </c>
      <c r="C210" s="40">
        <v>5985.38</v>
      </c>
      <c r="D210" s="46">
        <f t="shared" si="10"/>
        <v>2.3228648443596178E-4</v>
      </c>
      <c r="E210">
        <v>4318.32</v>
      </c>
      <c r="F210">
        <v>7.7805999999999997</v>
      </c>
      <c r="G210" s="43">
        <f t="shared" si="9"/>
        <v>555.01118165694163</v>
      </c>
      <c r="H210">
        <f t="shared" si="11"/>
        <v>-3.1162211337570689E-2</v>
      </c>
      <c r="I210"/>
      <c r="K210" s="38"/>
    </row>
    <row r="211" spans="1:11" x14ac:dyDescent="0.3">
      <c r="A211" s="16">
        <v>209</v>
      </c>
      <c r="B211" s="3">
        <v>45610</v>
      </c>
      <c r="C211" s="40">
        <v>5949.17</v>
      </c>
      <c r="D211" s="46">
        <f t="shared" si="10"/>
        <v>-6.0497412027306074E-3</v>
      </c>
      <c r="E211">
        <v>4327.84</v>
      </c>
      <c r="F211">
        <v>7.7812000000000001</v>
      </c>
      <c r="G211" s="43">
        <f t="shared" si="9"/>
        <v>556.19184701588449</v>
      </c>
      <c r="H211">
        <f t="shared" si="11"/>
        <v>2.1272821124398433E-3</v>
      </c>
      <c r="I211"/>
      <c r="K211" s="38"/>
    </row>
    <row r="212" spans="1:11" x14ac:dyDescent="0.3">
      <c r="A212" s="16">
        <v>210</v>
      </c>
      <c r="B212" s="3">
        <v>45611</v>
      </c>
      <c r="C212" s="40">
        <v>5870.62</v>
      </c>
      <c r="D212" s="46">
        <f t="shared" si="10"/>
        <v>-1.3203522508181798E-2</v>
      </c>
      <c r="E212">
        <v>4341.53</v>
      </c>
      <c r="F212">
        <v>7.7850999999999999</v>
      </c>
      <c r="G212" s="43">
        <f t="shared" si="9"/>
        <v>557.67170620801267</v>
      </c>
      <c r="H212">
        <f t="shared" si="11"/>
        <v>2.6606991815287806E-3</v>
      </c>
      <c r="I212"/>
      <c r="K212" s="38"/>
    </row>
    <row r="213" spans="1:11" x14ac:dyDescent="0.3">
      <c r="A213" s="16">
        <v>211</v>
      </c>
      <c r="B213" s="3">
        <v>45614</v>
      </c>
      <c r="C213" s="40">
        <v>5893.62</v>
      </c>
      <c r="D213" s="46">
        <f t="shared" si="10"/>
        <v>3.9178144727474162E-3</v>
      </c>
      <c r="E213">
        <v>4395.04</v>
      </c>
      <c r="F213">
        <v>7.7835999999999999</v>
      </c>
      <c r="G213" s="43">
        <f t="shared" si="9"/>
        <v>564.65388766123647</v>
      </c>
      <c r="H213">
        <f t="shared" si="11"/>
        <v>1.2520236145205255E-2</v>
      </c>
      <c r="I213"/>
      <c r="K213" s="38"/>
    </row>
    <row r="214" spans="1:11" x14ac:dyDescent="0.3">
      <c r="A214" s="16">
        <v>212</v>
      </c>
      <c r="B214" s="3">
        <v>45615</v>
      </c>
      <c r="C214" s="40">
        <v>5916.98</v>
      </c>
      <c r="D214" s="46">
        <f t="shared" si="10"/>
        <v>3.9636081050355987E-3</v>
      </c>
      <c r="E214">
        <v>4413.08</v>
      </c>
      <c r="F214">
        <v>7.7831000000000001</v>
      </c>
      <c r="G214" s="43">
        <f t="shared" si="9"/>
        <v>567.00800452261956</v>
      </c>
      <c r="H214">
        <f t="shared" si="11"/>
        <v>4.1691324771244709E-3</v>
      </c>
      <c r="I214"/>
      <c r="K214" s="38"/>
    </row>
    <row r="215" spans="1:11" x14ac:dyDescent="0.3">
      <c r="A215" s="16">
        <v>213</v>
      </c>
      <c r="B215" s="3">
        <v>45616</v>
      </c>
      <c r="C215" s="40">
        <v>5917.11</v>
      </c>
      <c r="D215" s="46">
        <f t="shared" si="10"/>
        <v>2.1970667468895755E-5</v>
      </c>
      <c r="E215">
        <v>4358.1499999999996</v>
      </c>
      <c r="F215">
        <v>7.7835000000000001</v>
      </c>
      <c r="G215" s="43">
        <f t="shared" si="9"/>
        <v>559.92162908717148</v>
      </c>
      <c r="H215">
        <f t="shared" si="11"/>
        <v>-1.2497840204944377E-2</v>
      </c>
      <c r="I215"/>
      <c r="K215" s="38"/>
    </row>
    <row r="216" spans="1:11" x14ac:dyDescent="0.3">
      <c r="A216" s="16">
        <v>214</v>
      </c>
      <c r="B216" s="3">
        <v>45617</v>
      </c>
      <c r="C216" s="40">
        <v>5948.71</v>
      </c>
      <c r="D216" s="46">
        <f t="shared" si="10"/>
        <v>5.3404449131417842E-3</v>
      </c>
      <c r="E216">
        <v>4246.2</v>
      </c>
      <c r="F216">
        <v>7.7826000000000004</v>
      </c>
      <c r="G216" s="43">
        <f t="shared" si="9"/>
        <v>545.60172692930382</v>
      </c>
      <c r="H216">
        <f t="shared" si="11"/>
        <v>-2.5574833001563269E-2</v>
      </c>
      <c r="I216"/>
      <c r="K216" s="38"/>
    </row>
    <row r="217" spans="1:11" x14ac:dyDescent="0.3">
      <c r="A217" s="16">
        <v>215</v>
      </c>
      <c r="B217" s="3">
        <v>45618</v>
      </c>
      <c r="C217" s="40">
        <v>5969.34</v>
      </c>
      <c r="D217" s="46">
        <f t="shared" si="10"/>
        <v>3.4679787718681077E-3</v>
      </c>
      <c r="E217">
        <v>4235.3100000000004</v>
      </c>
      <c r="F217">
        <v>7.7840999999999996</v>
      </c>
      <c r="G217" s="43">
        <f t="shared" si="9"/>
        <v>544.09758353566895</v>
      </c>
      <c r="H217">
        <f t="shared" si="11"/>
        <v>-2.7568523327452521E-3</v>
      </c>
      <c r="I217"/>
      <c r="K217" s="38"/>
    </row>
    <row r="218" spans="1:11" x14ac:dyDescent="0.3">
      <c r="A218" s="16">
        <v>216</v>
      </c>
      <c r="B218" s="3">
        <v>45621</v>
      </c>
      <c r="C218" s="40">
        <v>5987.37</v>
      </c>
      <c r="D218" s="46">
        <f t="shared" si="10"/>
        <v>3.0204344198856425E-3</v>
      </c>
      <c r="E218">
        <v>4221.99</v>
      </c>
      <c r="F218">
        <v>7.7821999999999996</v>
      </c>
      <c r="G218" s="43">
        <f t="shared" si="9"/>
        <v>542.51882501092234</v>
      </c>
      <c r="H218">
        <f t="shared" si="11"/>
        <v>-2.9016091460790649E-3</v>
      </c>
      <c r="I218"/>
      <c r="K218" s="38"/>
    </row>
    <row r="219" spans="1:11" x14ac:dyDescent="0.3">
      <c r="A219" s="16">
        <v>217</v>
      </c>
      <c r="B219" s="3">
        <v>45622</v>
      </c>
      <c r="C219" s="40">
        <v>6021.63</v>
      </c>
      <c r="D219" s="46">
        <f t="shared" si="10"/>
        <v>5.722044904524104E-3</v>
      </c>
      <c r="E219">
        <v>4374.4399999999996</v>
      </c>
      <c r="F219">
        <v>7.7828999999999997</v>
      </c>
      <c r="G219" s="43">
        <f t="shared" si="9"/>
        <v>562.05784476223516</v>
      </c>
      <c r="H219">
        <f t="shared" si="11"/>
        <v>3.6015376518813813E-2</v>
      </c>
      <c r="I219"/>
      <c r="K219" s="38"/>
    </row>
    <row r="220" spans="1:11" x14ac:dyDescent="0.3">
      <c r="A220" s="16">
        <v>218</v>
      </c>
      <c r="B220" s="3">
        <v>45623</v>
      </c>
      <c r="C220" s="40">
        <v>5998.74</v>
      </c>
      <c r="D220" s="46">
        <f t="shared" si="10"/>
        <v>-3.8012963267421984E-3</v>
      </c>
      <c r="E220">
        <v>4353.55</v>
      </c>
      <c r="F220">
        <v>7.7816000000000001</v>
      </c>
      <c r="G220" s="43">
        <f t="shared" si="9"/>
        <v>559.46720468798196</v>
      </c>
      <c r="H220">
        <f t="shared" si="11"/>
        <v>-4.6092054374743396E-3</v>
      </c>
      <c r="I220"/>
      <c r="K220" s="38"/>
    </row>
    <row r="221" spans="1:11" x14ac:dyDescent="0.3">
      <c r="A221" s="16">
        <v>219</v>
      </c>
      <c r="B221" s="3">
        <v>45625</v>
      </c>
      <c r="C221" s="40">
        <v>6032.38</v>
      </c>
      <c r="D221" s="46">
        <f t="shared" si="10"/>
        <v>5.6078443139726541E-3</v>
      </c>
      <c r="E221">
        <v>4405.95</v>
      </c>
      <c r="F221">
        <v>7.7817999999999996</v>
      </c>
      <c r="G221" s="43">
        <f t="shared" si="9"/>
        <v>566.1864864170243</v>
      </c>
      <c r="H221">
        <f t="shared" si="11"/>
        <v>1.2010144066960438E-2</v>
      </c>
      <c r="I221"/>
      <c r="K221" s="38"/>
    </row>
    <row r="222" spans="1:11" x14ac:dyDescent="0.3">
      <c r="A222" s="16">
        <v>220</v>
      </c>
      <c r="B222" s="3">
        <v>45628</v>
      </c>
      <c r="C222" s="40">
        <v>6047.15</v>
      </c>
      <c r="D222" s="46">
        <f t="shared" si="10"/>
        <v>2.4484531809998433E-3</v>
      </c>
      <c r="E222">
        <v>4417.99</v>
      </c>
      <c r="F222">
        <v>7.7815000000000003</v>
      </c>
      <c r="G222" s="43">
        <f t="shared" si="9"/>
        <v>567.75557411810053</v>
      </c>
      <c r="H222">
        <f t="shared" si="11"/>
        <v>2.7713266542368498E-3</v>
      </c>
      <c r="I222"/>
      <c r="K222" s="38"/>
    </row>
    <row r="223" spans="1:11" x14ac:dyDescent="0.3">
      <c r="A223" s="16">
        <v>221</v>
      </c>
      <c r="B223" s="3">
        <v>45629</v>
      </c>
      <c r="C223" s="40">
        <v>6049.88</v>
      </c>
      <c r="D223" s="46">
        <f t="shared" si="10"/>
        <v>4.5145233705135013E-4</v>
      </c>
      <c r="E223">
        <v>4404.04</v>
      </c>
      <c r="F223">
        <v>7.7827000000000002</v>
      </c>
      <c r="G223" s="43">
        <f t="shared" si="9"/>
        <v>565.87559587289752</v>
      </c>
      <c r="H223">
        <f t="shared" si="11"/>
        <v>-3.3112457735411382E-3</v>
      </c>
      <c r="I223"/>
      <c r="K223" s="38"/>
    </row>
    <row r="224" spans="1:11" x14ac:dyDescent="0.3">
      <c r="A224" s="16">
        <v>222</v>
      </c>
      <c r="B224" s="3">
        <v>45630</v>
      </c>
      <c r="C224" s="40">
        <v>6086.49</v>
      </c>
      <c r="D224" s="46">
        <f t="shared" si="10"/>
        <v>6.0513596963907013E-3</v>
      </c>
      <c r="E224">
        <v>4370.22</v>
      </c>
      <c r="F224">
        <v>7.7843999999999998</v>
      </c>
      <c r="G224" s="43">
        <f t="shared" si="9"/>
        <v>561.40743024510562</v>
      </c>
      <c r="H224">
        <f t="shared" si="11"/>
        <v>-7.8960210696125133E-3</v>
      </c>
      <c r="I224"/>
      <c r="K224" s="38"/>
    </row>
    <row r="225" spans="1:11" x14ac:dyDescent="0.3">
      <c r="A225" s="16">
        <v>223</v>
      </c>
      <c r="B225" s="3">
        <v>45631</v>
      </c>
      <c r="C225" s="40">
        <v>6075.11</v>
      </c>
      <c r="D225" s="46">
        <f t="shared" si="10"/>
        <v>-1.8697147288503357E-3</v>
      </c>
      <c r="E225">
        <v>4464.6499999999996</v>
      </c>
      <c r="F225">
        <v>7.7820999999999998</v>
      </c>
      <c r="G225" s="43">
        <f t="shared" si="9"/>
        <v>573.70761105614167</v>
      </c>
      <c r="H225">
        <f t="shared" si="11"/>
        <v>2.1909544028773986E-2</v>
      </c>
      <c r="I225"/>
      <c r="K225" s="38"/>
    </row>
    <row r="226" spans="1:11" x14ac:dyDescent="0.3">
      <c r="A226" s="16">
        <v>224</v>
      </c>
      <c r="B226" s="3">
        <v>45632</v>
      </c>
      <c r="C226" s="40">
        <v>6090.27</v>
      </c>
      <c r="D226" s="46">
        <f t="shared" si="10"/>
        <v>2.4954280663231909E-3</v>
      </c>
      <c r="E226">
        <v>4656.8</v>
      </c>
      <c r="F226">
        <v>7.7790999999999997</v>
      </c>
      <c r="G226" s="43">
        <f t="shared" si="9"/>
        <v>598.62966152896865</v>
      </c>
      <c r="H226">
        <f t="shared" si="11"/>
        <v>4.3440334401260383E-2</v>
      </c>
      <c r="I226"/>
      <c r="K226" s="38"/>
    </row>
    <row r="227" spans="1:11" x14ac:dyDescent="0.3">
      <c r="A227" s="16">
        <v>225</v>
      </c>
      <c r="B227" s="3">
        <v>45635</v>
      </c>
      <c r="C227" s="40">
        <v>6052.85</v>
      </c>
      <c r="D227" s="46">
        <f t="shared" si="10"/>
        <v>-6.1442267748391677E-3</v>
      </c>
      <c r="E227">
        <v>4591.9399999999996</v>
      </c>
      <c r="F227">
        <v>7.7742000000000004</v>
      </c>
      <c r="G227" s="43">
        <f t="shared" si="9"/>
        <v>590.66399115021477</v>
      </c>
      <c r="H227">
        <f t="shared" si="11"/>
        <v>-1.3306507997630224E-2</v>
      </c>
      <c r="I227"/>
      <c r="K227" s="38"/>
    </row>
    <row r="228" spans="1:11" x14ac:dyDescent="0.3">
      <c r="A228" s="16">
        <v>226</v>
      </c>
      <c r="B228" s="3">
        <v>45636</v>
      </c>
      <c r="C228" s="40">
        <v>6034.91</v>
      </c>
      <c r="D228" s="46">
        <f t="shared" si="10"/>
        <v>-2.9638930421207466E-3</v>
      </c>
      <c r="E228">
        <v>4531.58</v>
      </c>
      <c r="F228">
        <v>7.7740999999999998</v>
      </c>
      <c r="G228" s="43">
        <f t="shared" si="9"/>
        <v>582.90734618798319</v>
      </c>
      <c r="H228">
        <f t="shared" si="11"/>
        <v>-1.3132076914197599E-2</v>
      </c>
      <c r="I228"/>
      <c r="K228" s="38"/>
    </row>
    <row r="229" spans="1:11" x14ac:dyDescent="0.3">
      <c r="A229" s="16">
        <v>227</v>
      </c>
      <c r="B229" s="3">
        <v>45637</v>
      </c>
      <c r="C229" s="40">
        <v>6084.19</v>
      </c>
      <c r="D229" s="46">
        <f t="shared" si="10"/>
        <v>8.1658218598121834E-3</v>
      </c>
      <c r="E229">
        <v>4600.82</v>
      </c>
      <c r="F229">
        <v>7.7746000000000004</v>
      </c>
      <c r="G229" s="43">
        <f t="shared" si="9"/>
        <v>591.77578267692218</v>
      </c>
      <c r="H229">
        <f t="shared" si="11"/>
        <v>1.5214144318021594E-2</v>
      </c>
      <c r="I229"/>
      <c r="K229" s="38"/>
    </row>
    <row r="230" spans="1:11" x14ac:dyDescent="0.3">
      <c r="A230" s="16">
        <v>228</v>
      </c>
      <c r="B230" s="3">
        <v>45638</v>
      </c>
      <c r="C230" s="40">
        <v>6051.25</v>
      </c>
      <c r="D230" s="46">
        <f t="shared" si="10"/>
        <v>-5.4140321061636465E-3</v>
      </c>
      <c r="E230">
        <v>4479.6000000000004</v>
      </c>
      <c r="F230">
        <v>7.7746000000000004</v>
      </c>
      <c r="G230" s="43">
        <f t="shared" si="9"/>
        <v>576.18398374192884</v>
      </c>
      <c r="H230">
        <f t="shared" si="11"/>
        <v>-2.6347477188848778E-2</v>
      </c>
      <c r="I230"/>
      <c r="K230" s="38"/>
    </row>
    <row r="231" spans="1:11" x14ac:dyDescent="0.3">
      <c r="A231" s="16">
        <v>229</v>
      </c>
      <c r="B231" s="3">
        <v>45639</v>
      </c>
      <c r="C231" s="40">
        <v>6051.09</v>
      </c>
      <c r="D231" s="46">
        <f t="shared" si="10"/>
        <v>-2.6440818012729572E-5</v>
      </c>
      <c r="E231">
        <v>4414.7</v>
      </c>
      <c r="F231">
        <v>7.7751000000000001</v>
      </c>
      <c r="G231" s="43">
        <f t="shared" si="9"/>
        <v>567.79977106403771</v>
      </c>
      <c r="H231">
        <f t="shared" si="11"/>
        <v>-1.4551276874170127E-2</v>
      </c>
      <c r="I231"/>
      <c r="K231" s="38"/>
    </row>
    <row r="232" spans="1:11" x14ac:dyDescent="0.3">
      <c r="A232" s="16">
        <v>230</v>
      </c>
      <c r="B232" s="3">
        <v>45642</v>
      </c>
      <c r="C232" s="40">
        <v>6074.08</v>
      </c>
      <c r="D232" s="46">
        <f t="shared" si="10"/>
        <v>3.7993154952247199E-3</v>
      </c>
      <c r="E232">
        <v>4389.08</v>
      </c>
      <c r="F232">
        <v>7.774</v>
      </c>
      <c r="G232" s="43">
        <f t="shared" si="9"/>
        <v>564.58451247748906</v>
      </c>
      <c r="H232">
        <f t="shared" si="11"/>
        <v>-5.6626627033036225E-3</v>
      </c>
      <c r="I232"/>
      <c r="K232" s="38"/>
    </row>
    <row r="233" spans="1:11" x14ac:dyDescent="0.3">
      <c r="A233" s="16">
        <v>231</v>
      </c>
      <c r="B233" s="3">
        <v>45643</v>
      </c>
      <c r="C233" s="40">
        <v>6050.61</v>
      </c>
      <c r="D233" s="46">
        <f t="shared" si="10"/>
        <v>-3.8639596449174807E-3</v>
      </c>
      <c r="E233">
        <v>4468.8500000000004</v>
      </c>
      <c r="F233">
        <v>7.7691999999999997</v>
      </c>
      <c r="G233" s="43">
        <f t="shared" si="9"/>
        <v>575.20079287442729</v>
      </c>
      <c r="H233">
        <f t="shared" si="11"/>
        <v>1.8803704604563487E-2</v>
      </c>
      <c r="I233"/>
      <c r="K233" s="38"/>
    </row>
    <row r="234" spans="1:11" x14ac:dyDescent="0.3">
      <c r="A234" s="16">
        <v>232</v>
      </c>
      <c r="B234" s="3">
        <v>45644</v>
      </c>
      <c r="C234" s="40">
        <v>5872.16</v>
      </c>
      <c r="D234" s="46">
        <f t="shared" si="10"/>
        <v>-2.9492894104891865E-2</v>
      </c>
      <c r="E234">
        <v>4439.47</v>
      </c>
      <c r="F234">
        <v>7.7704000000000004</v>
      </c>
      <c r="G234" s="43">
        <f t="shared" si="9"/>
        <v>571.33094821373413</v>
      </c>
      <c r="H234">
        <f t="shared" si="11"/>
        <v>-6.7278152405780833E-3</v>
      </c>
      <c r="I234"/>
      <c r="K234" s="38"/>
    </row>
    <row r="235" spans="1:11" x14ac:dyDescent="0.3">
      <c r="A235" s="16">
        <v>233</v>
      </c>
      <c r="B235" s="3">
        <v>45645</v>
      </c>
      <c r="C235" s="40">
        <v>5867.08</v>
      </c>
      <c r="D235" s="46">
        <f t="shared" si="10"/>
        <v>-8.6509904362275236E-4</v>
      </c>
      <c r="E235">
        <v>4444.1899999999996</v>
      </c>
      <c r="F235">
        <v>7.7694999999999999</v>
      </c>
      <c r="G235" s="43">
        <f t="shared" si="9"/>
        <v>572.00463350279938</v>
      </c>
      <c r="H235">
        <f t="shared" si="11"/>
        <v>1.1791507027083536E-3</v>
      </c>
      <c r="I235"/>
      <c r="K235" s="38"/>
    </row>
    <row r="236" spans="1:11" x14ac:dyDescent="0.3">
      <c r="A236" s="16">
        <v>234</v>
      </c>
      <c r="B236" s="3">
        <v>45646</v>
      </c>
      <c r="C236" s="40">
        <v>5930.85</v>
      </c>
      <c r="D236" s="46">
        <f t="shared" si="10"/>
        <v>1.0869120584686254E-2</v>
      </c>
      <c r="E236">
        <v>4457.8500000000004</v>
      </c>
      <c r="F236">
        <v>7.7750000000000004</v>
      </c>
      <c r="G236" s="43">
        <f t="shared" si="9"/>
        <v>573.35691318327974</v>
      </c>
      <c r="H236">
        <f t="shared" si="11"/>
        <v>2.3641061650137019E-3</v>
      </c>
      <c r="I236"/>
      <c r="K236" s="38"/>
    </row>
    <row r="237" spans="1:11" x14ac:dyDescent="0.3">
      <c r="A237" s="16">
        <v>235</v>
      </c>
      <c r="B237" s="3">
        <v>45649</v>
      </c>
      <c r="C237" s="40">
        <v>5974.07</v>
      </c>
      <c r="D237" s="46">
        <f t="shared" si="10"/>
        <v>7.2873196927927264E-3</v>
      </c>
      <c r="E237">
        <v>4507.6499999999996</v>
      </c>
      <c r="F237">
        <v>7.7698999999999998</v>
      </c>
      <c r="G237" s="43">
        <f t="shared" si="9"/>
        <v>580.14260157788385</v>
      </c>
      <c r="H237">
        <f t="shared" si="11"/>
        <v>1.1835016267493836E-2</v>
      </c>
      <c r="I237"/>
      <c r="K237" s="38"/>
    </row>
    <row r="238" spans="1:11" x14ac:dyDescent="0.3">
      <c r="A238" s="16">
        <v>236</v>
      </c>
      <c r="B238" s="3">
        <v>45650</v>
      </c>
      <c r="C238" s="40">
        <v>6040.04</v>
      </c>
      <c r="D238" s="46">
        <f t="shared" si="10"/>
        <v>1.1042722967758989E-2</v>
      </c>
      <c r="E238">
        <v>4538.59</v>
      </c>
      <c r="F238">
        <v>7.7672999999999996</v>
      </c>
      <c r="G238" s="43">
        <f t="shared" si="9"/>
        <v>584.3201627335111</v>
      </c>
      <c r="H238">
        <f t="shared" si="11"/>
        <v>7.2009211946597595E-3</v>
      </c>
      <c r="I238"/>
      <c r="K238" s="38"/>
    </row>
    <row r="239" spans="1:11" x14ac:dyDescent="0.3">
      <c r="A239" s="16">
        <v>237</v>
      </c>
      <c r="B239" s="3">
        <v>45652</v>
      </c>
      <c r="C239" s="40">
        <v>6037.59</v>
      </c>
      <c r="D239" s="46">
        <f t="shared" si="10"/>
        <v>-4.0562645280495246E-4</v>
      </c>
      <c r="E239">
        <v>4500.6000000000004</v>
      </c>
      <c r="F239">
        <v>7.7618</v>
      </c>
      <c r="G239" s="43">
        <f t="shared" si="9"/>
        <v>579.83972789816801</v>
      </c>
      <c r="H239">
        <f t="shared" si="11"/>
        <v>-7.6677738012379537E-3</v>
      </c>
      <c r="I239"/>
      <c r="K239" s="38"/>
    </row>
    <row r="240" spans="1:11" x14ac:dyDescent="0.3">
      <c r="A240" s="16">
        <v>238</v>
      </c>
      <c r="B240" s="3">
        <v>45653</v>
      </c>
      <c r="C240" s="40">
        <v>5970.84</v>
      </c>
      <c r="D240" s="46">
        <f t="shared" si="10"/>
        <v>-1.1055735815118317E-2</v>
      </c>
      <c r="E240">
        <v>4468.1099999999997</v>
      </c>
      <c r="F240">
        <v>7.7663000000000002</v>
      </c>
      <c r="G240" s="43">
        <f t="shared" si="9"/>
        <v>575.32029409113727</v>
      </c>
      <c r="H240">
        <f t="shared" si="11"/>
        <v>-7.7942810566171694E-3</v>
      </c>
      <c r="I240"/>
      <c r="K240" s="38"/>
    </row>
    <row r="241" spans="1:11" x14ac:dyDescent="0.3">
      <c r="A241" s="16">
        <v>239</v>
      </c>
      <c r="B241" s="3">
        <v>45656</v>
      </c>
      <c r="C241" s="40">
        <v>5906.94</v>
      </c>
      <c r="D241" s="46">
        <f t="shared" si="10"/>
        <v>-1.0702011777237508E-2</v>
      </c>
      <c r="E241">
        <v>4357.53</v>
      </c>
      <c r="F241">
        <v>7.7676999999999996</v>
      </c>
      <c r="G241" s="43">
        <f t="shared" si="9"/>
        <v>560.98072788598938</v>
      </c>
      <c r="H241">
        <f t="shared" si="11"/>
        <v>-2.4924492239233209E-2</v>
      </c>
      <c r="I241"/>
      <c r="K241" s="38"/>
    </row>
    <row r="242" spans="1:11" x14ac:dyDescent="0.3">
      <c r="A242" s="16">
        <v>240</v>
      </c>
      <c r="B242" s="3">
        <v>45657</v>
      </c>
      <c r="C242" s="40">
        <v>5881.63</v>
      </c>
      <c r="D242" s="46">
        <f t="shared" si="10"/>
        <v>-4.2847904329482711E-3</v>
      </c>
      <c r="E242">
        <v>4403.12</v>
      </c>
      <c r="F242">
        <v>7.7766999999999999</v>
      </c>
      <c r="G242" s="43">
        <f t="shared" si="9"/>
        <v>566.19388686718014</v>
      </c>
      <c r="H242">
        <f t="shared" si="11"/>
        <v>9.2929377464288088E-3</v>
      </c>
      <c r="I242"/>
      <c r="K242" s="38"/>
    </row>
    <row r="243" spans="1:11" x14ac:dyDescent="0.3">
      <c r="A243" s="16">
        <v>241</v>
      </c>
      <c r="B243" s="3">
        <v>45659</v>
      </c>
      <c r="C243" s="40">
        <v>5868.55</v>
      </c>
      <c r="D243" s="46">
        <f t="shared" si="10"/>
        <v>-2.2238733140302891E-3</v>
      </c>
      <c r="E243">
        <v>4395.08</v>
      </c>
      <c r="F243">
        <v>7.7778999999999998</v>
      </c>
      <c r="G243" s="43">
        <f t="shared" si="9"/>
        <v>565.07283456974244</v>
      </c>
      <c r="H243">
        <f t="shared" si="11"/>
        <v>-1.9799795148630617E-3</v>
      </c>
      <c r="I243"/>
      <c r="K243" s="38"/>
    </row>
    <row r="244" spans="1:11" x14ac:dyDescent="0.3">
      <c r="A244" s="16">
        <v>242</v>
      </c>
      <c r="B244" s="3">
        <v>45660</v>
      </c>
      <c r="C244" s="40">
        <v>5942.47</v>
      </c>
      <c r="D244" s="46">
        <f t="shared" si="10"/>
        <v>1.2595956411720177E-2</v>
      </c>
      <c r="E244">
        <v>4354.8</v>
      </c>
      <c r="F244">
        <v>7.7752999999999997</v>
      </c>
      <c r="G244" s="43">
        <f t="shared" si="9"/>
        <v>560.08128303731053</v>
      </c>
      <c r="H244">
        <f t="shared" si="11"/>
        <v>-8.833465753547598E-3</v>
      </c>
      <c r="I244"/>
      <c r="K244" s="38"/>
    </row>
    <row r="245" spans="1:11" x14ac:dyDescent="0.3">
      <c r="A245" s="16">
        <v>243</v>
      </c>
      <c r="B245" s="3">
        <v>45663</v>
      </c>
      <c r="C245" s="40">
        <v>5975.38</v>
      </c>
      <c r="D245" s="46">
        <f t="shared" si="10"/>
        <v>5.5381011599553442E-3</v>
      </c>
      <c r="E245">
        <v>4307.3999999999996</v>
      </c>
      <c r="F245">
        <v>7.7766999999999999</v>
      </c>
      <c r="G245" s="43">
        <f t="shared" si="9"/>
        <v>553.885324109198</v>
      </c>
      <c r="H245">
        <f t="shared" si="11"/>
        <v>-1.1062606653291396E-2</v>
      </c>
      <c r="I245"/>
      <c r="K245" s="38"/>
    </row>
    <row r="246" spans="1:11" x14ac:dyDescent="0.3">
      <c r="A246" s="16">
        <v>244</v>
      </c>
      <c r="B246" s="3">
        <v>45664</v>
      </c>
      <c r="C246" s="40">
        <v>5909.03</v>
      </c>
      <c r="D246" s="46">
        <f t="shared" si="10"/>
        <v>-1.1103896321238205E-2</v>
      </c>
      <c r="E246">
        <v>4311.54</v>
      </c>
      <c r="F246">
        <v>7.7781000000000002</v>
      </c>
      <c r="G246" s="43">
        <f t="shared" si="9"/>
        <v>554.31789254445175</v>
      </c>
      <c r="H246">
        <f t="shared" si="11"/>
        <v>7.8097110796249147E-4</v>
      </c>
      <c r="I246"/>
      <c r="K246" s="38"/>
    </row>
    <row r="247" spans="1:11" x14ac:dyDescent="0.3">
      <c r="A247" s="16">
        <v>245</v>
      </c>
      <c r="B247" s="3">
        <v>45665</v>
      </c>
      <c r="C247" s="40">
        <v>5918.25</v>
      </c>
      <c r="D247" s="46">
        <f t="shared" si="10"/>
        <v>1.5603237756451893E-3</v>
      </c>
      <c r="E247">
        <v>4260.82</v>
      </c>
      <c r="F247">
        <v>7.7824999999999998</v>
      </c>
      <c r="G247" s="43">
        <f t="shared" si="9"/>
        <v>547.48731127529709</v>
      </c>
      <c r="H247">
        <f t="shared" si="11"/>
        <v>-1.2322498265031068E-2</v>
      </c>
      <c r="I247"/>
      <c r="K247" s="38"/>
    </row>
    <row r="248" spans="1:11" x14ac:dyDescent="0.3">
      <c r="A248" s="16">
        <v>246</v>
      </c>
      <c r="B248" s="3">
        <v>45667</v>
      </c>
      <c r="C248" s="40">
        <v>5827.04</v>
      </c>
      <c r="D248" s="46">
        <f t="shared" si="10"/>
        <v>-1.5411650403413191E-2</v>
      </c>
      <c r="E248">
        <v>4221.92</v>
      </c>
      <c r="F248">
        <v>7.7873000000000001</v>
      </c>
      <c r="G248" s="43">
        <f t="shared" si="9"/>
        <v>542.15453366378586</v>
      </c>
      <c r="H248">
        <f t="shared" si="11"/>
        <v>-9.7404588228524602E-3</v>
      </c>
      <c r="I248"/>
      <c r="K248" s="38"/>
    </row>
    <row r="249" spans="1:11" x14ac:dyDescent="0.3">
      <c r="A249" s="16">
        <v>247</v>
      </c>
      <c r="B249" s="3">
        <v>45670</v>
      </c>
      <c r="C249" s="40">
        <v>5836.22</v>
      </c>
      <c r="D249" s="46">
        <f t="shared" si="10"/>
        <v>1.5754139322881056E-3</v>
      </c>
      <c r="E249">
        <v>4352.04</v>
      </c>
      <c r="F249">
        <v>7.7858000000000001</v>
      </c>
      <c r="G249" s="43">
        <f t="shared" si="9"/>
        <v>558.97146086465102</v>
      </c>
      <c r="H249">
        <f t="shared" si="11"/>
        <v>3.1018696988881267E-2</v>
      </c>
      <c r="I249"/>
      <c r="K249" s="38"/>
    </row>
    <row r="250" spans="1:11" x14ac:dyDescent="0.3">
      <c r="A250" s="16">
        <v>248</v>
      </c>
      <c r="B250" s="3">
        <v>45671</v>
      </c>
      <c r="C250" s="40">
        <v>5842.91</v>
      </c>
      <c r="D250" s="46">
        <f t="shared" si="10"/>
        <v>1.146289893115604E-3</v>
      </c>
      <c r="E250">
        <v>4363.79</v>
      </c>
      <c r="F250">
        <v>7.7866</v>
      </c>
      <c r="G250" s="43">
        <f t="shared" si="9"/>
        <v>560.42303444378808</v>
      </c>
      <c r="H250">
        <f t="shared" si="11"/>
        <v>2.5968652798331604E-3</v>
      </c>
      <c r="I250"/>
      <c r="K250" s="38"/>
    </row>
    <row r="251" spans="1:11" x14ac:dyDescent="0.3">
      <c r="A251" s="16">
        <v>249</v>
      </c>
      <c r="B251" s="3">
        <v>45672</v>
      </c>
      <c r="C251" s="40">
        <v>5949.91</v>
      </c>
      <c r="D251" s="46">
        <f t="shared" si="10"/>
        <v>1.8312792769356268E-2</v>
      </c>
      <c r="E251">
        <v>4417.37</v>
      </c>
      <c r="F251">
        <v>7.7866999999999997</v>
      </c>
      <c r="G251" s="43">
        <f t="shared" si="9"/>
        <v>567.29680095547542</v>
      </c>
      <c r="H251">
        <f t="shared" si="11"/>
        <v>1.2265317606920734E-2</v>
      </c>
      <c r="I251"/>
      <c r="K251" s="38"/>
    </row>
    <row r="252" spans="1:11" x14ac:dyDescent="0.3">
      <c r="A252" s="16">
        <v>250</v>
      </c>
      <c r="B252" s="3">
        <v>45673</v>
      </c>
      <c r="C252" s="40">
        <v>5937.34</v>
      </c>
      <c r="D252" s="46">
        <f t="shared" si="10"/>
        <v>-2.112636997870454E-3</v>
      </c>
      <c r="E252">
        <v>4479.1899999999996</v>
      </c>
      <c r="F252">
        <v>7.7869999999999999</v>
      </c>
      <c r="G252" s="43">
        <f t="shared" si="9"/>
        <v>575.21381790163093</v>
      </c>
      <c r="H252">
        <f t="shared" si="11"/>
        <v>1.3955687627395852E-2</v>
      </c>
      <c r="I252"/>
      <c r="K252" s="38"/>
    </row>
    <row r="253" spans="1:11" x14ac:dyDescent="0.3">
      <c r="A253" s="16">
        <v>251</v>
      </c>
      <c r="B253" s="3">
        <v>45674</v>
      </c>
      <c r="C253" s="40">
        <v>5996.66</v>
      </c>
      <c r="D253" s="46">
        <f t="shared" si="10"/>
        <v>9.9910060734267336E-3</v>
      </c>
      <c r="E253">
        <v>4693.72</v>
      </c>
      <c r="F253">
        <v>7.7858999999999998</v>
      </c>
      <c r="G253" s="43">
        <f t="shared" si="9"/>
        <v>602.84873938786791</v>
      </c>
      <c r="H253">
        <f t="shared" si="11"/>
        <v>4.8042867932221567E-2</v>
      </c>
      <c r="I253"/>
      <c r="K253" s="38"/>
    </row>
    <row r="254" spans="1:11" x14ac:dyDescent="0.3">
      <c r="A254" s="16">
        <v>252</v>
      </c>
      <c r="B254" s="3">
        <v>45678</v>
      </c>
      <c r="C254" s="40">
        <v>6049.24</v>
      </c>
      <c r="D254" s="46">
        <f t="shared" si="10"/>
        <v>8.7682143059637507E-3</v>
      </c>
      <c r="E254">
        <v>4581.09</v>
      </c>
      <c r="F254">
        <v>7.7850999999999999</v>
      </c>
      <c r="G254" s="43">
        <f t="shared" si="9"/>
        <v>588.4433083711192</v>
      </c>
      <c r="H254">
        <f t="shared" si="11"/>
        <v>-2.3895597810117297E-2</v>
      </c>
      <c r="I254"/>
      <c r="K254" s="38"/>
    </row>
    <row r="255" spans="1:11" x14ac:dyDescent="0.3">
      <c r="A255" s="16">
        <v>253</v>
      </c>
      <c r="B255" s="3">
        <v>45679</v>
      </c>
      <c r="C255" s="40">
        <v>6086.37</v>
      </c>
      <c r="D255" s="46">
        <f t="shared" si="10"/>
        <v>6.1379611323075789E-3</v>
      </c>
      <c r="E255">
        <v>4515.4799999999996</v>
      </c>
      <c r="F255">
        <v>7.7884000000000002</v>
      </c>
      <c r="G255" s="43">
        <f t="shared" si="9"/>
        <v>579.76991423142101</v>
      </c>
      <c r="H255">
        <f t="shared" si="11"/>
        <v>-1.4739557772705747E-2</v>
      </c>
      <c r="I255"/>
      <c r="K255" s="38"/>
    </row>
    <row r="256" spans="1:11" x14ac:dyDescent="0.3">
      <c r="A256" s="16">
        <v>254</v>
      </c>
      <c r="B256" s="3">
        <v>45680</v>
      </c>
      <c r="C256" s="40">
        <v>6118.71</v>
      </c>
      <c r="D256" s="46">
        <f t="shared" si="10"/>
        <v>5.31351199483443E-3</v>
      </c>
      <c r="E256">
        <v>4657.6099999999997</v>
      </c>
      <c r="F256">
        <v>7.7892000000000001</v>
      </c>
      <c r="G256" s="43">
        <f t="shared" si="9"/>
        <v>597.95742823396495</v>
      </c>
      <c r="H256">
        <f t="shared" si="11"/>
        <v>3.1370227319667654E-2</v>
      </c>
      <c r="I256"/>
      <c r="K256" s="38"/>
    </row>
    <row r="257" spans="1:11" x14ac:dyDescent="0.3">
      <c r="A257" s="16">
        <v>255</v>
      </c>
      <c r="B257" s="3">
        <v>45681</v>
      </c>
      <c r="C257" s="40">
        <v>6101.24</v>
      </c>
      <c r="D257" s="46">
        <f t="shared" si="10"/>
        <v>-2.8551769899211044E-3</v>
      </c>
      <c r="E257">
        <v>4687.34</v>
      </c>
      <c r="F257">
        <v>7.7869000000000002</v>
      </c>
      <c r="G257" s="43">
        <f t="shared" si="9"/>
        <v>601.95199630148068</v>
      </c>
      <c r="H257">
        <f t="shared" si="11"/>
        <v>6.6803552876890659E-3</v>
      </c>
      <c r="I257"/>
      <c r="K257" s="38"/>
    </row>
    <row r="258" spans="1:11" x14ac:dyDescent="0.3">
      <c r="A258" s="16">
        <v>256</v>
      </c>
      <c r="B258" s="3">
        <v>45684</v>
      </c>
      <c r="C258" s="40">
        <v>6012.28</v>
      </c>
      <c r="D258" s="46">
        <f t="shared" si="10"/>
        <v>-1.45806426234667E-2</v>
      </c>
      <c r="E258">
        <v>4723.63</v>
      </c>
      <c r="F258">
        <v>7.7881</v>
      </c>
      <c r="G258" s="43">
        <f t="shared" si="9"/>
        <v>606.51891989060232</v>
      </c>
      <c r="H258">
        <f t="shared" si="11"/>
        <v>7.5868567878862869E-3</v>
      </c>
      <c r="I258"/>
      <c r="K258" s="38"/>
    </row>
    <row r="259" spans="1:11" x14ac:dyDescent="0.3">
      <c r="A259" s="16">
        <v>257</v>
      </c>
      <c r="B259" s="3">
        <v>45691</v>
      </c>
      <c r="C259" s="40">
        <v>5994.57</v>
      </c>
      <c r="D259" s="46">
        <f t="shared" si="10"/>
        <v>-2.945637927707967E-3</v>
      </c>
      <c r="E259">
        <v>4737.46</v>
      </c>
      <c r="F259">
        <v>7.7927</v>
      </c>
      <c r="G259" s="43">
        <f t="shared" ref="G259:G317" si="12">E259/F259</f>
        <v>607.93563206590784</v>
      </c>
      <c r="H259">
        <f t="shared" si="11"/>
        <v>2.3358087090854518E-3</v>
      </c>
      <c r="I259"/>
      <c r="K259" s="38"/>
    </row>
    <row r="260" spans="1:11" x14ac:dyDescent="0.3">
      <c r="A260" s="16">
        <v>258</v>
      </c>
      <c r="B260" s="3">
        <v>45692</v>
      </c>
      <c r="C260" s="40">
        <v>6037.88</v>
      </c>
      <c r="D260" s="46">
        <f t="shared" ref="D260:D317" si="13">$C260/$C259-1</f>
        <v>7.2248718423506553E-3</v>
      </c>
      <c r="E260">
        <v>4977.38</v>
      </c>
      <c r="F260">
        <v>7.7869000000000002</v>
      </c>
      <c r="G260" s="43">
        <f t="shared" si="12"/>
        <v>639.19916783315568</v>
      </c>
      <c r="H260">
        <f t="shared" ref="H260:H317" si="14">$G260/$G259-1</f>
        <v>5.1425733446494926E-2</v>
      </c>
      <c r="I260"/>
      <c r="K260" s="38"/>
    </row>
    <row r="261" spans="1:11" x14ac:dyDescent="0.3">
      <c r="A261" s="16">
        <v>259</v>
      </c>
      <c r="B261" s="3">
        <v>45693</v>
      </c>
      <c r="C261" s="40">
        <v>6061.48</v>
      </c>
      <c r="D261" s="46">
        <f t="shared" si="13"/>
        <v>3.9086566808217427E-3</v>
      </c>
      <c r="E261">
        <v>4930.2</v>
      </c>
      <c r="F261">
        <v>7.7864000000000004</v>
      </c>
      <c r="G261" s="43">
        <f t="shared" si="12"/>
        <v>633.18093085379633</v>
      </c>
      <c r="H261">
        <f t="shared" si="14"/>
        <v>-9.415276618336077E-3</v>
      </c>
      <c r="I261"/>
      <c r="K261" s="38"/>
    </row>
    <row r="262" spans="1:11" x14ac:dyDescent="0.3">
      <c r="A262" s="16">
        <v>260</v>
      </c>
      <c r="B262" s="3">
        <v>45694</v>
      </c>
      <c r="C262" s="40">
        <v>6083.57</v>
      </c>
      <c r="D262" s="46">
        <f t="shared" si="13"/>
        <v>3.64432448840879E-3</v>
      </c>
      <c r="E262">
        <v>5059.38</v>
      </c>
      <c r="F262">
        <v>7.7862999999999998</v>
      </c>
      <c r="G262" s="43">
        <f t="shared" si="12"/>
        <v>649.77974134055978</v>
      </c>
      <c r="H262">
        <f t="shared" si="14"/>
        <v>2.6214956385975263E-2</v>
      </c>
      <c r="I262"/>
      <c r="K262" s="38"/>
    </row>
    <row r="263" spans="1:11" x14ac:dyDescent="0.3">
      <c r="A263" s="16">
        <v>261</v>
      </c>
      <c r="B263" s="3">
        <v>45695</v>
      </c>
      <c r="C263" s="40">
        <v>6025.99</v>
      </c>
      <c r="D263" s="46">
        <f t="shared" si="13"/>
        <v>-9.464837258386094E-3</v>
      </c>
      <c r="E263">
        <v>5150.3500000000004</v>
      </c>
      <c r="F263">
        <v>7.7906000000000004</v>
      </c>
      <c r="G263" s="43">
        <f t="shared" si="12"/>
        <v>661.09798988524631</v>
      </c>
      <c r="H263">
        <f t="shared" si="14"/>
        <v>1.7418592523884779E-2</v>
      </c>
      <c r="I263"/>
      <c r="K263" s="38"/>
    </row>
    <row r="264" spans="1:11" x14ac:dyDescent="0.3">
      <c r="A264" s="16">
        <v>262</v>
      </c>
      <c r="B264" s="3">
        <v>45698</v>
      </c>
      <c r="C264" s="40">
        <v>6066.44</v>
      </c>
      <c r="D264" s="46">
        <f t="shared" si="13"/>
        <v>6.712589964470439E-3</v>
      </c>
      <c r="E264">
        <v>5286.66</v>
      </c>
      <c r="F264">
        <v>7.7885999999999997</v>
      </c>
      <c r="G264" s="43">
        <f t="shared" si="12"/>
        <v>678.76897003312536</v>
      </c>
      <c r="H264">
        <f t="shared" si="14"/>
        <v>2.6729744180505444E-2</v>
      </c>
      <c r="I264"/>
      <c r="K264" s="38"/>
    </row>
    <row r="265" spans="1:11" x14ac:dyDescent="0.3">
      <c r="A265" s="16">
        <v>263</v>
      </c>
      <c r="B265" s="3">
        <v>45699</v>
      </c>
      <c r="C265" s="40">
        <v>6068.5</v>
      </c>
      <c r="D265" s="46">
        <f t="shared" si="13"/>
        <v>3.3957312690802155E-4</v>
      </c>
      <c r="E265">
        <v>5142.3100000000004</v>
      </c>
      <c r="F265">
        <v>7.7916999999999996</v>
      </c>
      <c r="G265" s="43">
        <f t="shared" si="12"/>
        <v>659.97279156025013</v>
      </c>
      <c r="H265">
        <f t="shared" si="14"/>
        <v>-2.7691570037383872E-2</v>
      </c>
      <c r="I265"/>
      <c r="K265" s="38"/>
    </row>
    <row r="266" spans="1:11" x14ac:dyDescent="0.3">
      <c r="A266" s="16">
        <v>264</v>
      </c>
      <c r="B266" s="3">
        <v>45700</v>
      </c>
      <c r="C266" s="40">
        <v>6051.97</v>
      </c>
      <c r="D266" s="46">
        <f t="shared" si="13"/>
        <v>-2.7239021174919609E-3</v>
      </c>
      <c r="E266">
        <v>5281.18</v>
      </c>
      <c r="F266">
        <v>7.7896999999999998</v>
      </c>
      <c r="G266" s="43">
        <f t="shared" si="12"/>
        <v>677.9696265581473</v>
      </c>
      <c r="H266">
        <f t="shared" si="14"/>
        <v>2.7269055979339152E-2</v>
      </c>
      <c r="I266"/>
      <c r="K266" s="38"/>
    </row>
    <row r="267" spans="1:11" x14ac:dyDescent="0.3">
      <c r="A267" s="16">
        <v>265</v>
      </c>
      <c r="B267" s="3">
        <v>45701</v>
      </c>
      <c r="C267" s="40">
        <v>6115.07</v>
      </c>
      <c r="D267" s="46">
        <f t="shared" si="13"/>
        <v>1.0426357037460532E-2</v>
      </c>
      <c r="E267">
        <v>5235.28</v>
      </c>
      <c r="F267">
        <v>7.7881999999999998</v>
      </c>
      <c r="G267" s="43">
        <f t="shared" si="12"/>
        <v>672.20667163144242</v>
      </c>
      <c r="H267">
        <f t="shared" si="14"/>
        <v>-8.5003143222827093E-3</v>
      </c>
      <c r="I267"/>
      <c r="K267" s="38"/>
    </row>
    <row r="268" spans="1:11" x14ac:dyDescent="0.3">
      <c r="A268" s="16">
        <v>266</v>
      </c>
      <c r="B268" s="3">
        <v>45702</v>
      </c>
      <c r="C268" s="40">
        <v>6114.63</v>
      </c>
      <c r="D268" s="46">
        <f t="shared" si="13"/>
        <v>-7.195338728738232E-5</v>
      </c>
      <c r="E268">
        <v>5526.22</v>
      </c>
      <c r="F268">
        <v>7.7842000000000002</v>
      </c>
      <c r="G268" s="43">
        <f t="shared" si="12"/>
        <v>709.92780247167343</v>
      </c>
      <c r="H268">
        <f t="shared" si="14"/>
        <v>5.6115377059085203E-2</v>
      </c>
      <c r="I268"/>
      <c r="K268" s="38"/>
    </row>
    <row r="269" spans="1:11" x14ac:dyDescent="0.3">
      <c r="A269" s="16">
        <v>267</v>
      </c>
      <c r="B269" s="3">
        <v>45706</v>
      </c>
      <c r="C269" s="40">
        <v>6129.58</v>
      </c>
      <c r="D269" s="46">
        <f t="shared" si="13"/>
        <v>2.4449557863681637E-3</v>
      </c>
      <c r="E269">
        <v>5639.05</v>
      </c>
      <c r="F269">
        <v>7.7744999999999997</v>
      </c>
      <c r="G269" s="43">
        <f t="shared" si="12"/>
        <v>725.3263875490386</v>
      </c>
      <c r="H269">
        <f t="shared" si="14"/>
        <v>2.1690353615894109E-2</v>
      </c>
      <c r="I269"/>
      <c r="K269" s="38"/>
    </row>
    <row r="270" spans="1:11" x14ac:dyDescent="0.3">
      <c r="A270" s="16">
        <v>268</v>
      </c>
      <c r="B270" s="3">
        <v>45707</v>
      </c>
      <c r="C270" s="40">
        <v>6144.15</v>
      </c>
      <c r="D270" s="46">
        <f t="shared" si="13"/>
        <v>2.3769980977488281E-3</v>
      </c>
      <c r="E270">
        <v>5672.24</v>
      </c>
      <c r="F270">
        <v>7.7770000000000001</v>
      </c>
      <c r="G270" s="43">
        <f t="shared" si="12"/>
        <v>729.36093609360933</v>
      </c>
      <c r="H270">
        <f t="shared" si="14"/>
        <v>5.5623904132371393E-3</v>
      </c>
      <c r="I270"/>
      <c r="K270" s="38"/>
    </row>
    <row r="271" spans="1:11" x14ac:dyDescent="0.3">
      <c r="A271" s="16">
        <v>269</v>
      </c>
      <c r="B271" s="3">
        <v>45708</v>
      </c>
      <c r="C271" s="40">
        <v>6117.52</v>
      </c>
      <c r="D271" s="46">
        <f t="shared" si="13"/>
        <v>-4.3342040803039383E-3</v>
      </c>
      <c r="E271">
        <v>5500.02</v>
      </c>
      <c r="F271">
        <v>7.7763</v>
      </c>
      <c r="G271" s="43">
        <f t="shared" si="12"/>
        <v>707.27981173565843</v>
      </c>
      <c r="H271">
        <f t="shared" si="14"/>
        <v>-3.0274618868698089E-2</v>
      </c>
      <c r="I271"/>
      <c r="K271" s="38"/>
    </row>
    <row r="272" spans="1:11" x14ac:dyDescent="0.3">
      <c r="A272" s="16">
        <v>270</v>
      </c>
      <c r="B272" s="3">
        <v>45709</v>
      </c>
      <c r="C272" s="40">
        <v>6013.13</v>
      </c>
      <c r="D272" s="46">
        <f t="shared" si="13"/>
        <v>-1.70641044083224E-2</v>
      </c>
      <c r="E272">
        <v>5859.3</v>
      </c>
      <c r="F272">
        <v>7.7694999999999999</v>
      </c>
      <c r="G272" s="43">
        <f t="shared" si="12"/>
        <v>754.14119312697085</v>
      </c>
      <c r="H272">
        <f t="shared" si="14"/>
        <v>6.6255788181363462E-2</v>
      </c>
      <c r="I272"/>
      <c r="K272" s="38"/>
    </row>
    <row r="273" spans="1:11" x14ac:dyDescent="0.3">
      <c r="A273" s="16">
        <v>271</v>
      </c>
      <c r="B273" s="3">
        <v>45712</v>
      </c>
      <c r="C273" s="40">
        <v>5983.25</v>
      </c>
      <c r="D273" s="46">
        <f t="shared" si="13"/>
        <v>-4.9691258961639395E-3</v>
      </c>
      <c r="E273">
        <v>5789.52</v>
      </c>
      <c r="F273">
        <v>7.7748999999999997</v>
      </c>
      <c r="G273" s="43">
        <f t="shared" si="12"/>
        <v>744.64237482154124</v>
      </c>
      <c r="H273">
        <f t="shared" si="14"/>
        <v>-1.2595543635593898E-2</v>
      </c>
      <c r="I273"/>
      <c r="K273" s="38"/>
    </row>
    <row r="274" spans="1:11" x14ac:dyDescent="0.3">
      <c r="A274" s="16">
        <v>272</v>
      </c>
      <c r="B274" s="3">
        <v>45713</v>
      </c>
      <c r="C274" s="40">
        <v>5955.25</v>
      </c>
      <c r="D274" s="46">
        <f t="shared" si="13"/>
        <v>-4.6797309154723576E-3</v>
      </c>
      <c r="E274">
        <v>5698.82</v>
      </c>
      <c r="F274">
        <v>7.7736999999999998</v>
      </c>
      <c r="G274" s="43">
        <f t="shared" si="12"/>
        <v>733.08977706883468</v>
      </c>
      <c r="H274">
        <f t="shared" si="14"/>
        <v>-1.5514290004614906E-2</v>
      </c>
      <c r="I274"/>
      <c r="K274" s="38"/>
    </row>
    <row r="275" spans="1:11" x14ac:dyDescent="0.3">
      <c r="A275" s="16">
        <v>273</v>
      </c>
      <c r="B275" s="3">
        <v>45714</v>
      </c>
      <c r="C275" s="40">
        <v>5956.06</v>
      </c>
      <c r="D275" s="46">
        <f t="shared" si="13"/>
        <v>1.3601444103938931E-4</v>
      </c>
      <c r="E275">
        <v>5953.79</v>
      </c>
      <c r="F275">
        <v>7.7739000000000003</v>
      </c>
      <c r="G275" s="43">
        <f t="shared" si="12"/>
        <v>765.86912617862333</v>
      </c>
      <c r="H275">
        <f t="shared" si="14"/>
        <v>4.4713962921230088E-2</v>
      </c>
      <c r="I275"/>
      <c r="K275" s="38"/>
    </row>
    <row r="276" spans="1:11" x14ac:dyDescent="0.3">
      <c r="A276" s="16">
        <v>274</v>
      </c>
      <c r="B276" s="3">
        <v>45715</v>
      </c>
      <c r="C276" s="40">
        <v>5861.57</v>
      </c>
      <c r="D276" s="46">
        <f t="shared" si="13"/>
        <v>-1.586451446090209E-2</v>
      </c>
      <c r="E276">
        <v>5881.01</v>
      </c>
      <c r="F276">
        <v>7.7774000000000001</v>
      </c>
      <c r="G276" s="43">
        <f t="shared" si="12"/>
        <v>756.16658523413992</v>
      </c>
      <c r="H276">
        <f t="shared" si="14"/>
        <v>-1.2668667025259484E-2</v>
      </c>
      <c r="I276"/>
      <c r="K276" s="38"/>
    </row>
    <row r="277" spans="1:11" x14ac:dyDescent="0.3">
      <c r="A277" s="16">
        <v>275</v>
      </c>
      <c r="B277" s="3">
        <v>45716</v>
      </c>
      <c r="C277" s="40">
        <v>5954.5</v>
      </c>
      <c r="D277" s="46">
        <f t="shared" si="13"/>
        <v>1.5854114170776867E-2</v>
      </c>
      <c r="E277">
        <v>5568.14</v>
      </c>
      <c r="F277">
        <v>7.7782999999999998</v>
      </c>
      <c r="G277" s="43">
        <f t="shared" si="12"/>
        <v>715.85564969209213</v>
      </c>
      <c r="H277">
        <f t="shared" si="14"/>
        <v>-5.3309596495282663E-2</v>
      </c>
      <c r="I277"/>
      <c r="K277" s="38"/>
    </row>
    <row r="278" spans="1:11" x14ac:dyDescent="0.3">
      <c r="A278" s="16">
        <v>276</v>
      </c>
      <c r="B278" s="3">
        <v>45719</v>
      </c>
      <c r="C278" s="40">
        <v>5849.72</v>
      </c>
      <c r="D278" s="46">
        <f t="shared" si="13"/>
        <v>-1.7596775547904953E-2</v>
      </c>
      <c r="E278">
        <v>5535.86</v>
      </c>
      <c r="F278">
        <v>7.7767999999999997</v>
      </c>
      <c r="G278" s="43">
        <f t="shared" si="12"/>
        <v>711.84291739532966</v>
      </c>
      <c r="H278">
        <f t="shared" si="14"/>
        <v>-5.6055048227787729E-3</v>
      </c>
      <c r="I278"/>
      <c r="K278" s="38"/>
    </row>
    <row r="279" spans="1:11" x14ac:dyDescent="0.3">
      <c r="A279" s="16">
        <v>277</v>
      </c>
      <c r="B279" s="3">
        <v>45720</v>
      </c>
      <c r="C279" s="40">
        <v>5778.15</v>
      </c>
      <c r="D279" s="46">
        <f t="shared" si="13"/>
        <v>-1.2234773630190987E-2</v>
      </c>
      <c r="E279">
        <v>5535.64</v>
      </c>
      <c r="F279">
        <v>7.7713999999999999</v>
      </c>
      <c r="G279" s="43">
        <f t="shared" si="12"/>
        <v>712.3092364310163</v>
      </c>
      <c r="H279">
        <f t="shared" si="14"/>
        <v>6.5508699221572542E-4</v>
      </c>
      <c r="I279"/>
      <c r="K279" s="38"/>
    </row>
    <row r="280" spans="1:11" x14ac:dyDescent="0.3">
      <c r="A280" s="16">
        <v>278</v>
      </c>
      <c r="B280" s="3">
        <v>45721</v>
      </c>
      <c r="C280" s="40">
        <v>5842.63</v>
      </c>
      <c r="D280" s="46">
        <f t="shared" si="13"/>
        <v>1.1159281084776262E-2</v>
      </c>
      <c r="E280">
        <v>5757.94</v>
      </c>
      <c r="F280">
        <v>7.7706999999999997</v>
      </c>
      <c r="G280" s="43">
        <f t="shared" si="12"/>
        <v>740.98086401482487</v>
      </c>
      <c r="H280">
        <f t="shared" si="14"/>
        <v>4.0251657731501744E-2</v>
      </c>
      <c r="I280"/>
      <c r="K280" s="38"/>
    </row>
    <row r="281" spans="1:11" x14ac:dyDescent="0.3">
      <c r="A281" s="16">
        <v>279</v>
      </c>
      <c r="B281" s="3">
        <v>45722</v>
      </c>
      <c r="C281" s="40">
        <v>5738.52</v>
      </c>
      <c r="D281" s="46">
        <f t="shared" si="13"/>
        <v>-1.7819030128555013E-2</v>
      </c>
      <c r="E281">
        <v>6068.77</v>
      </c>
      <c r="F281">
        <v>7.7718999999999996</v>
      </c>
      <c r="G281" s="43">
        <f t="shared" si="12"/>
        <v>780.86053603365986</v>
      </c>
      <c r="H281">
        <f t="shared" si="14"/>
        <v>5.382011055286462E-2</v>
      </c>
      <c r="I281"/>
      <c r="K281" s="38"/>
    </row>
    <row r="282" spans="1:11" x14ac:dyDescent="0.3">
      <c r="A282" s="16">
        <v>280</v>
      </c>
      <c r="B282" s="3">
        <v>45723</v>
      </c>
      <c r="C282" s="40">
        <v>5770.2</v>
      </c>
      <c r="D282" s="46">
        <f t="shared" si="13"/>
        <v>5.5205871897281433E-3</v>
      </c>
      <c r="E282">
        <v>6037.44</v>
      </c>
      <c r="F282">
        <v>7.7701000000000002</v>
      </c>
      <c r="G282" s="43">
        <f t="shared" si="12"/>
        <v>777.00930489955078</v>
      </c>
      <c r="H282">
        <f t="shared" si="14"/>
        <v>-4.9320345393188969E-3</v>
      </c>
      <c r="I282"/>
      <c r="K282" s="38"/>
    </row>
    <row r="283" spans="1:11" x14ac:dyDescent="0.3">
      <c r="A283" s="16">
        <v>281</v>
      </c>
      <c r="B283" s="3">
        <v>45726</v>
      </c>
      <c r="C283" s="40">
        <v>5614.56</v>
      </c>
      <c r="D283" s="46">
        <f t="shared" si="13"/>
        <v>-2.6973068524487775E-2</v>
      </c>
      <c r="E283">
        <v>5885.49</v>
      </c>
      <c r="F283">
        <v>7.7683999999999997</v>
      </c>
      <c r="G283" s="43">
        <f t="shared" si="12"/>
        <v>757.61932959167916</v>
      </c>
      <c r="H283">
        <f t="shared" si="14"/>
        <v>-2.4954624334104114E-2</v>
      </c>
      <c r="I283"/>
      <c r="K283" s="38"/>
    </row>
    <row r="284" spans="1:11" x14ac:dyDescent="0.3">
      <c r="A284" s="16">
        <v>282</v>
      </c>
      <c r="B284" s="3">
        <v>45727</v>
      </c>
      <c r="C284" s="40">
        <v>5572.07</v>
      </c>
      <c r="D284" s="46">
        <f t="shared" si="13"/>
        <v>-7.5678236584880709E-3</v>
      </c>
      <c r="E284">
        <v>5967.23</v>
      </c>
      <c r="F284">
        <v>7.7704000000000004</v>
      </c>
      <c r="G284" s="43">
        <f t="shared" si="12"/>
        <v>767.94373520024703</v>
      </c>
      <c r="H284">
        <f t="shared" si="14"/>
        <v>1.3627431620748531E-2</v>
      </c>
      <c r="I284"/>
      <c r="K284" s="38"/>
    </row>
    <row r="285" spans="1:11" x14ac:dyDescent="0.3">
      <c r="A285" s="16">
        <v>283</v>
      </c>
      <c r="B285" s="3">
        <v>45728</v>
      </c>
      <c r="C285" s="40">
        <v>5599.3</v>
      </c>
      <c r="D285" s="46">
        <f t="shared" si="13"/>
        <v>4.8868732804865367E-3</v>
      </c>
      <c r="E285">
        <v>5845.36</v>
      </c>
      <c r="F285">
        <v>7.7690999999999999</v>
      </c>
      <c r="G285" s="43">
        <f t="shared" si="12"/>
        <v>752.38573322521268</v>
      </c>
      <c r="H285">
        <f t="shared" si="14"/>
        <v>-2.0259299297464173E-2</v>
      </c>
      <c r="I285"/>
      <c r="K285" s="38"/>
    </row>
    <row r="286" spans="1:11" x14ac:dyDescent="0.3">
      <c r="A286" s="16">
        <v>284</v>
      </c>
      <c r="B286" s="3">
        <v>45729</v>
      </c>
      <c r="C286" s="40">
        <v>5521.52</v>
      </c>
      <c r="D286" s="46">
        <f t="shared" si="13"/>
        <v>-1.3891022092047178E-2</v>
      </c>
      <c r="E286">
        <v>5747.77</v>
      </c>
      <c r="F286">
        <v>7.7717000000000001</v>
      </c>
      <c r="G286" s="43">
        <f t="shared" si="12"/>
        <v>739.57692654116863</v>
      </c>
      <c r="H286">
        <f t="shared" si="14"/>
        <v>-1.7024255137238153E-2</v>
      </c>
      <c r="I286"/>
      <c r="K286" s="38"/>
    </row>
    <row r="287" spans="1:11" x14ac:dyDescent="0.3">
      <c r="A287" s="16">
        <v>285</v>
      </c>
      <c r="B287" s="3">
        <v>45730</v>
      </c>
      <c r="C287" s="40">
        <v>5638.94</v>
      </c>
      <c r="D287" s="46">
        <f t="shared" si="13"/>
        <v>2.1265883307494793E-2</v>
      </c>
      <c r="E287">
        <v>5880.78</v>
      </c>
      <c r="F287">
        <v>7.7728000000000002</v>
      </c>
      <c r="G287" s="43">
        <f t="shared" si="12"/>
        <v>756.58449979415388</v>
      </c>
      <c r="H287">
        <f t="shared" si="14"/>
        <v>2.299635459495164E-2</v>
      </c>
      <c r="I287"/>
      <c r="K287" s="38"/>
    </row>
    <row r="288" spans="1:11" x14ac:dyDescent="0.3">
      <c r="A288" s="16">
        <v>286</v>
      </c>
      <c r="B288" s="3">
        <v>45733</v>
      </c>
      <c r="C288" s="40">
        <v>5675.12</v>
      </c>
      <c r="D288" s="46">
        <f t="shared" si="13"/>
        <v>6.4160994796895743E-3</v>
      </c>
      <c r="E288">
        <v>5872.81</v>
      </c>
      <c r="F288">
        <v>7.7694999999999999</v>
      </c>
      <c r="G288" s="43">
        <f t="shared" si="12"/>
        <v>755.88004376085985</v>
      </c>
      <c r="H288">
        <f t="shared" si="14"/>
        <v>-9.3110027166254383E-4</v>
      </c>
      <c r="I288"/>
      <c r="K288" s="38"/>
    </row>
    <row r="289" spans="1:11" x14ac:dyDescent="0.3">
      <c r="A289" s="16">
        <v>287</v>
      </c>
      <c r="B289" s="3">
        <v>45734</v>
      </c>
      <c r="C289" s="40">
        <v>5614.66</v>
      </c>
      <c r="D289" s="46">
        <f t="shared" si="13"/>
        <v>-1.0653519220738983E-2</v>
      </c>
      <c r="E289">
        <v>6105.5</v>
      </c>
      <c r="F289">
        <v>7.7690999999999999</v>
      </c>
      <c r="G289" s="43">
        <f t="shared" si="12"/>
        <v>785.86966315274617</v>
      </c>
      <c r="H289">
        <f t="shared" si="14"/>
        <v>3.9675104058408239E-2</v>
      </c>
      <c r="I289"/>
      <c r="K289" s="38"/>
    </row>
    <row r="290" spans="1:11" x14ac:dyDescent="0.3">
      <c r="A290" s="16">
        <v>288</v>
      </c>
      <c r="B290" s="3">
        <v>45735</v>
      </c>
      <c r="C290" s="40">
        <v>5675.29</v>
      </c>
      <c r="D290" s="46">
        <f t="shared" si="13"/>
        <v>1.0798516740105457E-2</v>
      </c>
      <c r="E290">
        <v>6041.19</v>
      </c>
      <c r="F290">
        <v>7.7706999999999997</v>
      </c>
      <c r="G290" s="43">
        <f t="shared" si="12"/>
        <v>777.43189159277802</v>
      </c>
      <c r="H290">
        <f t="shared" si="14"/>
        <v>-1.0736858738276678E-2</v>
      </c>
      <c r="I290"/>
      <c r="K290" s="38"/>
    </row>
    <row r="291" spans="1:11" x14ac:dyDescent="0.3">
      <c r="A291" s="16">
        <v>289</v>
      </c>
      <c r="B291" s="3">
        <v>45736</v>
      </c>
      <c r="C291" s="40">
        <v>5662.89</v>
      </c>
      <c r="D291" s="46">
        <f t="shared" si="13"/>
        <v>-2.1849103746239829E-3</v>
      </c>
      <c r="E291">
        <v>5836.28</v>
      </c>
      <c r="F291">
        <v>7.7725999999999997</v>
      </c>
      <c r="G291" s="43">
        <f t="shared" si="12"/>
        <v>750.87872783881846</v>
      </c>
      <c r="H291">
        <f t="shared" si="14"/>
        <v>-3.4154971054195182E-2</v>
      </c>
      <c r="I291"/>
      <c r="K291" s="38"/>
    </row>
    <row r="292" spans="1:11" x14ac:dyDescent="0.3">
      <c r="A292" s="16">
        <v>290</v>
      </c>
      <c r="B292" s="3">
        <v>45737</v>
      </c>
      <c r="C292" s="40">
        <v>5667.56</v>
      </c>
      <c r="D292" s="46">
        <f t="shared" si="13"/>
        <v>8.2466726353502828E-4</v>
      </c>
      <c r="E292">
        <v>5639.56</v>
      </c>
      <c r="F292">
        <v>7.7732999999999999</v>
      </c>
      <c r="G292" s="43">
        <f t="shared" si="12"/>
        <v>725.5039687134165</v>
      </c>
      <c r="H292">
        <f t="shared" si="14"/>
        <v>-3.3793418543678344E-2</v>
      </c>
      <c r="I292"/>
      <c r="K292" s="38"/>
    </row>
    <row r="293" spans="1:11" x14ac:dyDescent="0.3">
      <c r="A293" s="16">
        <v>291</v>
      </c>
      <c r="B293" s="3">
        <v>45740</v>
      </c>
      <c r="C293" s="40">
        <v>5767.57</v>
      </c>
      <c r="D293" s="46">
        <f t="shared" si="13"/>
        <v>1.7646041682840563E-2</v>
      </c>
      <c r="E293">
        <v>5736.83</v>
      </c>
      <c r="F293">
        <v>7.7742000000000004</v>
      </c>
      <c r="G293" s="43">
        <f t="shared" si="12"/>
        <v>737.93187723495657</v>
      </c>
      <c r="H293">
        <f t="shared" si="14"/>
        <v>1.7130035199641069E-2</v>
      </c>
      <c r="I293"/>
      <c r="K293" s="38"/>
    </row>
    <row r="294" spans="1:11" x14ac:dyDescent="0.3">
      <c r="A294" s="16">
        <v>292</v>
      </c>
      <c r="B294" s="3">
        <v>45741</v>
      </c>
      <c r="C294" s="40">
        <v>5776.65</v>
      </c>
      <c r="D294" s="46">
        <f t="shared" si="13"/>
        <v>1.5743198608773046E-3</v>
      </c>
      <c r="E294">
        <v>5517.52</v>
      </c>
      <c r="F294">
        <v>7.7747000000000002</v>
      </c>
      <c r="G294" s="43">
        <f t="shared" si="12"/>
        <v>709.67625760479507</v>
      </c>
      <c r="H294">
        <f t="shared" si="14"/>
        <v>-3.8290281937725434E-2</v>
      </c>
      <c r="I294"/>
      <c r="K294" s="38"/>
    </row>
    <row r="295" spans="1:11" x14ac:dyDescent="0.3">
      <c r="A295" s="16">
        <v>293</v>
      </c>
      <c r="B295" s="3">
        <v>45742</v>
      </c>
      <c r="C295" s="40">
        <v>5712.2</v>
      </c>
      <c r="D295" s="46">
        <f t="shared" si="13"/>
        <v>-1.115698545004451E-2</v>
      </c>
      <c r="E295">
        <v>5573.04</v>
      </c>
      <c r="F295">
        <v>7.7760999999999996</v>
      </c>
      <c r="G295" s="43">
        <f t="shared" si="12"/>
        <v>716.68831419349033</v>
      </c>
      <c r="H295">
        <f t="shared" si="14"/>
        <v>9.8806413678842464E-3</v>
      </c>
      <c r="I295"/>
      <c r="K295" s="38"/>
    </row>
    <row r="296" spans="1:11" x14ac:dyDescent="0.3">
      <c r="A296" s="16">
        <v>294</v>
      </c>
      <c r="B296" s="3">
        <v>45743</v>
      </c>
      <c r="C296" s="40">
        <v>5693.31</v>
      </c>
      <c r="D296" s="46">
        <f t="shared" si="13"/>
        <v>-3.3069570393192693E-3</v>
      </c>
      <c r="E296">
        <v>5589.12</v>
      </c>
      <c r="F296">
        <v>7.7754000000000003</v>
      </c>
      <c r="G296" s="43">
        <f t="shared" si="12"/>
        <v>718.82089667412606</v>
      </c>
      <c r="H296">
        <f t="shared" si="14"/>
        <v>2.975606603877079E-3</v>
      </c>
      <c r="I296"/>
      <c r="K296" s="38"/>
    </row>
    <row r="297" spans="1:11" x14ac:dyDescent="0.3">
      <c r="A297" s="16">
        <v>295</v>
      </c>
      <c r="B297" s="3">
        <v>45744</v>
      </c>
      <c r="C297" s="40">
        <v>5580.94</v>
      </c>
      <c r="D297" s="46">
        <f t="shared" si="13"/>
        <v>-1.9737200328104554E-2</v>
      </c>
      <c r="E297">
        <v>5506.47</v>
      </c>
      <c r="F297">
        <v>7.7778</v>
      </c>
      <c r="G297" s="43">
        <f t="shared" si="12"/>
        <v>707.97269150659577</v>
      </c>
      <c r="H297">
        <f t="shared" si="14"/>
        <v>-1.5091666391062519E-2</v>
      </c>
      <c r="I297"/>
      <c r="K297" s="38"/>
    </row>
    <row r="298" spans="1:11" x14ac:dyDescent="0.3">
      <c r="A298" s="16">
        <v>296</v>
      </c>
      <c r="B298" s="3">
        <v>45747</v>
      </c>
      <c r="C298" s="40">
        <v>5611.85</v>
      </c>
      <c r="D298" s="46">
        <f t="shared" si="13"/>
        <v>5.5384935154294546E-3</v>
      </c>
      <c r="E298">
        <v>5394.72</v>
      </c>
      <c r="F298">
        <v>7.7801999999999998</v>
      </c>
      <c r="G298" s="43">
        <f t="shared" si="12"/>
        <v>693.39091540063248</v>
      </c>
      <c r="H298">
        <f t="shared" si="14"/>
        <v>-2.0596523398286215E-2</v>
      </c>
      <c r="I298"/>
      <c r="K298" s="38"/>
    </row>
    <row r="299" spans="1:11" x14ac:dyDescent="0.3">
      <c r="A299" s="16">
        <v>297</v>
      </c>
      <c r="B299" s="3">
        <v>45748</v>
      </c>
      <c r="C299" s="40">
        <v>5633.07</v>
      </c>
      <c r="D299" s="46">
        <f t="shared" si="13"/>
        <v>3.7812842467277452E-3</v>
      </c>
      <c r="E299">
        <v>5407.38</v>
      </c>
      <c r="F299">
        <v>7.7808999999999999</v>
      </c>
      <c r="G299" s="43">
        <f t="shared" si="12"/>
        <v>694.9555963963038</v>
      </c>
      <c r="H299">
        <f t="shared" si="14"/>
        <v>2.2565640260332476E-3</v>
      </c>
      <c r="I299"/>
      <c r="K299" s="38"/>
    </row>
    <row r="300" spans="1:11" x14ac:dyDescent="0.3">
      <c r="A300" s="16">
        <v>298</v>
      </c>
      <c r="B300" s="3">
        <v>45749</v>
      </c>
      <c r="C300" s="40">
        <v>5670.97</v>
      </c>
      <c r="D300" s="46">
        <f t="shared" si="13"/>
        <v>6.7281251608803938E-3</v>
      </c>
      <c r="E300">
        <v>5426.44</v>
      </c>
      <c r="F300">
        <v>7.7820999999999998</v>
      </c>
      <c r="G300" s="43">
        <f t="shared" si="12"/>
        <v>697.29764459464661</v>
      </c>
      <c r="H300">
        <f t="shared" si="14"/>
        <v>3.3700688367537257E-3</v>
      </c>
      <c r="I300"/>
      <c r="K300" s="38"/>
    </row>
    <row r="301" spans="1:11" x14ac:dyDescent="0.3">
      <c r="A301" s="16">
        <v>299</v>
      </c>
      <c r="B301" s="3">
        <v>45750</v>
      </c>
      <c r="C301" s="40">
        <v>5396.52</v>
      </c>
      <c r="D301" s="46">
        <f t="shared" si="13"/>
        <v>-4.839560075260485E-2</v>
      </c>
      <c r="E301">
        <v>5313.26</v>
      </c>
      <c r="F301">
        <v>7.7779999999999996</v>
      </c>
      <c r="G301" s="43">
        <f t="shared" si="12"/>
        <v>683.1139110311135</v>
      </c>
      <c r="H301">
        <f t="shared" si="14"/>
        <v>-2.03410031189456E-2</v>
      </c>
      <c r="I301"/>
      <c r="K301" s="38"/>
    </row>
    <row r="302" spans="1:11" x14ac:dyDescent="0.3">
      <c r="A302" s="16">
        <v>300</v>
      </c>
      <c r="B302" s="3">
        <v>45754</v>
      </c>
      <c r="C302" s="40">
        <v>5062.25</v>
      </c>
      <c r="D302" s="46">
        <f t="shared" si="13"/>
        <v>-6.1941769881331044E-2</v>
      </c>
      <c r="E302">
        <v>4401.51</v>
      </c>
      <c r="F302">
        <v>7.7675999999999998</v>
      </c>
      <c r="G302" s="43">
        <f t="shared" si="12"/>
        <v>566.64993048045733</v>
      </c>
      <c r="H302">
        <f t="shared" si="14"/>
        <v>-0.17048983876621948</v>
      </c>
      <c r="I302"/>
      <c r="K302" s="38"/>
    </row>
    <row r="303" spans="1:11" x14ac:dyDescent="0.3">
      <c r="A303" s="16">
        <v>301</v>
      </c>
      <c r="B303" s="3">
        <v>45755</v>
      </c>
      <c r="C303" s="40">
        <v>4982.7700000000004</v>
      </c>
      <c r="D303" s="46">
        <f t="shared" si="13"/>
        <v>-1.5700528421156545E-2</v>
      </c>
      <c r="E303">
        <v>4568.38</v>
      </c>
      <c r="F303">
        <v>7.7708000000000004</v>
      </c>
      <c r="G303" s="43">
        <f t="shared" si="12"/>
        <v>587.89056467802538</v>
      </c>
      <c r="H303">
        <f t="shared" si="14"/>
        <v>3.7484579199644985E-2</v>
      </c>
      <c r="I303"/>
      <c r="K303" s="38"/>
    </row>
    <row r="304" spans="1:11" x14ac:dyDescent="0.3">
      <c r="A304" s="16">
        <v>302</v>
      </c>
      <c r="B304" s="3">
        <v>45756</v>
      </c>
      <c r="C304" s="40">
        <v>5456.9</v>
      </c>
      <c r="D304" s="46">
        <f t="shared" si="13"/>
        <v>9.5153900340573472E-2</v>
      </c>
      <c r="E304">
        <v>4689.1899999999996</v>
      </c>
      <c r="F304">
        <v>7.7607999999999997</v>
      </c>
      <c r="G304" s="43">
        <f t="shared" si="12"/>
        <v>604.21477167302339</v>
      </c>
      <c r="H304">
        <f t="shared" si="14"/>
        <v>2.7767424714391309E-2</v>
      </c>
      <c r="I304"/>
      <c r="K304" s="38"/>
    </row>
    <row r="305" spans="1:11" x14ac:dyDescent="0.3">
      <c r="A305" s="16">
        <v>303</v>
      </c>
      <c r="B305" s="3">
        <v>45757</v>
      </c>
      <c r="C305" s="40">
        <v>5268.05</v>
      </c>
      <c r="D305" s="46">
        <f t="shared" si="13"/>
        <v>-3.4607561069471604E-2</v>
      </c>
      <c r="E305">
        <v>4813.74</v>
      </c>
      <c r="F305">
        <v>7.7586000000000004</v>
      </c>
      <c r="G305" s="43">
        <f t="shared" si="12"/>
        <v>620.43925450467862</v>
      </c>
      <c r="H305">
        <f t="shared" si="14"/>
        <v>2.6852178384733749E-2</v>
      </c>
      <c r="I305"/>
      <c r="K305" s="38"/>
    </row>
    <row r="306" spans="1:11" x14ac:dyDescent="0.3">
      <c r="A306" s="16">
        <v>304</v>
      </c>
      <c r="B306" s="3">
        <v>45758</v>
      </c>
      <c r="C306" s="40">
        <v>5363.36</v>
      </c>
      <c r="D306" s="46">
        <f t="shared" si="13"/>
        <v>1.8092083408471682E-2</v>
      </c>
      <c r="E306">
        <v>4900.43</v>
      </c>
      <c r="F306">
        <v>7.7534000000000001</v>
      </c>
      <c r="G306" s="43">
        <f t="shared" si="12"/>
        <v>632.03626795986281</v>
      </c>
      <c r="H306">
        <f t="shared" si="14"/>
        <v>1.8691617867477639E-2</v>
      </c>
      <c r="I306"/>
      <c r="K306" s="38"/>
    </row>
    <row r="307" spans="1:11" x14ac:dyDescent="0.3">
      <c r="A307" s="16">
        <v>305</v>
      </c>
      <c r="B307" s="3">
        <v>45761</v>
      </c>
      <c r="C307" s="40">
        <v>5405.97</v>
      </c>
      <c r="D307" s="46">
        <f t="shared" si="13"/>
        <v>7.9446466394201831E-3</v>
      </c>
      <c r="E307">
        <v>5015.12</v>
      </c>
      <c r="F307">
        <v>7.7561</v>
      </c>
      <c r="G307" s="43">
        <f t="shared" si="12"/>
        <v>646.60331867820162</v>
      </c>
      <c r="H307">
        <f t="shared" si="14"/>
        <v>2.3047808261635883E-2</v>
      </c>
      <c r="I307"/>
      <c r="K307" s="38"/>
    </row>
    <row r="308" spans="1:11" x14ac:dyDescent="0.3">
      <c r="A308" s="16">
        <v>306</v>
      </c>
      <c r="B308" s="3">
        <v>45762</v>
      </c>
      <c r="C308" s="40">
        <v>5396.63</v>
      </c>
      <c r="D308" s="46">
        <f t="shared" si="13"/>
        <v>-1.7277195396940837E-3</v>
      </c>
      <c r="E308">
        <v>4981.6000000000004</v>
      </c>
      <c r="F308">
        <v>7.7573999999999996</v>
      </c>
      <c r="G308" s="43">
        <f t="shared" si="12"/>
        <v>642.17392425297146</v>
      </c>
      <c r="H308">
        <f t="shared" si="14"/>
        <v>-6.8502500641116626E-3</v>
      </c>
      <c r="I308"/>
      <c r="K308" s="38"/>
    </row>
    <row r="309" spans="1:11" x14ac:dyDescent="0.3">
      <c r="A309" s="16">
        <v>307</v>
      </c>
      <c r="B309" s="3">
        <v>45763</v>
      </c>
      <c r="C309" s="40">
        <v>5275.7</v>
      </c>
      <c r="D309" s="46">
        <f t="shared" si="13"/>
        <v>-2.2408428964001637E-2</v>
      </c>
      <c r="E309">
        <v>4796.28</v>
      </c>
      <c r="F309">
        <v>7.7622999999999998</v>
      </c>
      <c r="G309" s="43">
        <f t="shared" si="12"/>
        <v>617.89418084845988</v>
      </c>
      <c r="H309">
        <f t="shared" si="14"/>
        <v>-3.7808672210967953E-2</v>
      </c>
      <c r="I309"/>
      <c r="K309" s="38"/>
    </row>
    <row r="310" spans="1:11" x14ac:dyDescent="0.3">
      <c r="A310" s="16">
        <v>308</v>
      </c>
      <c r="B310" s="3">
        <v>45764</v>
      </c>
      <c r="C310" s="40">
        <v>5282.7</v>
      </c>
      <c r="D310" s="46">
        <f t="shared" si="13"/>
        <v>1.3268381447011368E-3</v>
      </c>
      <c r="E310">
        <v>4887.37</v>
      </c>
      <c r="F310">
        <v>7.7638999999999996</v>
      </c>
      <c r="G310" s="43">
        <f t="shared" si="12"/>
        <v>629.49934955370372</v>
      </c>
      <c r="H310">
        <f t="shared" si="14"/>
        <v>1.8781806116555888E-2</v>
      </c>
      <c r="I310"/>
      <c r="K310" s="38"/>
    </row>
    <row r="311" spans="1:11" x14ac:dyDescent="0.3">
      <c r="A311" s="16">
        <v>309</v>
      </c>
      <c r="B311" s="3">
        <v>45769</v>
      </c>
      <c r="C311" s="40">
        <v>5287.76</v>
      </c>
      <c r="D311" s="46">
        <f t="shared" si="13"/>
        <v>9.5784352698435882E-4</v>
      </c>
      <c r="E311">
        <v>4899.21</v>
      </c>
      <c r="F311">
        <v>7.7580999999999998</v>
      </c>
      <c r="G311" s="43">
        <f t="shared" si="12"/>
        <v>631.49611373918879</v>
      </c>
      <c r="H311">
        <f t="shared" si="14"/>
        <v>3.1719876865650143E-3</v>
      </c>
      <c r="I311"/>
      <c r="K311" s="38"/>
    </row>
    <row r="312" spans="1:11" x14ac:dyDescent="0.3">
      <c r="A312" s="16">
        <v>310</v>
      </c>
      <c r="B312" s="3">
        <v>45770</v>
      </c>
      <c r="C312" s="40">
        <v>5375.86</v>
      </c>
      <c r="D312" s="46">
        <f t="shared" si="13"/>
        <v>1.6661119264111734E-2</v>
      </c>
      <c r="E312">
        <v>5049.3999999999996</v>
      </c>
      <c r="F312">
        <v>7.7601000000000004</v>
      </c>
      <c r="G312" s="43">
        <f t="shared" si="12"/>
        <v>650.687491140578</v>
      </c>
      <c r="H312">
        <f t="shared" si="14"/>
        <v>3.0390333343073284E-2</v>
      </c>
      <c r="I312"/>
      <c r="K312" s="38"/>
    </row>
    <row r="313" spans="1:11" x14ac:dyDescent="0.3">
      <c r="A313" s="16">
        <v>311</v>
      </c>
      <c r="B313" s="3">
        <v>45771</v>
      </c>
      <c r="C313" s="40">
        <v>5484.77</v>
      </c>
      <c r="D313" s="46">
        <f t="shared" si="13"/>
        <v>2.025908412793509E-2</v>
      </c>
      <c r="E313">
        <v>4975.8900000000003</v>
      </c>
      <c r="F313">
        <v>7.7587999999999999</v>
      </c>
      <c r="G313" s="43">
        <f t="shared" si="12"/>
        <v>641.32211166675268</v>
      </c>
      <c r="H313">
        <f t="shared" si="14"/>
        <v>-1.4393052888428737E-2</v>
      </c>
      <c r="I313"/>
      <c r="K313" s="38"/>
    </row>
    <row r="314" spans="1:11" x14ac:dyDescent="0.3">
      <c r="A314" s="16">
        <v>312</v>
      </c>
      <c r="B314" s="3">
        <v>45772</v>
      </c>
      <c r="C314" s="40">
        <v>5525.21</v>
      </c>
      <c r="D314" s="46">
        <f t="shared" si="13"/>
        <v>7.3731441792452834E-3</v>
      </c>
      <c r="E314">
        <v>4982.96</v>
      </c>
      <c r="F314">
        <v>7.7573999999999996</v>
      </c>
      <c r="G314" s="43">
        <f t="shared" si="12"/>
        <v>642.34924072498518</v>
      </c>
      <c r="H314">
        <f t="shared" si="14"/>
        <v>1.601580609099873E-3</v>
      </c>
      <c r="I314"/>
      <c r="K314" s="38"/>
    </row>
    <row r="315" spans="1:11" x14ac:dyDescent="0.3">
      <c r="A315" s="16">
        <v>313</v>
      </c>
      <c r="B315" s="3">
        <v>45775</v>
      </c>
      <c r="C315" s="40">
        <v>5528.75</v>
      </c>
      <c r="D315" s="46">
        <f t="shared" si="13"/>
        <v>6.4069962951629478E-4</v>
      </c>
      <c r="E315">
        <v>4988.9399999999996</v>
      </c>
      <c r="F315">
        <v>7.7567000000000004</v>
      </c>
      <c r="G315" s="43">
        <f t="shared" si="12"/>
        <v>643.17815565897865</v>
      </c>
      <c r="H315">
        <f t="shared" si="14"/>
        <v>1.2904427707549626E-3</v>
      </c>
      <c r="I315"/>
      <c r="K315" s="38"/>
    </row>
    <row r="316" spans="1:11" x14ac:dyDescent="0.3">
      <c r="A316" s="16">
        <v>314</v>
      </c>
      <c r="B316" s="3">
        <v>45776</v>
      </c>
      <c r="C316" s="40">
        <v>5560.83</v>
      </c>
      <c r="D316" s="46">
        <f t="shared" si="13"/>
        <v>5.8023965634184105E-3</v>
      </c>
      <c r="E316">
        <v>5019.7299999999996</v>
      </c>
      <c r="F316">
        <v>7.7588999999999997</v>
      </c>
      <c r="G316" s="43">
        <f t="shared" si="12"/>
        <v>646.9641315134877</v>
      </c>
      <c r="H316">
        <f t="shared" si="14"/>
        <v>5.8863564024964621E-3</v>
      </c>
      <c r="I316"/>
      <c r="K316" s="38"/>
    </row>
    <row r="317" spans="1:11" x14ac:dyDescent="0.3">
      <c r="A317" s="16">
        <v>315</v>
      </c>
      <c r="B317" s="3">
        <v>45777</v>
      </c>
      <c r="C317" s="40">
        <v>5569.06</v>
      </c>
      <c r="D317" s="46">
        <f t="shared" si="13"/>
        <v>1.4799948928487794E-3</v>
      </c>
      <c r="E317">
        <v>5087.42</v>
      </c>
      <c r="F317">
        <v>7.7556000000000003</v>
      </c>
      <c r="G317" s="43">
        <f t="shared" si="12"/>
        <v>655.96730104698543</v>
      </c>
      <c r="H317">
        <f t="shared" si="14"/>
        <v>1.3916025780959407E-2</v>
      </c>
      <c r="I317"/>
      <c r="K317" s="38"/>
    </row>
    <row r="318" spans="1:11" x14ac:dyDescent="0.3">
      <c r="B318" s="3"/>
      <c r="C318" s="40"/>
      <c r="D318" s="19"/>
      <c r="E318"/>
      <c r="F318"/>
      <c r="G318" s="43"/>
      <c r="H318"/>
      <c r="I318"/>
      <c r="K318" s="38"/>
    </row>
    <row r="319" spans="1:11" x14ac:dyDescent="0.3">
      <c r="B319" s="3"/>
      <c r="C319" s="40"/>
      <c r="D319" s="19"/>
      <c r="E319"/>
      <c r="F319"/>
      <c r="G319" s="43"/>
      <c r="H319"/>
      <c r="I319"/>
      <c r="K319" s="38"/>
    </row>
    <row r="320" spans="1:11" x14ac:dyDescent="0.3">
      <c r="B320" s="3"/>
      <c r="C320" s="40"/>
      <c r="D320" s="19"/>
      <c r="E320"/>
      <c r="F320"/>
      <c r="G320" s="43"/>
      <c r="H320"/>
      <c r="I320"/>
      <c r="K320" s="38"/>
    </row>
    <row r="321" spans="2:11" x14ac:dyDescent="0.3">
      <c r="B321" s="3"/>
      <c r="C321" s="40"/>
      <c r="D321" s="19"/>
      <c r="E321"/>
      <c r="F321"/>
      <c r="G321" s="43"/>
      <c r="H321"/>
      <c r="I321"/>
      <c r="K321" s="38"/>
    </row>
    <row r="322" spans="2:11" x14ac:dyDescent="0.3">
      <c r="B322" s="3"/>
      <c r="C322" s="40"/>
      <c r="D322" s="19"/>
      <c r="E322"/>
      <c r="F322"/>
      <c r="G322" s="43"/>
      <c r="H322"/>
      <c r="I322"/>
      <c r="K322" s="38"/>
    </row>
    <row r="323" spans="2:11" x14ac:dyDescent="0.3">
      <c r="B323" s="3"/>
      <c r="C323" s="40"/>
      <c r="D323" s="19"/>
      <c r="E323"/>
      <c r="F323"/>
      <c r="G323" s="43"/>
      <c r="H323"/>
      <c r="I323"/>
      <c r="K323" s="38"/>
    </row>
    <row r="324" spans="2:11" x14ac:dyDescent="0.3">
      <c r="B324" s="3"/>
      <c r="C324" s="40"/>
      <c r="D324" s="19"/>
      <c r="E324"/>
      <c r="F324"/>
      <c r="G324" s="43"/>
      <c r="H324"/>
      <c r="I324"/>
      <c r="K324" s="38"/>
    </row>
    <row r="325" spans="2:11" x14ac:dyDescent="0.3">
      <c r="B325" s="3"/>
      <c r="C325" s="40"/>
      <c r="D325" s="19"/>
      <c r="E325"/>
      <c r="F325"/>
      <c r="G325" s="43"/>
      <c r="H325"/>
      <c r="I325"/>
      <c r="K325" s="38"/>
    </row>
    <row r="326" spans="2:11" x14ac:dyDescent="0.3">
      <c r="B326" s="3"/>
      <c r="C326" s="40"/>
      <c r="D326" s="19"/>
      <c r="E326"/>
      <c r="F326"/>
      <c r="G326" s="43"/>
      <c r="H326"/>
      <c r="I326"/>
      <c r="K326" s="38"/>
    </row>
    <row r="327" spans="2:11" x14ac:dyDescent="0.3">
      <c r="B327" s="3"/>
      <c r="C327" s="40"/>
      <c r="D327" s="19"/>
      <c r="E327"/>
      <c r="F327"/>
      <c r="G327" s="43"/>
      <c r="H327"/>
      <c r="I327"/>
      <c r="K327" s="38"/>
    </row>
    <row r="328" spans="2:11" x14ac:dyDescent="0.3">
      <c r="B328" s="3"/>
      <c r="C328" s="40"/>
      <c r="D328" s="19"/>
      <c r="E328"/>
      <c r="F328"/>
      <c r="G328" s="43"/>
      <c r="H328"/>
      <c r="I328"/>
      <c r="K328" s="38"/>
    </row>
    <row r="329" spans="2:11" x14ac:dyDescent="0.3">
      <c r="B329" s="3"/>
      <c r="C329" s="40"/>
      <c r="D329" s="19"/>
      <c r="E329"/>
      <c r="F329"/>
      <c r="G329" s="43"/>
      <c r="H329"/>
      <c r="I329"/>
      <c r="K329" s="38"/>
    </row>
    <row r="330" spans="2:11" x14ac:dyDescent="0.3">
      <c r="B330" s="3"/>
      <c r="C330" s="40"/>
      <c r="D330" s="19"/>
      <c r="E330"/>
      <c r="F330"/>
      <c r="G330" s="43"/>
      <c r="H330"/>
      <c r="I330"/>
      <c r="K330" s="38"/>
    </row>
    <row r="331" spans="2:11" x14ac:dyDescent="0.3">
      <c r="B331" s="3"/>
      <c r="C331" s="40"/>
      <c r="D331" s="19"/>
      <c r="E331"/>
      <c r="F331"/>
      <c r="G331" s="43"/>
      <c r="H331"/>
      <c r="I331"/>
      <c r="K331" s="38"/>
    </row>
    <row r="332" spans="2:11" x14ac:dyDescent="0.3">
      <c r="B332" s="3"/>
      <c r="C332" s="40"/>
      <c r="D332" s="19"/>
      <c r="E332"/>
      <c r="F332"/>
      <c r="G332" s="43"/>
      <c r="H332"/>
      <c r="I332"/>
      <c r="K332" s="38"/>
    </row>
    <row r="333" spans="2:11" x14ac:dyDescent="0.3">
      <c r="B333" s="3"/>
      <c r="C333" s="40"/>
      <c r="D333" s="19"/>
      <c r="E333"/>
      <c r="F333"/>
      <c r="G333" s="43"/>
      <c r="H333"/>
      <c r="I333"/>
      <c r="K333" s="38"/>
    </row>
    <row r="334" spans="2:11" x14ac:dyDescent="0.3">
      <c r="B334" s="3"/>
      <c r="C334" s="40"/>
      <c r="D334" s="19"/>
      <c r="E334"/>
      <c r="F334"/>
      <c r="G334" s="43"/>
      <c r="H334"/>
      <c r="I334"/>
      <c r="K334" s="38"/>
    </row>
    <row r="335" spans="2:11" x14ac:dyDescent="0.3">
      <c r="B335" s="3"/>
      <c r="C335" s="23"/>
      <c r="D335"/>
      <c r="E335"/>
      <c r="F335"/>
      <c r="G335" s="43"/>
      <c r="H335"/>
      <c r="I335"/>
      <c r="K335" s="38"/>
    </row>
    <row r="336" spans="2:11" x14ac:dyDescent="0.3">
      <c r="B336" s="3"/>
      <c r="C336" s="23"/>
      <c r="D336"/>
      <c r="E336"/>
      <c r="F336"/>
      <c r="G336" s="43"/>
      <c r="H336"/>
      <c r="I336"/>
      <c r="K336" s="38"/>
    </row>
    <row r="337" spans="2:11" x14ac:dyDescent="0.3">
      <c r="B337" s="3"/>
      <c r="C337" s="23"/>
      <c r="D337"/>
      <c r="E337"/>
      <c r="F337"/>
      <c r="G337" s="43"/>
      <c r="H337"/>
      <c r="I337"/>
      <c r="K337" s="38"/>
    </row>
    <row r="338" spans="2:11" x14ac:dyDescent="0.3">
      <c r="B338" s="3"/>
      <c r="C338" s="23"/>
      <c r="D338"/>
      <c r="E338"/>
      <c r="F338"/>
      <c r="G338" s="43"/>
      <c r="H338"/>
      <c r="I338"/>
      <c r="K338" s="38"/>
    </row>
    <row r="339" spans="2:11" x14ac:dyDescent="0.3">
      <c r="B339" s="3"/>
      <c r="C339" s="23"/>
      <c r="D339"/>
      <c r="E339"/>
      <c r="F339"/>
      <c r="G339" s="43"/>
      <c r="H339"/>
      <c r="I339"/>
      <c r="K339" s="38"/>
    </row>
    <row r="340" spans="2:11" x14ac:dyDescent="0.3">
      <c r="B340" s="3"/>
      <c r="C340" s="23"/>
      <c r="D340"/>
      <c r="E340"/>
      <c r="F340"/>
      <c r="G340" s="43"/>
      <c r="H340"/>
      <c r="I340"/>
      <c r="K340" s="38"/>
    </row>
    <row r="341" spans="2:11" x14ac:dyDescent="0.3">
      <c r="B341" s="3"/>
      <c r="C341" s="23"/>
      <c r="D341"/>
      <c r="E341"/>
      <c r="F341"/>
      <c r="G341" s="43"/>
      <c r="H341"/>
      <c r="I341"/>
      <c r="K341" s="38"/>
    </row>
    <row r="342" spans="2:11" x14ac:dyDescent="0.3">
      <c r="B342" s="3"/>
      <c r="C342" s="23"/>
      <c r="D342"/>
      <c r="E342"/>
      <c r="F342"/>
      <c r="G342" s="43"/>
      <c r="H342"/>
      <c r="I342"/>
      <c r="K342" s="38"/>
    </row>
    <row r="343" spans="2:11" x14ac:dyDescent="0.3">
      <c r="B343" s="3"/>
      <c r="C343" s="23"/>
      <c r="D343"/>
      <c r="E343"/>
      <c r="F343"/>
      <c r="G343" s="43"/>
      <c r="H343"/>
      <c r="I343"/>
      <c r="K343" s="38"/>
    </row>
    <row r="344" spans="2:11" x14ac:dyDescent="0.3">
      <c r="B344" s="3"/>
      <c r="C344" s="23"/>
      <c r="D344"/>
      <c r="E344"/>
      <c r="F344"/>
      <c r="G344" s="43"/>
      <c r="H344"/>
      <c r="I344"/>
      <c r="K344" s="38"/>
    </row>
    <row r="345" spans="2:11" x14ac:dyDescent="0.3">
      <c r="B345" s="3"/>
      <c r="C345" s="23"/>
      <c r="D345"/>
      <c r="E345"/>
      <c r="F345"/>
      <c r="G345" s="43"/>
      <c r="H345"/>
      <c r="I345"/>
      <c r="K345" s="38"/>
    </row>
    <row r="346" spans="2:11" x14ac:dyDescent="0.3">
      <c r="B346" s="3"/>
      <c r="C346" s="23"/>
      <c r="D346"/>
      <c r="E346"/>
      <c r="F346"/>
      <c r="G346" s="43"/>
      <c r="H346"/>
      <c r="I346"/>
      <c r="K346" s="38"/>
    </row>
    <row r="347" spans="2:11" x14ac:dyDescent="0.3">
      <c r="B347" s="3"/>
      <c r="C347" s="23"/>
      <c r="D347"/>
      <c r="E347"/>
      <c r="F347"/>
      <c r="G347" s="43"/>
      <c r="H347"/>
      <c r="I347"/>
      <c r="K347" s="38"/>
    </row>
    <row r="348" spans="2:11" x14ac:dyDescent="0.3">
      <c r="B348" s="3"/>
      <c r="C348" s="23"/>
      <c r="D348"/>
      <c r="E348"/>
      <c r="F348"/>
      <c r="G348" s="43"/>
      <c r="H348"/>
      <c r="I348"/>
      <c r="K348" s="38"/>
    </row>
    <row r="349" spans="2:11" x14ac:dyDescent="0.3">
      <c r="B349" s="3"/>
      <c r="C349" s="23"/>
      <c r="D349"/>
      <c r="E349"/>
      <c r="F349"/>
      <c r="G349" s="43"/>
      <c r="H349"/>
      <c r="I349"/>
      <c r="K349" s="38"/>
    </row>
    <row r="350" spans="2:11" x14ac:dyDescent="0.3">
      <c r="B350" s="3"/>
      <c r="C350" s="23"/>
      <c r="D350"/>
      <c r="E350"/>
      <c r="F350" s="11"/>
      <c r="G350" s="43"/>
      <c r="H350"/>
      <c r="I350"/>
      <c r="K350" s="38"/>
    </row>
    <row r="351" spans="2:11" x14ac:dyDescent="0.3">
      <c r="B351" s="3"/>
      <c r="C351" s="23"/>
      <c r="D351"/>
      <c r="E351"/>
      <c r="F351" s="11"/>
      <c r="G351" s="43"/>
      <c r="H351"/>
      <c r="I351"/>
      <c r="K351" s="38"/>
    </row>
    <row r="352" spans="2:11" x14ac:dyDescent="0.3">
      <c r="B352" s="3"/>
      <c r="C352" s="23"/>
      <c r="D352"/>
      <c r="E352"/>
      <c r="F352" s="11"/>
      <c r="G352" s="43"/>
      <c r="H352"/>
      <c r="I352"/>
      <c r="K352" s="38"/>
    </row>
    <row r="353" spans="2:11" x14ac:dyDescent="0.3">
      <c r="B353" s="3"/>
      <c r="C353" s="23"/>
      <c r="D353"/>
      <c r="E353"/>
      <c r="F353" s="11"/>
      <c r="G353" s="43"/>
      <c r="H353"/>
      <c r="I353"/>
      <c r="K353" s="38"/>
    </row>
    <row r="354" spans="2:11" x14ac:dyDescent="0.3">
      <c r="B354" s="3"/>
      <c r="C354" s="23"/>
      <c r="D354"/>
      <c r="E354"/>
      <c r="F354" s="11"/>
      <c r="G354" s="43"/>
      <c r="H354"/>
      <c r="I354"/>
      <c r="K354" s="38"/>
    </row>
    <row r="355" spans="2:11" x14ac:dyDescent="0.3">
      <c r="B355" s="3"/>
      <c r="C355" s="23"/>
      <c r="D355"/>
      <c r="E355"/>
      <c r="F355" s="11"/>
      <c r="G355" s="43"/>
      <c r="H355"/>
      <c r="I355"/>
      <c r="K355" s="38"/>
    </row>
    <row r="356" spans="2:11" x14ac:dyDescent="0.3">
      <c r="B356" s="3"/>
      <c r="C356" s="23"/>
      <c r="D356"/>
      <c r="E356"/>
      <c r="F356" s="11"/>
      <c r="G356" s="43"/>
      <c r="H356"/>
      <c r="I356"/>
      <c r="K356" s="38"/>
    </row>
    <row r="357" spans="2:11" x14ac:dyDescent="0.3">
      <c r="B357" s="3"/>
      <c r="C357" s="23"/>
      <c r="D357"/>
      <c r="E357" s="39"/>
      <c r="F357" s="11"/>
      <c r="G357" s="43"/>
      <c r="H357"/>
      <c r="I357"/>
      <c r="K357" s="38"/>
    </row>
    <row r="358" spans="2:11" x14ac:dyDescent="0.3">
      <c r="B358" s="3"/>
      <c r="C358" s="23"/>
      <c r="D358"/>
      <c r="E358" s="39"/>
      <c r="F358" s="11"/>
      <c r="G358" s="43"/>
      <c r="H358"/>
      <c r="I358"/>
      <c r="K358" s="38"/>
    </row>
    <row r="359" spans="2:11" x14ac:dyDescent="0.3">
      <c r="B359" s="3"/>
      <c r="C359" s="23"/>
      <c r="D359"/>
      <c r="E359" s="39"/>
      <c r="F359" s="11"/>
      <c r="G359" s="43"/>
      <c r="H359"/>
      <c r="I359"/>
      <c r="K359" s="38"/>
    </row>
    <row r="360" spans="2:11" x14ac:dyDescent="0.3">
      <c r="B360" s="3"/>
      <c r="C360" s="23"/>
      <c r="D360"/>
      <c r="E360" s="39"/>
      <c r="F360" s="11"/>
      <c r="G360" s="43"/>
      <c r="H360"/>
      <c r="I360"/>
      <c r="K360" s="38"/>
    </row>
    <row r="361" spans="2:11" x14ac:dyDescent="0.3">
      <c r="B361" s="3"/>
      <c r="C361" s="23"/>
      <c r="D361"/>
      <c r="E361" s="39"/>
      <c r="F361" s="11"/>
      <c r="G361" s="43"/>
      <c r="H361"/>
      <c r="I361"/>
      <c r="K361" s="38"/>
    </row>
    <row r="362" spans="2:11" x14ac:dyDescent="0.3">
      <c r="B362" s="3"/>
      <c r="C362" s="40"/>
      <c r="D362" s="19"/>
      <c r="E362" s="39"/>
      <c r="F362" s="11"/>
      <c r="G362" s="43"/>
      <c r="H362"/>
      <c r="I362"/>
      <c r="K362" s="38"/>
    </row>
    <row r="363" spans="2:11" x14ac:dyDescent="0.3">
      <c r="B363" s="3"/>
      <c r="C363" s="40"/>
      <c r="D363" s="19"/>
      <c r="E363" s="39"/>
      <c r="F363" s="11"/>
      <c r="G363" s="43"/>
      <c r="H363"/>
      <c r="I363"/>
      <c r="K363" s="38"/>
    </row>
    <row r="364" spans="2:11" x14ac:dyDescent="0.3">
      <c r="B364" s="3"/>
      <c r="C364" s="40"/>
      <c r="D364" s="19"/>
      <c r="E364" s="39"/>
      <c r="F364" s="11"/>
      <c r="G364" s="43"/>
      <c r="H364"/>
      <c r="I364"/>
      <c r="K364" s="38"/>
    </row>
    <row r="365" spans="2:11" x14ac:dyDescent="0.3">
      <c r="C365" s="40"/>
      <c r="D365" s="19"/>
      <c r="E365" s="39"/>
      <c r="F365" s="11"/>
      <c r="G365" s="43"/>
      <c r="H365"/>
      <c r="I365"/>
      <c r="K365" s="38"/>
    </row>
    <row r="366" spans="2:11" x14ac:dyDescent="0.3">
      <c r="C366" s="40"/>
      <c r="D366" s="19"/>
      <c r="E366" s="39"/>
      <c r="F366" s="11"/>
      <c r="G366" s="43"/>
      <c r="H366"/>
      <c r="I366"/>
      <c r="K366" s="38"/>
    </row>
    <row r="367" spans="2:11" x14ac:dyDescent="0.3">
      <c r="C367" s="40"/>
      <c r="D367" s="19"/>
      <c r="E367" s="39"/>
      <c r="F367" s="11"/>
      <c r="G367" s="43"/>
      <c r="H367"/>
      <c r="I367"/>
      <c r="K367" s="38"/>
    </row>
    <row r="368" spans="2:11" x14ac:dyDescent="0.3">
      <c r="C368" s="40"/>
      <c r="D368" s="19"/>
      <c r="E368" s="39"/>
      <c r="F368" s="11"/>
      <c r="G368" s="43"/>
      <c r="H368"/>
      <c r="I368"/>
      <c r="K368" s="38"/>
    </row>
    <row r="369" spans="2:11" x14ac:dyDescent="0.3">
      <c r="C369" s="40"/>
      <c r="D369" s="19"/>
      <c r="E369" s="39"/>
      <c r="F369" s="11"/>
      <c r="G369" s="43"/>
      <c r="H369"/>
      <c r="I369"/>
      <c r="K369" s="38"/>
    </row>
    <row r="370" spans="2:11" x14ac:dyDescent="0.3">
      <c r="C370" s="40"/>
      <c r="D370" s="19"/>
      <c r="E370" s="39"/>
      <c r="F370" s="11"/>
      <c r="G370" s="43"/>
      <c r="H370"/>
      <c r="I370"/>
      <c r="K370" s="38"/>
    </row>
    <row r="371" spans="2:11" x14ac:dyDescent="0.3">
      <c r="C371" s="40"/>
      <c r="D371" s="19"/>
      <c r="E371" s="39"/>
      <c r="F371" s="11"/>
      <c r="G371" s="43"/>
      <c r="H371"/>
      <c r="I371"/>
      <c r="K371" s="38"/>
    </row>
    <row r="372" spans="2:11" x14ac:dyDescent="0.3">
      <c r="C372" s="40"/>
      <c r="D372" s="19"/>
      <c r="E372" s="39"/>
      <c r="F372" s="11"/>
      <c r="G372" s="43"/>
      <c r="H372"/>
      <c r="I372"/>
      <c r="K372" s="38"/>
    </row>
    <row r="373" spans="2:11" x14ac:dyDescent="0.3">
      <c r="C373" s="40"/>
      <c r="D373" s="19"/>
      <c r="E373" s="39"/>
      <c r="F373" s="11"/>
      <c r="G373" s="43"/>
      <c r="H373"/>
      <c r="I373"/>
      <c r="K373" s="38"/>
    </row>
    <row r="374" spans="2:11" x14ac:dyDescent="0.3">
      <c r="C374" s="40"/>
      <c r="D374" s="19"/>
      <c r="E374" s="39"/>
      <c r="F374" s="11"/>
      <c r="G374" s="43"/>
      <c r="H374"/>
      <c r="I374"/>
      <c r="K374" s="38"/>
    </row>
    <row r="375" spans="2:11" x14ac:dyDescent="0.3">
      <c r="C375" s="40"/>
      <c r="D375" s="19"/>
      <c r="E375" s="39"/>
      <c r="F375" s="11"/>
      <c r="G375" s="43"/>
      <c r="H375"/>
      <c r="I375"/>
      <c r="K375" s="38"/>
    </row>
    <row r="376" spans="2:11" x14ac:dyDescent="0.3">
      <c r="B376" s="38"/>
      <c r="C376" s="40"/>
      <c r="D376" s="19"/>
      <c r="E376" s="39"/>
      <c r="F376" s="12"/>
      <c r="G376" s="43"/>
      <c r="H376"/>
      <c r="I376"/>
      <c r="K376" s="38"/>
    </row>
    <row r="377" spans="2:11" x14ac:dyDescent="0.3">
      <c r="B377" s="38"/>
      <c r="C377" s="40"/>
      <c r="D377" s="19"/>
      <c r="E377" s="39"/>
      <c r="F377" s="12"/>
      <c r="G377" s="43"/>
      <c r="H377"/>
      <c r="I377"/>
      <c r="K377" s="38"/>
    </row>
    <row r="378" spans="2:11" x14ac:dyDescent="0.3">
      <c r="B378" s="38"/>
      <c r="C378" s="40"/>
      <c r="D378" s="19"/>
      <c r="E378" s="39"/>
      <c r="F378" s="12"/>
      <c r="G378" s="43"/>
      <c r="H378"/>
      <c r="I378"/>
      <c r="K378" s="38"/>
    </row>
    <row r="379" spans="2:11" x14ac:dyDescent="0.3">
      <c r="B379" s="38"/>
      <c r="C379" s="40"/>
      <c r="D379" s="19"/>
      <c r="E379" s="39"/>
      <c r="F379" s="12"/>
      <c r="G379" s="43"/>
      <c r="H379"/>
      <c r="I379"/>
      <c r="K379" s="38"/>
    </row>
    <row r="380" spans="2:11" x14ac:dyDescent="0.3">
      <c r="B380" s="38"/>
      <c r="C380" s="40"/>
      <c r="D380" s="19"/>
      <c r="E380" s="39"/>
      <c r="F380" s="12"/>
      <c r="G380" s="43"/>
      <c r="H380"/>
      <c r="I380"/>
      <c r="K380" s="38"/>
    </row>
    <row r="381" spans="2:11" x14ac:dyDescent="0.3">
      <c r="B381" s="38"/>
      <c r="C381" s="40"/>
      <c r="D381" s="19"/>
      <c r="E381" s="39"/>
      <c r="F381" s="12"/>
      <c r="G381" s="43"/>
      <c r="H381"/>
      <c r="I381"/>
      <c r="K381" s="38"/>
    </row>
    <row r="382" spans="2:11" x14ac:dyDescent="0.3">
      <c r="B382" s="38"/>
      <c r="C382" s="40"/>
      <c r="D382" s="19"/>
      <c r="E382" s="39"/>
      <c r="F382" s="12"/>
      <c r="G382" s="43"/>
      <c r="H382"/>
      <c r="I382"/>
      <c r="K382" s="38"/>
    </row>
    <row r="383" spans="2:11" x14ac:dyDescent="0.3">
      <c r="B383" s="38"/>
      <c r="C383" s="40"/>
      <c r="D383" s="19"/>
      <c r="E383" s="39"/>
      <c r="F383" s="12"/>
      <c r="G383" s="43"/>
      <c r="H383"/>
      <c r="I383"/>
      <c r="K383" s="38"/>
    </row>
    <row r="384" spans="2:11" x14ac:dyDescent="0.3">
      <c r="B384" s="38"/>
      <c r="C384" s="40"/>
      <c r="D384" s="19"/>
      <c r="E384" s="39"/>
      <c r="F384" s="12"/>
      <c r="G384" s="43"/>
      <c r="H384"/>
      <c r="I384"/>
      <c r="K384" s="38"/>
    </row>
    <row r="385" spans="2:11" x14ac:dyDescent="0.3">
      <c r="B385" s="38"/>
      <c r="C385" s="40"/>
      <c r="D385" s="19"/>
      <c r="E385" s="39"/>
      <c r="F385" s="12"/>
      <c r="G385" s="43"/>
      <c r="H385"/>
      <c r="I385"/>
      <c r="K385" s="38"/>
    </row>
    <row r="386" spans="2:11" x14ac:dyDescent="0.3">
      <c r="B386" s="38"/>
      <c r="C386" s="40"/>
      <c r="D386" s="19"/>
      <c r="E386" s="39"/>
      <c r="F386" s="12"/>
      <c r="G386" s="43"/>
      <c r="H386"/>
      <c r="I386"/>
      <c r="K386" s="38"/>
    </row>
    <row r="387" spans="2:11" x14ac:dyDescent="0.3">
      <c r="B387" s="38"/>
      <c r="C387" s="40"/>
      <c r="D387" s="19"/>
      <c r="E387" s="39"/>
      <c r="F387" s="12"/>
      <c r="G387" s="43"/>
      <c r="H387"/>
      <c r="I387"/>
      <c r="K387" s="38"/>
    </row>
    <row r="388" spans="2:11" x14ac:dyDescent="0.3">
      <c r="B388" s="38"/>
      <c r="C388" s="40"/>
      <c r="D388" s="19"/>
      <c r="E388" s="39"/>
      <c r="F388" s="12"/>
      <c r="G388" s="43"/>
      <c r="H388"/>
      <c r="I388"/>
      <c r="K388" s="38"/>
    </row>
    <row r="389" spans="2:11" x14ac:dyDescent="0.3">
      <c r="B389" s="38"/>
      <c r="C389" s="40"/>
      <c r="D389" s="19"/>
      <c r="E389" s="39"/>
      <c r="F389" s="12"/>
      <c r="G389" s="43"/>
      <c r="H389"/>
      <c r="I389"/>
      <c r="K389" s="38"/>
    </row>
    <row r="390" spans="2:11" x14ac:dyDescent="0.3">
      <c r="B390" s="38"/>
      <c r="C390" s="40"/>
      <c r="D390" s="19"/>
      <c r="E390" s="39"/>
      <c r="F390" s="12"/>
      <c r="G390" s="43"/>
      <c r="H390"/>
      <c r="I390"/>
      <c r="K390" s="38"/>
    </row>
    <row r="391" spans="2:11" x14ac:dyDescent="0.3">
      <c r="B391" s="38"/>
      <c r="C391" s="40"/>
      <c r="D391" s="19"/>
      <c r="E391" s="39"/>
      <c r="F391" s="12"/>
      <c r="G391" s="43"/>
      <c r="H391"/>
      <c r="I391"/>
      <c r="K391" s="38"/>
    </row>
    <row r="392" spans="2:11" x14ac:dyDescent="0.3">
      <c r="B392" s="38"/>
      <c r="C392" s="40"/>
      <c r="D392" s="19"/>
      <c r="E392" s="39"/>
      <c r="F392" s="12"/>
      <c r="G392" s="43"/>
      <c r="H392"/>
      <c r="I392"/>
      <c r="K392" s="38"/>
    </row>
    <row r="393" spans="2:11" x14ac:dyDescent="0.3">
      <c r="B393" s="38"/>
      <c r="C393" s="40"/>
      <c r="D393" s="19"/>
      <c r="E393" s="39"/>
      <c r="F393" s="12"/>
      <c r="G393" s="43"/>
      <c r="H393"/>
      <c r="I393"/>
      <c r="K393" s="38"/>
    </row>
    <row r="394" spans="2:11" x14ac:dyDescent="0.3">
      <c r="B394" s="38"/>
      <c r="C394" s="40"/>
      <c r="D394" s="19"/>
      <c r="E394" s="39"/>
      <c r="F394" s="12"/>
      <c r="G394" s="43"/>
      <c r="H394"/>
      <c r="I394"/>
      <c r="K394" s="38"/>
    </row>
    <row r="395" spans="2:11" x14ac:dyDescent="0.3">
      <c r="B395" s="38"/>
      <c r="C395" s="40"/>
      <c r="D395" s="19"/>
      <c r="E395" s="39"/>
      <c r="F395" s="12"/>
      <c r="G395" s="43"/>
      <c r="H395"/>
      <c r="I395"/>
      <c r="K395" s="38"/>
    </row>
    <row r="396" spans="2:11" x14ac:dyDescent="0.3">
      <c r="B396" s="38"/>
      <c r="C396" s="40"/>
      <c r="D396" s="19"/>
      <c r="E396" s="39"/>
      <c r="F396" s="12"/>
      <c r="G396" s="43"/>
      <c r="H396"/>
      <c r="I396"/>
      <c r="K396" s="38"/>
    </row>
    <row r="397" spans="2:11" x14ac:dyDescent="0.3">
      <c r="B397" s="38"/>
      <c r="C397" s="40"/>
      <c r="D397" s="19"/>
      <c r="E397" s="39"/>
      <c r="F397" s="12"/>
      <c r="G397" s="43"/>
      <c r="H397"/>
      <c r="I397"/>
      <c r="K397" s="38"/>
    </row>
    <row r="398" spans="2:11" x14ac:dyDescent="0.3">
      <c r="B398" s="38"/>
      <c r="C398" s="40"/>
      <c r="D398" s="19"/>
      <c r="E398" s="39"/>
      <c r="F398" s="12"/>
      <c r="G398" s="43"/>
      <c r="H398"/>
      <c r="I398"/>
      <c r="K398" s="38"/>
    </row>
    <row r="399" spans="2:11" x14ac:dyDescent="0.3">
      <c r="B399" s="38"/>
      <c r="C399" s="40"/>
      <c r="D399" s="19"/>
      <c r="E399" s="39"/>
      <c r="F399" s="12"/>
      <c r="G399" s="43"/>
      <c r="H399"/>
      <c r="I399"/>
      <c r="K399" s="38"/>
    </row>
    <row r="400" spans="2:11" x14ac:dyDescent="0.3">
      <c r="B400" s="38"/>
      <c r="C400" s="40"/>
      <c r="D400" s="19"/>
      <c r="E400" s="39"/>
      <c r="F400" s="12"/>
      <c r="G400" s="43"/>
      <c r="H400"/>
      <c r="I400"/>
      <c r="K400" s="38"/>
    </row>
    <row r="401" spans="2:11" x14ac:dyDescent="0.3">
      <c r="B401" s="38"/>
      <c r="C401" s="40"/>
      <c r="D401" s="19"/>
      <c r="E401" s="39"/>
      <c r="F401" s="12"/>
      <c r="G401" s="43"/>
      <c r="H401"/>
      <c r="I401"/>
      <c r="K401" s="38"/>
    </row>
    <row r="402" spans="2:11" x14ac:dyDescent="0.3">
      <c r="B402" s="38"/>
      <c r="C402" s="40"/>
      <c r="D402" s="19"/>
      <c r="E402" s="39"/>
      <c r="F402" s="12"/>
      <c r="G402" s="43"/>
      <c r="H402"/>
      <c r="I402"/>
      <c r="K402" s="38"/>
    </row>
    <row r="403" spans="2:11" x14ac:dyDescent="0.3">
      <c r="B403" s="38"/>
      <c r="C403" s="40"/>
      <c r="D403" s="19"/>
      <c r="E403" s="39"/>
      <c r="F403" s="12"/>
      <c r="G403" s="43"/>
      <c r="H403"/>
      <c r="I403"/>
      <c r="K403" s="38"/>
    </row>
    <row r="404" spans="2:11" x14ac:dyDescent="0.3">
      <c r="B404" s="38"/>
      <c r="C404" s="40"/>
      <c r="D404" s="19"/>
      <c r="E404" s="39"/>
      <c r="F404" s="12"/>
      <c r="G404" s="43"/>
      <c r="H404"/>
      <c r="I404"/>
    </row>
    <row r="405" spans="2:11" x14ac:dyDescent="0.3">
      <c r="B405" s="38"/>
      <c r="C405" s="40"/>
      <c r="D405" s="19"/>
      <c r="E405" s="39"/>
      <c r="F405" s="12"/>
      <c r="G405" s="43"/>
      <c r="H405"/>
      <c r="I405"/>
    </row>
    <row r="406" spans="2:11" x14ac:dyDescent="0.3">
      <c r="B406" s="38"/>
      <c r="C406" s="40"/>
      <c r="D406" s="19"/>
      <c r="E406" s="39"/>
      <c r="F406" s="12"/>
      <c r="G406" s="43"/>
      <c r="H406"/>
      <c r="I406"/>
    </row>
    <row r="407" spans="2:11" x14ac:dyDescent="0.3">
      <c r="B407" s="38"/>
      <c r="C407" s="40"/>
      <c r="D407" s="19"/>
      <c r="E407" s="39"/>
      <c r="F407" s="12"/>
      <c r="G407" s="43"/>
      <c r="H407"/>
      <c r="I407"/>
    </row>
    <row r="408" spans="2:11" x14ac:dyDescent="0.3">
      <c r="B408" s="38"/>
      <c r="C408" s="40"/>
      <c r="D408" s="19"/>
      <c r="E408" s="39"/>
      <c r="F408" s="12"/>
      <c r="G408" s="43"/>
      <c r="H408"/>
      <c r="I408"/>
    </row>
    <row r="409" spans="2:11" x14ac:dyDescent="0.3">
      <c r="B409" s="38"/>
      <c r="C409" s="40"/>
      <c r="D409" s="19"/>
      <c r="E409" s="39"/>
      <c r="F409" s="12"/>
      <c r="G409" s="43"/>
      <c r="H409"/>
      <c r="I409"/>
    </row>
    <row r="410" spans="2:11" x14ac:dyDescent="0.3">
      <c r="B410" s="38"/>
      <c r="C410" s="40"/>
      <c r="D410" s="19"/>
      <c r="E410" s="39"/>
      <c r="F410" s="12"/>
      <c r="G410" s="43"/>
      <c r="H410"/>
      <c r="I410"/>
    </row>
    <row r="411" spans="2:11" x14ac:dyDescent="0.3">
      <c r="B411" s="38"/>
      <c r="C411" s="40"/>
      <c r="D411" s="19"/>
      <c r="E411" s="39"/>
      <c r="F411" s="12"/>
      <c r="G411" s="43"/>
      <c r="H411"/>
      <c r="I411"/>
    </row>
    <row r="412" spans="2:11" x14ac:dyDescent="0.3">
      <c r="B412" s="38"/>
      <c r="C412" s="40"/>
      <c r="D412" s="19"/>
      <c r="E412" s="39"/>
      <c r="F412" s="12"/>
      <c r="G412" s="43"/>
      <c r="H412"/>
      <c r="I412"/>
    </row>
    <row r="413" spans="2:11" x14ac:dyDescent="0.3">
      <c r="B413" s="38"/>
      <c r="C413" s="40"/>
      <c r="D413" s="19"/>
      <c r="E413" s="39"/>
      <c r="F413" s="12"/>
      <c r="G413" s="43"/>
      <c r="H413"/>
      <c r="I413"/>
    </row>
    <row r="414" spans="2:11" x14ac:dyDescent="0.3">
      <c r="B414" s="38"/>
      <c r="C414" s="40"/>
      <c r="D414" s="19"/>
      <c r="E414" s="39"/>
      <c r="F414" s="12"/>
      <c r="G414" s="43"/>
      <c r="H414"/>
      <c r="I414"/>
    </row>
    <row r="415" spans="2:11" x14ac:dyDescent="0.3">
      <c r="B415" s="38"/>
      <c r="C415" s="40"/>
      <c r="D415" s="19"/>
      <c r="E415" s="39"/>
      <c r="F415" s="12"/>
      <c r="G415" s="43"/>
      <c r="H415"/>
      <c r="I415"/>
    </row>
    <row r="416" spans="2:11" x14ac:dyDescent="0.3">
      <c r="B416" s="38"/>
      <c r="C416" s="40"/>
      <c r="D416" s="19"/>
      <c r="E416" s="39"/>
      <c r="F416" s="12"/>
      <c r="G416" s="43"/>
      <c r="H416"/>
      <c r="I416"/>
    </row>
    <row r="417" spans="2:9" x14ac:dyDescent="0.3">
      <c r="B417" s="38"/>
      <c r="C417" s="40"/>
      <c r="D417" s="19"/>
      <c r="E417" s="39"/>
      <c r="F417" s="12"/>
      <c r="G417" s="43"/>
      <c r="H417"/>
      <c r="I417"/>
    </row>
    <row r="418" spans="2:9" x14ac:dyDescent="0.3">
      <c r="B418" s="38"/>
      <c r="C418" s="40"/>
      <c r="D418" s="19"/>
      <c r="E418" s="39"/>
      <c r="F418" s="12"/>
      <c r="G418" s="43"/>
      <c r="H418"/>
      <c r="I418"/>
    </row>
    <row r="419" spans="2:9" x14ac:dyDescent="0.3">
      <c r="B419" s="38"/>
      <c r="C419" s="40"/>
      <c r="D419" s="19"/>
      <c r="E419" s="39"/>
      <c r="F419" s="12"/>
      <c r="G419" s="43"/>
      <c r="H419"/>
      <c r="I419"/>
    </row>
    <row r="420" spans="2:9" x14ac:dyDescent="0.3">
      <c r="B420" s="38"/>
      <c r="C420" s="40"/>
      <c r="D420" s="19"/>
      <c r="E420" s="39"/>
      <c r="F420" s="12"/>
      <c r="G420" s="43"/>
      <c r="H420"/>
      <c r="I420"/>
    </row>
    <row r="421" spans="2:9" x14ac:dyDescent="0.3">
      <c r="B421" s="38"/>
      <c r="C421" s="40"/>
      <c r="D421" s="19"/>
      <c r="E421" s="39"/>
      <c r="F421" s="12"/>
      <c r="G421" s="43"/>
      <c r="H421"/>
      <c r="I421"/>
    </row>
    <row r="422" spans="2:9" x14ac:dyDescent="0.3">
      <c r="B422" s="38"/>
      <c r="C422" s="40"/>
      <c r="D422" s="19"/>
      <c r="E422" s="39"/>
      <c r="F422" s="12"/>
      <c r="G422" s="43"/>
      <c r="H422"/>
      <c r="I422"/>
    </row>
    <row r="423" spans="2:9" x14ac:dyDescent="0.3">
      <c r="B423" s="38"/>
      <c r="C423" s="40"/>
      <c r="D423" s="19"/>
      <c r="E423" s="39"/>
      <c r="F423" s="12"/>
      <c r="G423" s="43"/>
      <c r="H423"/>
      <c r="I423"/>
    </row>
    <row r="424" spans="2:9" x14ac:dyDescent="0.3">
      <c r="B424" s="38"/>
      <c r="C424" s="40"/>
      <c r="D424" s="19"/>
      <c r="E424" s="39"/>
      <c r="F424" s="12"/>
      <c r="G424" s="43"/>
      <c r="H424"/>
      <c r="I424"/>
    </row>
    <row r="425" spans="2:9" x14ac:dyDescent="0.3">
      <c r="B425" s="38"/>
      <c r="C425" s="40"/>
      <c r="D425" s="19"/>
      <c r="E425" s="39"/>
      <c r="F425" s="12"/>
      <c r="G425" s="43"/>
      <c r="H425"/>
      <c r="I425"/>
    </row>
    <row r="426" spans="2:9" x14ac:dyDescent="0.3">
      <c r="B426" s="38"/>
      <c r="C426" s="40"/>
      <c r="D426" s="19"/>
      <c r="E426" s="39"/>
      <c r="F426" s="12"/>
      <c r="G426" s="43"/>
      <c r="H426"/>
      <c r="I426"/>
    </row>
    <row r="427" spans="2:9" x14ac:dyDescent="0.3">
      <c r="B427" s="38"/>
      <c r="C427" s="40"/>
      <c r="D427" s="19"/>
      <c r="E427" s="39"/>
      <c r="F427" s="12"/>
      <c r="G427" s="43"/>
      <c r="H427"/>
      <c r="I427"/>
    </row>
    <row r="428" spans="2:9" x14ac:dyDescent="0.3">
      <c r="B428" s="38"/>
      <c r="C428" s="40"/>
      <c r="D428" s="19"/>
      <c r="E428" s="39"/>
      <c r="F428" s="12"/>
      <c r="G428" s="43"/>
      <c r="H428"/>
      <c r="I428"/>
    </row>
    <row r="429" spans="2:9" x14ac:dyDescent="0.3">
      <c r="B429" s="38"/>
      <c r="C429" s="40"/>
      <c r="D429" s="19"/>
      <c r="E429" s="39"/>
      <c r="F429" s="12"/>
      <c r="G429" s="43"/>
      <c r="H429"/>
      <c r="I429"/>
    </row>
    <row r="430" spans="2:9" x14ac:dyDescent="0.3">
      <c r="B430" s="38"/>
      <c r="C430" s="40"/>
      <c r="D430" s="19"/>
      <c r="E430" s="39"/>
      <c r="F430" s="12"/>
      <c r="G430" s="43"/>
      <c r="H430"/>
      <c r="I430"/>
    </row>
    <row r="431" spans="2:9" x14ac:dyDescent="0.3">
      <c r="B431" s="38"/>
      <c r="C431" s="40"/>
      <c r="D431" s="19"/>
      <c r="E431" s="39"/>
      <c r="F431" s="12"/>
      <c r="G431" s="43"/>
      <c r="H431"/>
      <c r="I431"/>
    </row>
    <row r="432" spans="2:9" x14ac:dyDescent="0.3">
      <c r="B432" s="38"/>
      <c r="C432" s="40"/>
      <c r="D432" s="19"/>
      <c r="E432" s="39"/>
      <c r="F432" s="12"/>
      <c r="G432" s="43"/>
      <c r="H432"/>
      <c r="I432"/>
    </row>
    <row r="433" spans="2:11" x14ac:dyDescent="0.3">
      <c r="B433" s="38"/>
      <c r="C433" s="40"/>
      <c r="D433" s="19"/>
      <c r="E433" s="39"/>
      <c r="F433" s="12"/>
      <c r="G433" s="43"/>
      <c r="H433"/>
      <c r="I433"/>
    </row>
    <row r="434" spans="2:11" x14ac:dyDescent="0.3">
      <c r="B434" s="38"/>
      <c r="C434" s="40"/>
      <c r="D434" s="19"/>
      <c r="E434" s="39"/>
      <c r="F434" s="12"/>
      <c r="G434" s="43"/>
      <c r="H434"/>
      <c r="I434"/>
    </row>
    <row r="435" spans="2:11" x14ac:dyDescent="0.3">
      <c r="B435" s="38"/>
      <c r="C435" s="40"/>
      <c r="D435" s="19"/>
      <c r="E435" s="39"/>
      <c r="F435" s="12"/>
      <c r="G435" s="43"/>
      <c r="H435"/>
      <c r="I435"/>
    </row>
    <row r="436" spans="2:11" x14ac:dyDescent="0.3">
      <c r="B436" s="38"/>
      <c r="C436" s="40"/>
      <c r="D436" s="19"/>
      <c r="E436" s="39"/>
      <c r="F436" s="12"/>
      <c r="G436" s="43"/>
      <c r="H436"/>
      <c r="I436"/>
    </row>
    <row r="437" spans="2:11" x14ac:dyDescent="0.3">
      <c r="B437" s="38"/>
      <c r="C437" s="40"/>
      <c r="D437" s="19"/>
      <c r="E437" s="39"/>
      <c r="F437" s="12"/>
      <c r="G437" s="43"/>
      <c r="H437"/>
      <c r="I437"/>
    </row>
    <row r="438" spans="2:11" x14ac:dyDescent="0.3">
      <c r="B438" s="38"/>
      <c r="C438" s="40"/>
      <c r="D438" s="19"/>
      <c r="E438" s="39"/>
      <c r="F438" s="12"/>
      <c r="G438" s="43"/>
      <c r="H438"/>
      <c r="I438"/>
    </row>
    <row r="439" spans="2:11" x14ac:dyDescent="0.3">
      <c r="B439" s="38"/>
      <c r="C439" s="40"/>
      <c r="D439" s="19"/>
      <c r="E439" s="39"/>
      <c r="F439" s="12"/>
      <c r="G439" s="43"/>
      <c r="H439"/>
      <c r="I439"/>
    </row>
    <row r="440" spans="2:11" x14ac:dyDescent="0.3">
      <c r="B440" s="38"/>
      <c r="C440" s="40"/>
      <c r="D440" s="19"/>
      <c r="E440" s="39"/>
      <c r="F440" s="12"/>
      <c r="G440" s="43"/>
      <c r="H440"/>
      <c r="I440"/>
    </row>
    <row r="441" spans="2:11" x14ac:dyDescent="0.3">
      <c r="B441" s="38"/>
      <c r="C441" s="40"/>
      <c r="D441" s="19"/>
      <c r="E441" s="39"/>
      <c r="F441" s="12"/>
      <c r="G441" s="43"/>
      <c r="H441"/>
      <c r="I441"/>
    </row>
    <row r="442" spans="2:11" x14ac:dyDescent="0.3">
      <c r="B442" s="38"/>
      <c r="C442" s="40"/>
      <c r="D442" s="19"/>
      <c r="E442" s="39"/>
      <c r="F442" s="12"/>
      <c r="G442" s="43"/>
      <c r="H442"/>
      <c r="I442"/>
    </row>
    <row r="443" spans="2:11" x14ac:dyDescent="0.3">
      <c r="B443" s="38"/>
      <c r="C443" s="40"/>
      <c r="D443" s="19"/>
      <c r="E443" s="39"/>
      <c r="F443" s="12"/>
      <c r="G443" s="43"/>
      <c r="H443"/>
      <c r="I443"/>
    </row>
    <row r="444" spans="2:11" x14ac:dyDescent="0.3">
      <c r="B444" s="38"/>
      <c r="C444" s="40"/>
      <c r="D444" s="19"/>
      <c r="E444" s="39"/>
      <c r="F444" s="12"/>
      <c r="G444" s="43"/>
      <c r="H444"/>
      <c r="I444"/>
    </row>
    <row r="445" spans="2:11" x14ac:dyDescent="0.3">
      <c r="B445" s="38"/>
      <c r="C445" s="40"/>
      <c r="D445" s="19"/>
      <c r="E445" s="39"/>
      <c r="F445" s="12"/>
      <c r="G445" s="43"/>
      <c r="H445"/>
      <c r="I445"/>
    </row>
    <row r="446" spans="2:11" x14ac:dyDescent="0.3">
      <c r="B446" s="38"/>
      <c r="C446" s="40"/>
      <c r="D446" s="19"/>
      <c r="E446" s="39"/>
      <c r="F446" s="12"/>
      <c r="G446" s="43"/>
      <c r="H446"/>
      <c r="I446"/>
    </row>
    <row r="447" spans="2:11" x14ac:dyDescent="0.3">
      <c r="B447" s="38"/>
      <c r="C447" s="40"/>
      <c r="D447" s="19"/>
      <c r="E447" s="39"/>
      <c r="F447" s="12"/>
      <c r="G447" s="43"/>
      <c r="H447"/>
      <c r="I447"/>
      <c r="K447" s="38"/>
    </row>
    <row r="448" spans="2:11" x14ac:dyDescent="0.3">
      <c r="B448" s="38"/>
      <c r="C448" s="40"/>
      <c r="D448" s="19"/>
      <c r="E448" s="39"/>
      <c r="F448" s="12"/>
      <c r="G448" s="43"/>
      <c r="H448"/>
      <c r="I448"/>
      <c r="K448" s="38"/>
    </row>
    <row r="449" spans="2:11" x14ac:dyDescent="0.3">
      <c r="B449" s="38"/>
      <c r="C449" s="40"/>
      <c r="D449" s="19"/>
      <c r="E449" s="39"/>
      <c r="F449" s="12"/>
      <c r="G449" s="43"/>
      <c r="H449"/>
      <c r="I449"/>
      <c r="K449" s="38"/>
    </row>
    <row r="450" spans="2:11" x14ac:dyDescent="0.3">
      <c r="B450" s="38"/>
      <c r="C450" s="40"/>
      <c r="D450" s="19"/>
      <c r="E450" s="39"/>
      <c r="F450" s="12"/>
      <c r="G450" s="43"/>
      <c r="H450"/>
      <c r="I450"/>
      <c r="K450" s="38"/>
    </row>
    <row r="451" spans="2:11" x14ac:dyDescent="0.3">
      <c r="B451" s="38"/>
      <c r="C451" s="40"/>
      <c r="D451" s="19"/>
      <c r="E451" s="39"/>
      <c r="F451" s="12"/>
      <c r="G451" s="43"/>
      <c r="H451"/>
      <c r="I451"/>
      <c r="K451" s="38"/>
    </row>
    <row r="452" spans="2:11" x14ac:dyDescent="0.3">
      <c r="B452" s="38"/>
      <c r="C452" s="40"/>
      <c r="D452" s="19"/>
      <c r="E452" s="39"/>
      <c r="F452" s="12"/>
      <c r="G452" s="43"/>
      <c r="H452"/>
      <c r="I452"/>
      <c r="K452" s="38"/>
    </row>
    <row r="453" spans="2:11" x14ac:dyDescent="0.3">
      <c r="B453" s="38"/>
      <c r="C453" s="40"/>
      <c r="D453" s="19"/>
      <c r="E453" s="39"/>
      <c r="F453" s="12"/>
      <c r="G453" s="43"/>
      <c r="H453"/>
      <c r="I453"/>
      <c r="K453" s="38"/>
    </row>
    <row r="454" spans="2:11" x14ac:dyDescent="0.3">
      <c r="B454" s="38"/>
      <c r="C454" s="40"/>
      <c r="D454" s="19"/>
      <c r="E454" s="39"/>
      <c r="F454" s="12"/>
      <c r="G454" s="43"/>
      <c r="H454"/>
      <c r="I454"/>
      <c r="K454" s="38"/>
    </row>
    <row r="455" spans="2:11" x14ac:dyDescent="0.3">
      <c r="B455" s="38"/>
      <c r="C455" s="40"/>
      <c r="D455" s="19"/>
      <c r="E455" s="39"/>
      <c r="F455" s="12"/>
      <c r="G455" s="43"/>
      <c r="H455"/>
      <c r="I455"/>
      <c r="K455" s="38"/>
    </row>
    <row r="456" spans="2:11" x14ac:dyDescent="0.3">
      <c r="B456" s="38"/>
      <c r="C456" s="40"/>
      <c r="D456" s="19"/>
      <c r="E456" s="39"/>
      <c r="F456" s="12"/>
      <c r="G456" s="43"/>
      <c r="H456"/>
      <c r="I456"/>
      <c r="K456" s="38"/>
    </row>
    <row r="457" spans="2:11" x14ac:dyDescent="0.3">
      <c r="B457" s="38"/>
      <c r="C457" s="40"/>
      <c r="D457" s="19"/>
      <c r="E457" s="39"/>
      <c r="F457" s="12"/>
      <c r="G457" s="43"/>
      <c r="H457"/>
      <c r="I457"/>
      <c r="K457" s="38"/>
    </row>
    <row r="458" spans="2:11" x14ac:dyDescent="0.3">
      <c r="B458" s="38"/>
      <c r="C458" s="40"/>
      <c r="D458" s="19"/>
      <c r="E458" s="39"/>
      <c r="F458" s="12"/>
      <c r="G458" s="43"/>
      <c r="H458"/>
      <c r="I458"/>
      <c r="K458" s="38"/>
    </row>
    <row r="459" spans="2:11" x14ac:dyDescent="0.3">
      <c r="B459" s="38"/>
      <c r="C459" s="40"/>
      <c r="D459" s="19"/>
      <c r="E459" s="39"/>
      <c r="F459" s="12"/>
      <c r="G459" s="43"/>
      <c r="H459"/>
      <c r="I459"/>
      <c r="K459" s="38"/>
    </row>
    <row r="460" spans="2:11" x14ac:dyDescent="0.3">
      <c r="B460" s="38"/>
      <c r="C460" s="40"/>
      <c r="D460" s="19"/>
      <c r="E460" s="39"/>
      <c r="F460" s="12"/>
      <c r="G460" s="43"/>
      <c r="H460"/>
      <c r="I460"/>
      <c r="K460" s="38"/>
    </row>
    <row r="461" spans="2:11" x14ac:dyDescent="0.3">
      <c r="B461" s="38"/>
      <c r="C461" s="40"/>
      <c r="D461" s="19"/>
      <c r="E461" s="39"/>
      <c r="F461" s="12"/>
      <c r="G461" s="43"/>
      <c r="H461"/>
      <c r="I461"/>
      <c r="K461" s="38"/>
    </row>
    <row r="462" spans="2:11" x14ac:dyDescent="0.3">
      <c r="B462" s="38"/>
      <c r="C462" s="40"/>
      <c r="D462" s="19"/>
      <c r="E462" s="39"/>
      <c r="F462" s="12"/>
      <c r="G462" s="43"/>
      <c r="H462"/>
      <c r="I462"/>
      <c r="K462" s="38"/>
    </row>
    <row r="463" spans="2:11" x14ac:dyDescent="0.3">
      <c r="B463" s="38"/>
      <c r="C463" s="40"/>
      <c r="D463" s="19"/>
      <c r="E463" s="39"/>
      <c r="F463" s="12"/>
      <c r="G463" s="43"/>
      <c r="H463"/>
      <c r="I463"/>
      <c r="K463" s="38"/>
    </row>
    <row r="464" spans="2:11" x14ac:dyDescent="0.3">
      <c r="B464" s="38"/>
      <c r="C464" s="40"/>
      <c r="D464" s="19"/>
      <c r="E464" s="39"/>
      <c r="F464" s="12"/>
      <c r="G464" s="43"/>
      <c r="H464"/>
      <c r="I464"/>
      <c r="K464" s="38"/>
    </row>
    <row r="465" spans="2:11" x14ac:dyDescent="0.3">
      <c r="B465" s="38"/>
      <c r="C465" s="40"/>
      <c r="D465" s="19"/>
      <c r="E465" s="39"/>
      <c r="F465" s="12"/>
      <c r="G465" s="43"/>
      <c r="H465"/>
      <c r="I465"/>
      <c r="K465" s="38"/>
    </row>
    <row r="466" spans="2:11" x14ac:dyDescent="0.3">
      <c r="B466" s="38"/>
      <c r="C466" s="40"/>
      <c r="D466" s="19"/>
      <c r="E466" s="39"/>
      <c r="F466" s="12"/>
      <c r="G466" s="43"/>
      <c r="H466"/>
      <c r="I466"/>
      <c r="K466" s="38"/>
    </row>
    <row r="467" spans="2:11" x14ac:dyDescent="0.3">
      <c r="B467" s="38"/>
      <c r="C467" s="40"/>
      <c r="D467" s="19"/>
      <c r="E467" s="39"/>
      <c r="F467" s="12"/>
      <c r="G467" s="43"/>
      <c r="H467"/>
      <c r="I467"/>
      <c r="K467" s="38"/>
    </row>
    <row r="468" spans="2:11" x14ac:dyDescent="0.3">
      <c r="B468" s="38"/>
      <c r="C468" s="40"/>
      <c r="D468" s="19"/>
      <c r="E468" s="39"/>
      <c r="F468" s="12"/>
      <c r="G468" s="43"/>
      <c r="H468"/>
      <c r="I468"/>
      <c r="K468" s="38"/>
    </row>
    <row r="469" spans="2:11" x14ac:dyDescent="0.3">
      <c r="B469" s="38"/>
      <c r="C469" s="40"/>
      <c r="D469" s="19"/>
      <c r="E469" s="39"/>
      <c r="F469" s="12"/>
      <c r="G469" s="43"/>
      <c r="H469"/>
      <c r="I469"/>
      <c r="K469" s="38"/>
    </row>
    <row r="470" spans="2:11" x14ac:dyDescent="0.3">
      <c r="B470" s="38"/>
      <c r="C470" s="40"/>
      <c r="D470" s="19"/>
      <c r="E470" s="39"/>
      <c r="F470" s="12"/>
      <c r="G470" s="43"/>
      <c r="H470"/>
      <c r="I470"/>
      <c r="K470" s="38"/>
    </row>
    <row r="471" spans="2:11" x14ac:dyDescent="0.3">
      <c r="B471" s="38"/>
      <c r="C471" s="40"/>
      <c r="D471" s="19"/>
      <c r="E471" s="39"/>
      <c r="F471" s="12"/>
      <c r="G471" s="43"/>
      <c r="H471"/>
      <c r="I471"/>
      <c r="K471" s="38"/>
    </row>
    <row r="472" spans="2:11" x14ac:dyDescent="0.3">
      <c r="B472" s="38"/>
      <c r="C472" s="40"/>
      <c r="D472" s="19"/>
      <c r="E472" s="39"/>
      <c r="F472" s="12"/>
      <c r="G472" s="43"/>
      <c r="H472"/>
      <c r="I472"/>
      <c r="K472" s="38"/>
    </row>
    <row r="473" spans="2:11" x14ac:dyDescent="0.3">
      <c r="B473" s="38"/>
      <c r="C473" s="40"/>
      <c r="D473" s="19"/>
      <c r="E473" s="39"/>
      <c r="F473" s="12"/>
      <c r="G473" s="43"/>
      <c r="H473"/>
      <c r="I473"/>
      <c r="K473" s="38"/>
    </row>
    <row r="474" spans="2:11" x14ac:dyDescent="0.3">
      <c r="B474" s="38"/>
      <c r="C474" s="40"/>
      <c r="D474" s="19"/>
      <c r="E474" s="39"/>
      <c r="F474" s="12"/>
      <c r="G474" s="43"/>
      <c r="H474"/>
      <c r="I474"/>
      <c r="K474" s="38"/>
    </row>
    <row r="475" spans="2:11" x14ac:dyDescent="0.3">
      <c r="B475" s="38"/>
      <c r="C475" s="40"/>
      <c r="D475" s="19"/>
      <c r="E475" s="39"/>
      <c r="F475" s="12"/>
      <c r="G475" s="43"/>
      <c r="H475"/>
      <c r="I475"/>
      <c r="K475" s="38"/>
    </row>
    <row r="476" spans="2:11" x14ac:dyDescent="0.3">
      <c r="B476" s="38"/>
      <c r="C476" s="40"/>
      <c r="D476" s="19"/>
      <c r="E476" s="39"/>
      <c r="F476" s="12"/>
      <c r="G476" s="43"/>
      <c r="H476"/>
      <c r="I476"/>
      <c r="K476" s="38"/>
    </row>
    <row r="477" spans="2:11" x14ac:dyDescent="0.3">
      <c r="B477" s="38"/>
      <c r="C477" s="40"/>
      <c r="D477" s="19"/>
      <c r="E477" s="39"/>
      <c r="F477" s="12"/>
      <c r="G477" s="43"/>
      <c r="H477"/>
      <c r="I477"/>
      <c r="K477" s="38"/>
    </row>
    <row r="478" spans="2:11" x14ac:dyDescent="0.3">
      <c r="B478" s="38"/>
      <c r="C478" s="40"/>
      <c r="D478" s="19"/>
      <c r="E478" s="39"/>
      <c r="F478" s="12"/>
      <c r="G478" s="43"/>
      <c r="H478"/>
      <c r="I478"/>
      <c r="K478" s="38"/>
    </row>
    <row r="479" spans="2:11" x14ac:dyDescent="0.3">
      <c r="B479" s="38"/>
      <c r="C479" s="40"/>
      <c r="D479" s="19"/>
      <c r="E479" s="39"/>
      <c r="F479" s="12"/>
      <c r="G479" s="43"/>
      <c r="H479"/>
      <c r="I479"/>
      <c r="K479" s="38"/>
    </row>
    <row r="480" spans="2:11" x14ac:dyDescent="0.3">
      <c r="B480" s="38"/>
      <c r="C480" s="40"/>
      <c r="D480" s="19"/>
      <c r="E480" s="39"/>
      <c r="F480" s="12"/>
      <c r="G480" s="43"/>
      <c r="H480"/>
      <c r="I480"/>
      <c r="K480" s="38"/>
    </row>
    <row r="481" spans="2:11" x14ac:dyDescent="0.3">
      <c r="B481" s="38"/>
      <c r="C481" s="40"/>
      <c r="D481" s="19"/>
      <c r="E481" s="39"/>
      <c r="F481" s="12"/>
      <c r="G481" s="43"/>
      <c r="H481"/>
      <c r="I481"/>
      <c r="K481" s="38"/>
    </row>
    <row r="482" spans="2:11" x14ac:dyDescent="0.3">
      <c r="B482" s="38"/>
      <c r="C482" s="40"/>
      <c r="D482" s="19"/>
      <c r="E482" s="39"/>
      <c r="F482" s="12"/>
      <c r="G482" s="43"/>
      <c r="H482"/>
      <c r="I482"/>
      <c r="K482" s="38"/>
    </row>
    <row r="483" spans="2:11" x14ac:dyDescent="0.3">
      <c r="B483" s="38"/>
      <c r="C483" s="40"/>
      <c r="D483" s="19"/>
      <c r="E483" s="39"/>
      <c r="F483" s="12"/>
      <c r="G483" s="43"/>
      <c r="H483"/>
      <c r="I483"/>
      <c r="K483" s="38"/>
    </row>
    <row r="484" spans="2:11" x14ac:dyDescent="0.3">
      <c r="B484" s="38"/>
      <c r="C484" s="40"/>
      <c r="D484" s="19"/>
      <c r="E484" s="39"/>
      <c r="F484" s="12"/>
      <c r="G484" s="43"/>
      <c r="H484"/>
      <c r="I484"/>
      <c r="K484" s="38"/>
    </row>
    <row r="485" spans="2:11" x14ac:dyDescent="0.3">
      <c r="B485" s="38"/>
      <c r="C485" s="40"/>
      <c r="D485" s="19"/>
      <c r="E485" s="39"/>
      <c r="F485" s="12"/>
      <c r="G485" s="43"/>
      <c r="H485"/>
      <c r="I485"/>
      <c r="K485" s="38"/>
    </row>
    <row r="486" spans="2:11" x14ac:dyDescent="0.3">
      <c r="B486" s="38"/>
      <c r="C486" s="40"/>
      <c r="D486" s="19"/>
      <c r="E486" s="39"/>
      <c r="F486" s="12"/>
      <c r="G486" s="43"/>
      <c r="H486"/>
      <c r="I486"/>
      <c r="K486" s="38"/>
    </row>
    <row r="487" spans="2:11" x14ac:dyDescent="0.3">
      <c r="B487" s="38"/>
      <c r="C487" s="40"/>
      <c r="D487" s="19"/>
      <c r="E487" s="39"/>
      <c r="F487" s="12"/>
      <c r="G487" s="43"/>
      <c r="H487"/>
      <c r="I487"/>
      <c r="K487" s="38"/>
    </row>
    <row r="488" spans="2:11" x14ac:dyDescent="0.3">
      <c r="B488" s="38"/>
      <c r="C488" s="40"/>
      <c r="D488" s="19"/>
      <c r="E488" s="39"/>
      <c r="F488" s="12"/>
      <c r="G488" s="43"/>
      <c r="H488"/>
      <c r="I488"/>
      <c r="K488" s="38"/>
    </row>
    <row r="489" spans="2:11" x14ac:dyDescent="0.3">
      <c r="B489" s="38"/>
      <c r="C489" s="40"/>
      <c r="D489" s="19"/>
      <c r="E489" s="39"/>
      <c r="F489" s="12"/>
      <c r="G489" s="43"/>
      <c r="H489"/>
      <c r="I489"/>
      <c r="K489" s="38"/>
    </row>
    <row r="490" spans="2:11" x14ac:dyDescent="0.3">
      <c r="B490" s="38"/>
      <c r="C490" s="40"/>
      <c r="D490" s="19"/>
      <c r="E490" s="39"/>
      <c r="F490" s="12"/>
      <c r="G490" s="43"/>
      <c r="H490"/>
      <c r="I490"/>
      <c r="K490" s="38"/>
    </row>
    <row r="491" spans="2:11" x14ac:dyDescent="0.3">
      <c r="B491" s="38"/>
      <c r="C491" s="40"/>
      <c r="D491" s="19"/>
      <c r="E491" s="39"/>
      <c r="F491" s="12"/>
      <c r="G491" s="43"/>
      <c r="H491"/>
      <c r="I491"/>
      <c r="K491" s="38"/>
    </row>
    <row r="492" spans="2:11" x14ac:dyDescent="0.3">
      <c r="B492" s="38"/>
      <c r="C492" s="40"/>
      <c r="D492" s="19"/>
      <c r="E492" s="39"/>
      <c r="F492" s="12"/>
      <c r="G492" s="43"/>
      <c r="H492"/>
      <c r="I492"/>
    </row>
    <row r="493" spans="2:11" x14ac:dyDescent="0.3">
      <c r="B493" s="38"/>
      <c r="C493" s="40"/>
      <c r="D493" s="19"/>
      <c r="E493" s="39"/>
      <c r="F493" s="12"/>
      <c r="G493" s="43"/>
      <c r="H493"/>
      <c r="I493"/>
    </row>
    <row r="494" spans="2:11" x14ac:dyDescent="0.3">
      <c r="B494" s="38"/>
      <c r="C494" s="40"/>
      <c r="D494" s="19"/>
      <c r="E494" s="39"/>
      <c r="F494" s="12"/>
      <c r="G494" s="43"/>
      <c r="H494"/>
      <c r="I494"/>
      <c r="K494" s="38"/>
    </row>
    <row r="495" spans="2:11" x14ac:dyDescent="0.3">
      <c r="B495" s="38"/>
      <c r="C495" s="40"/>
      <c r="D495" s="19"/>
      <c r="E495" s="39"/>
      <c r="F495" s="12"/>
      <c r="G495" s="43"/>
      <c r="H495"/>
      <c r="I495"/>
      <c r="K495" s="38"/>
    </row>
    <row r="496" spans="2:11" x14ac:dyDescent="0.3">
      <c r="B496" s="38"/>
      <c r="C496" s="40"/>
      <c r="D496" s="19"/>
      <c r="E496" s="39"/>
      <c r="F496" s="12"/>
      <c r="G496" s="43"/>
      <c r="H496"/>
      <c r="I496"/>
      <c r="K496" s="38"/>
    </row>
    <row r="497" spans="2:12" x14ac:dyDescent="0.3">
      <c r="B497" s="38"/>
      <c r="C497" s="40"/>
      <c r="D497" s="19"/>
      <c r="E497" s="39"/>
      <c r="F497" s="12"/>
      <c r="G497" s="43"/>
      <c r="H497"/>
      <c r="I497"/>
      <c r="K497" s="38"/>
    </row>
    <row r="498" spans="2:12" x14ac:dyDescent="0.3">
      <c r="B498" s="38"/>
      <c r="C498" s="40"/>
      <c r="D498" s="19"/>
      <c r="E498" s="39"/>
      <c r="F498" s="12"/>
      <c r="G498" s="43"/>
      <c r="H498"/>
      <c r="I498"/>
      <c r="K498" s="38"/>
    </row>
    <row r="499" spans="2:12" x14ac:dyDescent="0.3">
      <c r="B499" s="38"/>
      <c r="C499" s="40"/>
      <c r="D499" s="19"/>
      <c r="E499" s="39"/>
      <c r="F499" s="12"/>
      <c r="G499" s="43"/>
      <c r="H499"/>
      <c r="I499"/>
      <c r="K499" s="38"/>
    </row>
    <row r="500" spans="2:12" x14ac:dyDescent="0.3">
      <c r="B500" s="38"/>
      <c r="C500" s="40"/>
      <c r="D500" s="19"/>
      <c r="E500" s="39"/>
      <c r="F500" s="12"/>
      <c r="G500" s="43"/>
      <c r="H500"/>
      <c r="I500"/>
      <c r="K500" s="38"/>
    </row>
    <row r="501" spans="2:12" x14ac:dyDescent="0.3">
      <c r="B501" s="38"/>
      <c r="C501" s="40"/>
      <c r="D501" s="19"/>
      <c r="E501" s="39"/>
      <c r="F501" s="12"/>
      <c r="G501" s="43"/>
      <c r="H501"/>
      <c r="I501"/>
      <c r="K501" s="38"/>
    </row>
    <row r="502" spans="2:12" x14ac:dyDescent="0.3">
      <c r="B502" s="38"/>
      <c r="C502" s="40"/>
      <c r="D502" s="19"/>
      <c r="E502" s="39"/>
      <c r="F502" s="12"/>
      <c r="G502" s="43"/>
      <c r="H502"/>
      <c r="I502"/>
      <c r="K502" s="38"/>
      <c r="L502" s="39"/>
    </row>
    <row r="503" spans="2:12" x14ac:dyDescent="0.3">
      <c r="B503" s="38"/>
      <c r="C503" s="40"/>
      <c r="D503" s="19"/>
      <c r="E503" s="39"/>
      <c r="F503" s="12"/>
      <c r="G503" s="43"/>
      <c r="H503"/>
      <c r="I503"/>
      <c r="K503" s="38"/>
      <c r="L503" s="39"/>
    </row>
    <row r="504" spans="2:12" x14ac:dyDescent="0.3">
      <c r="B504" s="38"/>
      <c r="C504" s="40"/>
      <c r="D504" s="19"/>
      <c r="E504" s="39"/>
      <c r="F504" s="12"/>
      <c r="G504" s="43"/>
      <c r="H504"/>
      <c r="I504"/>
      <c r="K504" s="38"/>
      <c r="L504" s="39"/>
    </row>
    <row r="505" spans="2:12" x14ac:dyDescent="0.3">
      <c r="B505" s="38"/>
      <c r="C505" s="40"/>
      <c r="D505" s="19"/>
      <c r="E505" s="39"/>
      <c r="F505" s="12"/>
      <c r="G505" s="43"/>
      <c r="H505"/>
      <c r="I505"/>
      <c r="K505" s="38"/>
      <c r="L505" s="39"/>
    </row>
    <row r="506" spans="2:12" x14ac:dyDescent="0.3">
      <c r="B506" s="38"/>
      <c r="C506" s="40"/>
      <c r="D506" s="19"/>
      <c r="E506" s="39"/>
      <c r="F506" s="12"/>
      <c r="G506" s="43"/>
      <c r="H506"/>
      <c r="I506"/>
      <c r="K506" s="38"/>
      <c r="L506" s="39"/>
    </row>
    <row r="507" spans="2:12" x14ac:dyDescent="0.3">
      <c r="C507" s="40"/>
      <c r="D507" s="19"/>
      <c r="E507" s="39"/>
      <c r="F507" s="11"/>
      <c r="G507" s="43"/>
      <c r="H507"/>
      <c r="I507"/>
      <c r="K507" s="38"/>
    </row>
    <row r="508" spans="2:12" x14ac:dyDescent="0.3">
      <c r="C508" s="40"/>
      <c r="D508" s="19"/>
      <c r="E508" s="39"/>
      <c r="F508" s="11"/>
      <c r="G508" s="43"/>
      <c r="H508"/>
      <c r="I508"/>
      <c r="K508" s="38"/>
      <c r="L508" s="39"/>
    </row>
    <row r="509" spans="2:12" x14ac:dyDescent="0.3">
      <c r="C509" s="40"/>
      <c r="D509" s="19"/>
      <c r="E509" s="39"/>
      <c r="F509" s="11"/>
      <c r="G509" s="43"/>
      <c r="H509"/>
      <c r="I509"/>
      <c r="K509" s="38"/>
      <c r="L509" s="39"/>
    </row>
    <row r="510" spans="2:12" x14ac:dyDescent="0.3">
      <c r="C510" s="40"/>
      <c r="D510" s="19"/>
      <c r="E510" s="39"/>
      <c r="F510" s="11"/>
      <c r="G510" s="43"/>
      <c r="H510"/>
      <c r="I510"/>
      <c r="K510" s="38"/>
      <c r="L510" s="39"/>
    </row>
    <row r="511" spans="2:12" x14ac:dyDescent="0.3">
      <c r="C511" s="40"/>
      <c r="D511" s="19"/>
      <c r="E511" s="39"/>
      <c r="F511" s="11"/>
      <c r="G511" s="43"/>
      <c r="H511"/>
      <c r="I511"/>
      <c r="K511" s="38"/>
      <c r="L511" s="39"/>
    </row>
    <row r="512" spans="2:12" x14ac:dyDescent="0.3">
      <c r="C512" s="40"/>
      <c r="D512" s="19"/>
      <c r="E512" s="39"/>
      <c r="F512" s="11"/>
      <c r="G512" s="43"/>
      <c r="H512"/>
      <c r="I512"/>
      <c r="K512" s="38"/>
      <c r="L512" s="39"/>
    </row>
    <row r="513" spans="2:24" x14ac:dyDescent="0.3">
      <c r="C513" s="40"/>
      <c r="D513" s="19"/>
      <c r="E513" s="39"/>
      <c r="F513" s="11"/>
      <c r="G513" s="43"/>
      <c r="H513"/>
      <c r="I513"/>
      <c r="K513" s="38"/>
      <c r="L513" s="39"/>
    </row>
    <row r="514" spans="2:24" x14ac:dyDescent="0.3">
      <c r="C514" s="40"/>
      <c r="D514" s="19"/>
      <c r="E514" s="39"/>
      <c r="F514" s="11"/>
      <c r="G514" s="43"/>
      <c r="H514"/>
      <c r="I514"/>
      <c r="K514" s="38"/>
      <c r="L514" s="39"/>
    </row>
    <row r="515" spans="2:24" x14ac:dyDescent="0.3">
      <c r="B515" s="38"/>
      <c r="C515" s="40"/>
      <c r="D515" s="19"/>
      <c r="E515" s="39"/>
      <c r="F515" s="12"/>
      <c r="G515" s="43"/>
      <c r="H515"/>
      <c r="I515"/>
      <c r="K515" s="38"/>
      <c r="L515" s="39"/>
      <c r="M515" s="38"/>
      <c r="N515" s="39"/>
      <c r="O515" s="38"/>
      <c r="Q515" s="38"/>
      <c r="R515" s="39"/>
      <c r="S515" s="39"/>
      <c r="T515" s="38"/>
      <c r="V515" s="38"/>
      <c r="W515" s="39"/>
      <c r="X515" s="38"/>
    </row>
    <row r="516" spans="2:24" x14ac:dyDescent="0.3">
      <c r="B516" s="38"/>
      <c r="C516" s="40"/>
      <c r="D516" s="19"/>
      <c r="E516" s="39"/>
      <c r="F516" s="12"/>
      <c r="G516" s="43"/>
      <c r="H516"/>
      <c r="I516"/>
      <c r="K516" s="38"/>
      <c r="L516" s="39"/>
      <c r="M516" s="38"/>
      <c r="N516" s="39"/>
      <c r="O516" s="38"/>
      <c r="Q516" s="38"/>
      <c r="R516" s="39"/>
      <c r="S516" s="39"/>
      <c r="T516" s="38"/>
      <c r="V516" s="38"/>
      <c r="W516" s="39"/>
      <c r="X516" s="38"/>
    </row>
    <row r="517" spans="2:24" x14ac:dyDescent="0.3">
      <c r="B517" s="38"/>
      <c r="C517" s="40"/>
      <c r="D517" s="19"/>
      <c r="E517" s="39"/>
      <c r="F517" s="12"/>
      <c r="G517" s="43"/>
      <c r="H517"/>
      <c r="I517"/>
      <c r="K517" s="38"/>
      <c r="L517" s="39"/>
      <c r="M517" s="38"/>
      <c r="N517" s="39"/>
      <c r="O517" s="38"/>
      <c r="Q517" s="38"/>
      <c r="R517" s="39"/>
      <c r="S517" s="39"/>
      <c r="T517" s="38"/>
      <c r="V517" s="38"/>
      <c r="W517" s="39"/>
      <c r="X517" s="38"/>
    </row>
    <row r="518" spans="2:24" x14ac:dyDescent="0.3">
      <c r="B518" s="38"/>
      <c r="C518" s="40"/>
      <c r="D518" s="19"/>
      <c r="E518" s="39"/>
      <c r="F518" s="12"/>
      <c r="G518" s="43"/>
      <c r="H518"/>
      <c r="I518"/>
      <c r="K518" s="38"/>
      <c r="L518" s="39"/>
      <c r="M518" s="38"/>
      <c r="N518" s="39"/>
      <c r="O518" s="38"/>
      <c r="Q518" s="38"/>
      <c r="R518" s="39"/>
      <c r="S518" s="39"/>
      <c r="T518" s="38"/>
      <c r="V518" s="38"/>
      <c r="W518" s="39"/>
      <c r="X518" s="38"/>
    </row>
    <row r="519" spans="2:24" x14ac:dyDescent="0.3">
      <c r="B519" s="38"/>
      <c r="C519" s="40"/>
      <c r="D519" s="19"/>
      <c r="E519" s="39"/>
      <c r="F519" s="12"/>
      <c r="G519" s="43"/>
      <c r="H519"/>
      <c r="I519"/>
      <c r="K519" s="38"/>
      <c r="L519" s="39"/>
      <c r="M519" s="38"/>
      <c r="N519" s="39"/>
      <c r="O519" s="38"/>
      <c r="Q519" s="38"/>
      <c r="R519" s="39"/>
      <c r="S519" s="39"/>
      <c r="T519" s="38"/>
      <c r="V519" s="38"/>
      <c r="W519" s="39"/>
      <c r="X519" s="38"/>
    </row>
    <row r="520" spans="2:24" x14ac:dyDescent="0.3">
      <c r="B520" s="38"/>
      <c r="C520" s="40"/>
      <c r="D520" s="19"/>
      <c r="E520" s="39"/>
      <c r="F520" s="12"/>
      <c r="G520" s="43"/>
      <c r="H520"/>
      <c r="I520"/>
      <c r="K520" s="38"/>
      <c r="L520" s="39"/>
      <c r="M520" s="38"/>
      <c r="N520" s="39"/>
      <c r="O520" s="38"/>
      <c r="Q520" s="38"/>
      <c r="R520" s="39"/>
      <c r="S520" s="39"/>
      <c r="T520" s="38"/>
      <c r="V520" s="38"/>
      <c r="W520" s="39"/>
      <c r="X520" s="38"/>
    </row>
    <row r="521" spans="2:24" x14ac:dyDescent="0.3">
      <c r="B521" s="38"/>
      <c r="C521" s="40"/>
      <c r="D521" s="19"/>
      <c r="E521" s="39"/>
      <c r="F521" s="12"/>
      <c r="G521" s="43"/>
      <c r="H521"/>
      <c r="I521"/>
      <c r="K521" s="38"/>
      <c r="L521" s="39"/>
      <c r="M521" s="38"/>
      <c r="N521" s="39"/>
      <c r="O521" s="38"/>
      <c r="Q521" s="38"/>
      <c r="R521" s="39"/>
      <c r="S521" s="39"/>
      <c r="T521" s="38"/>
      <c r="V521" s="38"/>
      <c r="W521" s="39"/>
      <c r="X521" s="38"/>
    </row>
    <row r="522" spans="2:24" x14ac:dyDescent="0.3">
      <c r="B522" s="38"/>
      <c r="C522" s="40"/>
      <c r="D522" s="19"/>
      <c r="E522" s="39"/>
      <c r="F522" s="12"/>
      <c r="G522" s="43"/>
      <c r="H522"/>
      <c r="I522"/>
      <c r="K522" s="38"/>
      <c r="L522" s="39"/>
      <c r="M522" s="38"/>
      <c r="N522" s="39"/>
      <c r="O522" s="38"/>
      <c r="Q522" s="38"/>
      <c r="R522" s="39"/>
      <c r="S522" s="39"/>
      <c r="T522" s="38"/>
      <c r="V522" s="38"/>
      <c r="W522" s="39"/>
      <c r="X522" s="38"/>
    </row>
    <row r="523" spans="2:24" x14ac:dyDescent="0.3">
      <c r="B523" s="38"/>
      <c r="C523" s="40"/>
      <c r="D523" s="19"/>
      <c r="E523" s="39"/>
      <c r="F523" s="12"/>
      <c r="G523" s="43"/>
      <c r="H523"/>
      <c r="I523"/>
      <c r="K523" s="38"/>
      <c r="L523" s="39"/>
      <c r="M523" s="38"/>
      <c r="N523" s="39"/>
      <c r="O523" s="38"/>
      <c r="Q523" s="38"/>
      <c r="R523" s="39"/>
      <c r="S523" s="39"/>
      <c r="T523" s="38"/>
      <c r="V523" s="38"/>
      <c r="W523" s="39"/>
      <c r="X523" s="38"/>
    </row>
    <row r="524" spans="2:24" x14ac:dyDescent="0.3">
      <c r="B524" s="38"/>
      <c r="C524" s="40"/>
      <c r="D524" s="19"/>
      <c r="E524" s="39"/>
      <c r="F524" s="12"/>
      <c r="G524" s="43"/>
      <c r="H524"/>
      <c r="I524"/>
      <c r="K524" s="38"/>
      <c r="L524" s="39"/>
      <c r="M524" s="38"/>
      <c r="N524" s="39"/>
      <c r="O524" s="38"/>
      <c r="Q524" s="38"/>
      <c r="R524" s="39"/>
      <c r="S524" s="39"/>
      <c r="T524" s="38"/>
      <c r="V524" s="38"/>
      <c r="W524" s="39"/>
      <c r="X524" s="38"/>
    </row>
    <row r="525" spans="2:24" x14ac:dyDescent="0.3">
      <c r="B525" s="38"/>
      <c r="C525" s="40"/>
      <c r="D525" s="19"/>
      <c r="E525" s="39"/>
      <c r="F525" s="12"/>
      <c r="G525" s="43"/>
      <c r="H525"/>
      <c r="I525"/>
      <c r="K525" s="38"/>
      <c r="L525" s="39"/>
      <c r="M525" s="38"/>
      <c r="N525" s="39"/>
      <c r="O525" s="38"/>
      <c r="Q525" s="38"/>
      <c r="R525" s="39"/>
      <c r="S525" s="39"/>
      <c r="T525" s="38"/>
      <c r="V525" s="38"/>
      <c r="W525" s="39"/>
      <c r="X525" s="38"/>
    </row>
    <row r="526" spans="2:24" x14ac:dyDescent="0.3">
      <c r="B526" s="38"/>
      <c r="C526" s="40"/>
      <c r="D526" s="19"/>
      <c r="E526" s="39"/>
      <c r="F526" s="12"/>
      <c r="G526" s="43"/>
      <c r="H526"/>
      <c r="I526"/>
      <c r="K526" s="38"/>
      <c r="L526" s="39"/>
      <c r="M526" s="38"/>
      <c r="N526" s="39"/>
      <c r="O526" s="38"/>
      <c r="Q526" s="38"/>
      <c r="R526" s="39"/>
      <c r="S526" s="39"/>
      <c r="T526" s="38"/>
      <c r="V526" s="38"/>
      <c r="W526" s="39"/>
      <c r="X526" s="38"/>
    </row>
    <row r="527" spans="2:24" x14ac:dyDescent="0.3">
      <c r="B527" s="38"/>
      <c r="C527" s="40"/>
      <c r="D527" s="19"/>
      <c r="E527" s="39"/>
      <c r="F527" s="12"/>
      <c r="G527" s="43"/>
      <c r="H527"/>
      <c r="I527"/>
      <c r="K527" s="38"/>
      <c r="L527" s="39"/>
      <c r="M527" s="38"/>
      <c r="N527" s="39"/>
      <c r="O527" s="38"/>
      <c r="Q527" s="38"/>
      <c r="R527" s="39"/>
      <c r="S527" s="39"/>
      <c r="T527" s="38"/>
      <c r="V527" s="38"/>
      <c r="W527" s="39"/>
      <c r="X527" s="38"/>
    </row>
    <row r="528" spans="2:24" x14ac:dyDescent="0.3">
      <c r="B528" s="38"/>
      <c r="C528" s="40"/>
      <c r="D528" s="19"/>
      <c r="E528" s="39"/>
      <c r="F528" s="12"/>
      <c r="G528" s="43"/>
      <c r="H528"/>
      <c r="I528"/>
      <c r="K528" s="38"/>
      <c r="L528" s="39"/>
      <c r="M528" s="38"/>
      <c r="N528" s="39"/>
      <c r="O528" s="38"/>
      <c r="Q528" s="38"/>
      <c r="R528" s="39"/>
      <c r="S528" s="39"/>
      <c r="T528" s="38"/>
      <c r="V528" s="38"/>
      <c r="W528" s="39"/>
      <c r="X528" s="38"/>
    </row>
    <row r="529" spans="2:24" x14ac:dyDescent="0.3">
      <c r="B529" s="38"/>
      <c r="C529" s="40"/>
      <c r="D529" s="19"/>
      <c r="E529" s="39"/>
      <c r="F529" s="12"/>
      <c r="G529" s="43"/>
      <c r="H529"/>
      <c r="I529"/>
      <c r="K529" s="38"/>
      <c r="L529" s="39"/>
      <c r="M529" s="38"/>
      <c r="N529" s="39"/>
      <c r="O529" s="38"/>
      <c r="Q529" s="38"/>
      <c r="R529" s="39"/>
      <c r="S529" s="39"/>
      <c r="T529" s="38"/>
      <c r="V529" s="38"/>
      <c r="W529" s="39"/>
      <c r="X529" s="38"/>
    </row>
    <row r="530" spans="2:24" x14ac:dyDescent="0.3">
      <c r="B530" s="38"/>
      <c r="C530" s="40"/>
      <c r="D530" s="19"/>
      <c r="E530" s="39"/>
      <c r="F530" s="12"/>
      <c r="G530" s="43"/>
      <c r="H530"/>
      <c r="I530"/>
      <c r="K530" s="38"/>
      <c r="L530" s="39"/>
      <c r="M530" s="38"/>
      <c r="N530" s="39"/>
      <c r="O530" s="38"/>
      <c r="Q530" s="38"/>
      <c r="R530" s="39"/>
      <c r="S530" s="39"/>
      <c r="T530" s="38"/>
      <c r="V530" s="38"/>
      <c r="W530" s="39"/>
      <c r="X530" s="38"/>
    </row>
    <row r="531" spans="2:24" x14ac:dyDescent="0.3">
      <c r="B531" s="38"/>
      <c r="C531" s="40"/>
      <c r="D531" s="19"/>
      <c r="E531" s="39"/>
      <c r="F531" s="12"/>
      <c r="G531" s="43"/>
      <c r="H531"/>
      <c r="I531"/>
      <c r="K531" s="38"/>
      <c r="L531" s="39"/>
      <c r="M531" s="38"/>
      <c r="N531" s="39"/>
      <c r="O531" s="38"/>
      <c r="Q531" s="38"/>
      <c r="R531" s="39"/>
      <c r="S531" s="39"/>
      <c r="T531" s="38"/>
      <c r="V531" s="38"/>
      <c r="W531" s="39"/>
      <c r="X531" s="38"/>
    </row>
    <row r="532" spans="2:24" x14ac:dyDescent="0.3">
      <c r="B532" s="38"/>
      <c r="C532" s="40"/>
      <c r="D532" s="19"/>
      <c r="E532" s="39"/>
      <c r="F532" s="12"/>
      <c r="G532" s="43"/>
      <c r="H532"/>
      <c r="I532"/>
      <c r="K532" s="38"/>
      <c r="L532" s="39"/>
      <c r="M532" s="38"/>
      <c r="N532" s="39"/>
      <c r="O532" s="38"/>
      <c r="Q532" s="38"/>
      <c r="R532" s="39"/>
      <c r="S532" s="39"/>
      <c r="T532" s="38"/>
      <c r="V532" s="38"/>
      <c r="W532" s="39"/>
      <c r="X532" s="38"/>
    </row>
    <row r="533" spans="2:24" x14ac:dyDescent="0.3">
      <c r="B533" s="38"/>
      <c r="C533" s="40"/>
      <c r="D533" s="19"/>
      <c r="E533" s="39"/>
      <c r="F533" s="12"/>
      <c r="G533" s="43"/>
      <c r="H533"/>
      <c r="I533"/>
      <c r="K533" s="38"/>
      <c r="L533" s="39"/>
      <c r="M533" s="38"/>
      <c r="N533" s="39"/>
      <c r="O533" s="38"/>
      <c r="Q533" s="38"/>
      <c r="R533" s="39"/>
      <c r="S533" s="39"/>
      <c r="T533" s="38"/>
      <c r="V533" s="38"/>
      <c r="W533" s="39"/>
      <c r="X533" s="38"/>
    </row>
    <row r="534" spans="2:24" x14ac:dyDescent="0.3">
      <c r="B534" s="38"/>
      <c r="C534" s="40"/>
      <c r="D534" s="19"/>
      <c r="E534" s="39"/>
      <c r="F534" s="12"/>
      <c r="G534" s="43"/>
      <c r="H534"/>
      <c r="I534"/>
      <c r="K534" s="38"/>
      <c r="L534" s="39"/>
      <c r="M534" s="38"/>
      <c r="N534" s="39"/>
      <c r="O534" s="38"/>
      <c r="Q534" s="38"/>
      <c r="R534" s="39"/>
      <c r="S534" s="39"/>
      <c r="T534" s="38"/>
      <c r="V534" s="38"/>
      <c r="W534" s="39"/>
      <c r="X534" s="38"/>
    </row>
    <row r="535" spans="2:24" x14ac:dyDescent="0.3">
      <c r="B535" s="38"/>
      <c r="C535" s="40"/>
      <c r="D535" s="19"/>
      <c r="E535" s="39"/>
      <c r="F535" s="12"/>
      <c r="G535" s="43"/>
      <c r="H535"/>
      <c r="I535"/>
      <c r="K535" s="38"/>
      <c r="L535" s="39"/>
      <c r="M535" s="38"/>
      <c r="N535" s="39"/>
      <c r="O535" s="38"/>
      <c r="Q535" s="38"/>
      <c r="R535" s="39"/>
      <c r="S535" s="39"/>
      <c r="T535" s="38"/>
      <c r="V535" s="38"/>
      <c r="W535" s="39"/>
      <c r="X535" s="38"/>
    </row>
    <row r="536" spans="2:24" x14ac:dyDescent="0.3">
      <c r="B536" s="38"/>
      <c r="C536" s="40"/>
      <c r="D536" s="19"/>
      <c r="E536" s="39"/>
      <c r="F536" s="12"/>
      <c r="G536" s="43"/>
      <c r="H536"/>
      <c r="I536"/>
      <c r="K536" s="38"/>
      <c r="L536" s="39"/>
      <c r="M536" s="38"/>
      <c r="N536" s="39"/>
      <c r="O536" s="38"/>
      <c r="Q536" s="38"/>
      <c r="R536" s="39"/>
      <c r="S536" s="39"/>
      <c r="T536" s="38"/>
      <c r="V536" s="38"/>
      <c r="W536" s="39"/>
      <c r="X536" s="38"/>
    </row>
    <row r="537" spans="2:24" x14ac:dyDescent="0.3">
      <c r="B537" s="38"/>
      <c r="C537" s="40"/>
      <c r="D537" s="19"/>
      <c r="E537" s="39"/>
      <c r="F537" s="12"/>
      <c r="G537" s="43"/>
      <c r="H537"/>
      <c r="I537"/>
      <c r="K537" s="38"/>
      <c r="L537" s="39"/>
      <c r="M537" s="38"/>
      <c r="N537" s="39"/>
      <c r="O537" s="38"/>
      <c r="Q537" s="38"/>
      <c r="R537" s="39"/>
      <c r="S537" s="39"/>
      <c r="T537" s="38"/>
      <c r="V537" s="38"/>
      <c r="W537" s="39"/>
      <c r="X537" s="38"/>
    </row>
    <row r="538" spans="2:24" x14ac:dyDescent="0.3">
      <c r="B538" s="38"/>
      <c r="C538" s="40"/>
      <c r="D538" s="19"/>
      <c r="E538" s="39"/>
      <c r="F538" s="12"/>
      <c r="G538" s="43"/>
      <c r="H538"/>
      <c r="I538"/>
      <c r="K538" s="38"/>
      <c r="L538" s="39"/>
      <c r="M538" s="38"/>
      <c r="N538" s="39"/>
      <c r="O538" s="38"/>
      <c r="Q538" s="38"/>
      <c r="R538" s="39"/>
      <c r="S538" s="39"/>
      <c r="T538" s="38"/>
      <c r="V538" s="38"/>
      <c r="W538" s="39"/>
      <c r="X538" s="38"/>
    </row>
    <row r="539" spans="2:24" x14ac:dyDescent="0.3">
      <c r="B539" s="38"/>
      <c r="C539" s="40"/>
      <c r="D539" s="19"/>
      <c r="E539" s="39"/>
      <c r="F539" s="12"/>
      <c r="G539" s="43"/>
      <c r="H539"/>
      <c r="I539"/>
      <c r="K539" s="38"/>
      <c r="L539" s="39"/>
      <c r="M539" s="38"/>
      <c r="N539" s="39"/>
      <c r="O539" s="38"/>
      <c r="Q539" s="38"/>
      <c r="R539" s="39"/>
      <c r="S539" s="39"/>
      <c r="T539" s="38"/>
      <c r="V539" s="38"/>
      <c r="W539" s="39"/>
      <c r="X539" s="38"/>
    </row>
    <row r="540" spans="2:24" x14ac:dyDescent="0.3">
      <c r="B540" s="38"/>
      <c r="C540" s="40"/>
      <c r="D540" s="19"/>
      <c r="E540" s="39"/>
      <c r="F540" s="12"/>
      <c r="G540" s="43"/>
      <c r="H540"/>
      <c r="I540"/>
      <c r="K540" s="38"/>
      <c r="L540" s="39"/>
      <c r="M540" s="38"/>
      <c r="N540" s="39"/>
      <c r="O540" s="38"/>
      <c r="Q540" s="38"/>
      <c r="R540" s="39"/>
      <c r="S540" s="39"/>
      <c r="T540" s="38"/>
      <c r="V540" s="38"/>
      <c r="W540" s="39"/>
      <c r="X540" s="38"/>
    </row>
    <row r="541" spans="2:24" x14ac:dyDescent="0.3">
      <c r="B541" s="38"/>
      <c r="C541" s="40"/>
      <c r="D541" s="19"/>
      <c r="E541" s="39"/>
      <c r="F541" s="12"/>
      <c r="G541" s="43"/>
      <c r="H541"/>
      <c r="I541"/>
      <c r="K541" s="38"/>
      <c r="L541" s="39"/>
      <c r="M541" s="38"/>
      <c r="N541" s="39"/>
      <c r="O541" s="38"/>
      <c r="Q541" s="38"/>
      <c r="R541" s="39"/>
      <c r="S541" s="39"/>
      <c r="T541" s="38"/>
      <c r="V541" s="38"/>
      <c r="W541" s="39"/>
      <c r="X541" s="38"/>
    </row>
    <row r="542" spans="2:24" x14ac:dyDescent="0.3">
      <c r="B542" s="38"/>
      <c r="C542" s="40"/>
      <c r="D542" s="19"/>
      <c r="E542" s="39"/>
      <c r="F542" s="12"/>
      <c r="G542" s="43"/>
      <c r="H542"/>
      <c r="I542"/>
      <c r="K542" s="38"/>
      <c r="L542" s="39"/>
      <c r="M542" s="38"/>
      <c r="N542" s="39"/>
      <c r="O542" s="38"/>
      <c r="Q542" s="38"/>
      <c r="R542" s="39"/>
      <c r="S542" s="39"/>
      <c r="T542" s="38"/>
      <c r="V542" s="38"/>
      <c r="W542" s="39"/>
      <c r="X542" s="38"/>
    </row>
    <row r="543" spans="2:24" x14ac:dyDescent="0.3">
      <c r="B543" s="38"/>
      <c r="C543" s="40"/>
      <c r="D543" s="19"/>
      <c r="E543" s="39"/>
      <c r="F543" s="12"/>
      <c r="G543" s="43"/>
      <c r="H543"/>
      <c r="I543"/>
      <c r="K543" s="38"/>
      <c r="L543" s="39"/>
      <c r="M543" s="38"/>
      <c r="N543" s="39"/>
      <c r="O543" s="38"/>
      <c r="Q543" s="38"/>
      <c r="R543" s="39"/>
      <c r="S543" s="39"/>
      <c r="T543" s="38"/>
      <c r="V543" s="38"/>
      <c r="W543" s="39"/>
      <c r="X543" s="38"/>
    </row>
    <row r="544" spans="2:24" x14ac:dyDescent="0.3">
      <c r="B544" s="38"/>
      <c r="C544" s="40"/>
      <c r="D544" s="19"/>
      <c r="E544" s="39"/>
      <c r="F544" s="12"/>
      <c r="G544" s="43"/>
      <c r="H544"/>
      <c r="I544"/>
      <c r="K544" s="38"/>
      <c r="L544" s="39"/>
      <c r="M544" s="38"/>
      <c r="N544" s="39"/>
      <c r="O544" s="38"/>
      <c r="Q544" s="38"/>
      <c r="R544" s="39"/>
      <c r="S544" s="39"/>
      <c r="T544" s="38"/>
      <c r="V544" s="38"/>
      <c r="W544" s="39"/>
      <c r="X544" s="38"/>
    </row>
    <row r="545" spans="2:24" x14ac:dyDescent="0.3">
      <c r="B545" s="38"/>
      <c r="C545" s="40"/>
      <c r="D545" s="19"/>
      <c r="E545" s="39"/>
      <c r="F545" s="12"/>
      <c r="G545" s="43"/>
      <c r="H545"/>
      <c r="I545"/>
      <c r="K545" s="38"/>
      <c r="L545" s="39"/>
      <c r="M545" s="38"/>
      <c r="N545" s="39"/>
      <c r="O545" s="38"/>
      <c r="Q545" s="38"/>
      <c r="R545" s="39"/>
      <c r="S545" s="39"/>
      <c r="T545" s="38"/>
      <c r="V545" s="38"/>
      <c r="W545" s="39"/>
      <c r="X545" s="38"/>
    </row>
    <row r="546" spans="2:24" x14ac:dyDescent="0.3">
      <c r="B546" s="38"/>
      <c r="C546" s="40"/>
      <c r="D546" s="19"/>
      <c r="E546" s="39"/>
      <c r="F546" s="12"/>
      <c r="G546" s="43"/>
      <c r="H546"/>
      <c r="I546"/>
      <c r="K546" s="38"/>
      <c r="L546" s="39"/>
      <c r="M546" s="38"/>
      <c r="N546" s="39"/>
      <c r="O546" s="38"/>
      <c r="Q546" s="38"/>
      <c r="R546" s="39"/>
      <c r="S546" s="39"/>
      <c r="T546" s="38"/>
      <c r="V546" s="38"/>
      <c r="W546" s="39"/>
      <c r="X546" s="38"/>
    </row>
    <row r="547" spans="2:24" x14ac:dyDescent="0.3">
      <c r="B547" s="38"/>
      <c r="C547" s="40"/>
      <c r="D547" s="19"/>
      <c r="E547" s="39"/>
      <c r="F547" s="12"/>
      <c r="G547" s="43"/>
      <c r="H547"/>
      <c r="I547"/>
      <c r="K547" s="38"/>
      <c r="L547" s="39"/>
      <c r="M547" s="38"/>
      <c r="N547" s="39"/>
      <c r="O547" s="38"/>
      <c r="Q547" s="38"/>
      <c r="R547" s="39"/>
      <c r="S547" s="39"/>
      <c r="T547" s="38"/>
      <c r="V547" s="38"/>
      <c r="W547" s="39"/>
      <c r="X547" s="38"/>
    </row>
    <row r="548" spans="2:24" x14ac:dyDescent="0.3">
      <c r="B548" s="38"/>
      <c r="C548" s="40"/>
      <c r="D548" s="19"/>
      <c r="E548" s="39"/>
      <c r="F548" s="12"/>
      <c r="G548" s="43"/>
      <c r="H548"/>
      <c r="I548"/>
      <c r="K548" s="38"/>
      <c r="L548" s="39"/>
      <c r="M548" s="38"/>
      <c r="N548" s="39"/>
      <c r="O548" s="38"/>
      <c r="Q548" s="38"/>
      <c r="R548" s="39"/>
      <c r="S548" s="39"/>
      <c r="T548" s="38"/>
      <c r="V548" s="38"/>
      <c r="W548" s="39"/>
      <c r="X548" s="38"/>
    </row>
    <row r="549" spans="2:24" x14ac:dyDescent="0.3">
      <c r="B549" s="38"/>
      <c r="C549" s="40"/>
      <c r="D549" s="19"/>
      <c r="E549" s="39"/>
      <c r="F549" s="12"/>
      <c r="G549" s="43"/>
      <c r="H549"/>
      <c r="I549"/>
      <c r="K549" s="38"/>
      <c r="L549" s="39"/>
      <c r="M549" s="38"/>
      <c r="N549" s="39"/>
      <c r="O549" s="38"/>
      <c r="Q549" s="38"/>
      <c r="R549" s="39"/>
      <c r="S549" s="39"/>
      <c r="T549" s="38"/>
      <c r="V549" s="38"/>
      <c r="W549" s="39"/>
      <c r="X549" s="38"/>
    </row>
    <row r="550" spans="2:24" x14ac:dyDescent="0.3">
      <c r="B550" s="38"/>
      <c r="C550" s="40"/>
      <c r="D550" s="19"/>
      <c r="E550" s="39"/>
      <c r="F550" s="12"/>
      <c r="G550" s="43"/>
      <c r="H550"/>
      <c r="I550"/>
      <c r="K550" s="38"/>
      <c r="L550" s="39"/>
      <c r="M550" s="38"/>
      <c r="N550" s="39"/>
      <c r="O550" s="38"/>
      <c r="Q550" s="38"/>
      <c r="R550" s="39"/>
      <c r="S550" s="39"/>
      <c r="T550" s="38"/>
      <c r="V550" s="38"/>
      <c r="W550" s="39"/>
      <c r="X550" s="38"/>
    </row>
    <row r="551" spans="2:24" x14ac:dyDescent="0.3">
      <c r="B551" s="38"/>
      <c r="C551" s="40"/>
      <c r="D551" s="19"/>
      <c r="E551" s="39"/>
      <c r="F551" s="12"/>
      <c r="G551" s="43"/>
      <c r="H551"/>
      <c r="I551"/>
      <c r="K551" s="38"/>
      <c r="L551" s="39"/>
      <c r="M551" s="38"/>
      <c r="N551" s="39"/>
      <c r="O551" s="38"/>
      <c r="Q551" s="38"/>
      <c r="R551" s="39"/>
      <c r="S551" s="39"/>
      <c r="T551" s="38"/>
      <c r="V551" s="38"/>
      <c r="W551" s="39"/>
      <c r="X551" s="38"/>
    </row>
    <row r="552" spans="2:24" x14ac:dyDescent="0.3">
      <c r="B552" s="38"/>
      <c r="C552" s="40"/>
      <c r="D552" s="19"/>
      <c r="E552" s="39"/>
      <c r="F552" s="12"/>
      <c r="G552" s="43"/>
      <c r="H552"/>
      <c r="I552"/>
      <c r="K552" s="38"/>
      <c r="L552" s="39"/>
      <c r="M552" s="38"/>
      <c r="N552" s="39"/>
      <c r="O552" s="38"/>
      <c r="Q552" s="38"/>
      <c r="R552" s="39"/>
      <c r="S552" s="39"/>
      <c r="T552" s="38"/>
      <c r="V552" s="38"/>
      <c r="W552" s="39"/>
      <c r="X552" s="38"/>
    </row>
    <row r="553" spans="2:24" x14ac:dyDescent="0.3">
      <c r="B553" s="38"/>
      <c r="C553" s="40"/>
      <c r="D553" s="19"/>
      <c r="E553" s="39"/>
      <c r="F553" s="12"/>
      <c r="G553" s="43"/>
      <c r="H553"/>
      <c r="I553"/>
      <c r="K553" s="38"/>
      <c r="L553" s="39"/>
      <c r="M553" s="38"/>
      <c r="N553" s="39"/>
      <c r="O553" s="38"/>
      <c r="Q553" s="38"/>
      <c r="R553" s="39"/>
      <c r="S553" s="39"/>
      <c r="T553" s="38"/>
      <c r="V553" s="38"/>
      <c r="W553" s="39"/>
      <c r="X553" s="38"/>
    </row>
    <row r="554" spans="2:24" x14ac:dyDescent="0.3">
      <c r="B554" s="38"/>
      <c r="C554" s="40"/>
      <c r="D554" s="19"/>
      <c r="E554" s="39"/>
      <c r="F554" s="12"/>
      <c r="G554" s="43"/>
      <c r="H554"/>
      <c r="I554"/>
      <c r="K554" s="38"/>
      <c r="L554" s="39"/>
      <c r="M554" s="38"/>
      <c r="N554" s="39"/>
      <c r="O554" s="38"/>
      <c r="Q554" s="38"/>
      <c r="R554" s="39"/>
      <c r="S554" s="39"/>
      <c r="T554" s="38"/>
      <c r="V554" s="38"/>
      <c r="W554" s="39"/>
      <c r="X554" s="38"/>
    </row>
    <row r="555" spans="2:24" x14ac:dyDescent="0.3">
      <c r="B555" s="38"/>
      <c r="C555" s="40"/>
      <c r="D555" s="19"/>
      <c r="E555" s="39"/>
      <c r="F555" s="12"/>
      <c r="G555" s="43"/>
      <c r="H555"/>
      <c r="I555"/>
      <c r="K555" s="38"/>
      <c r="L555" s="39"/>
      <c r="M555" s="38"/>
      <c r="N555" s="39"/>
      <c r="O555" s="38"/>
      <c r="Q555" s="38"/>
      <c r="R555" s="39"/>
      <c r="S555" s="39"/>
      <c r="T555" s="38"/>
      <c r="V555" s="38"/>
      <c r="W555" s="39"/>
      <c r="X555" s="38"/>
    </row>
    <row r="556" spans="2:24" x14ac:dyDescent="0.3">
      <c r="B556" s="38"/>
      <c r="C556" s="40"/>
      <c r="D556" s="19"/>
      <c r="E556" s="39"/>
      <c r="F556" s="12"/>
      <c r="G556" s="43"/>
      <c r="H556"/>
      <c r="I556"/>
      <c r="K556" s="38"/>
      <c r="L556" s="39"/>
      <c r="M556" s="38"/>
      <c r="N556" s="39"/>
      <c r="O556" s="38"/>
      <c r="Q556" s="38"/>
      <c r="R556" s="39"/>
      <c r="S556" s="39"/>
      <c r="T556" s="38"/>
      <c r="V556" s="38"/>
      <c r="W556" s="39"/>
      <c r="X556" s="38"/>
    </row>
    <row r="557" spans="2:24" x14ac:dyDescent="0.3">
      <c r="B557" s="38"/>
      <c r="C557" s="40"/>
      <c r="D557" s="19"/>
      <c r="E557" s="39"/>
      <c r="F557" s="12"/>
      <c r="G557" s="43"/>
      <c r="H557"/>
      <c r="I557"/>
      <c r="K557" s="38"/>
      <c r="L557" s="39"/>
      <c r="M557" s="38"/>
      <c r="N557" s="39"/>
      <c r="O557" s="38"/>
      <c r="Q557" s="38"/>
      <c r="R557" s="39"/>
      <c r="S557" s="39"/>
      <c r="T557" s="38"/>
      <c r="V557" s="38"/>
      <c r="W557" s="39"/>
      <c r="X557" s="38"/>
    </row>
    <row r="558" spans="2:24" x14ac:dyDescent="0.3">
      <c r="B558" s="38"/>
      <c r="C558" s="40"/>
      <c r="D558" s="19"/>
      <c r="E558" s="39"/>
      <c r="F558" s="12"/>
      <c r="G558" s="43"/>
      <c r="H558"/>
      <c r="I558"/>
      <c r="K558" s="38"/>
      <c r="L558" s="39"/>
      <c r="M558" s="38"/>
      <c r="N558" s="39"/>
      <c r="O558" s="38"/>
      <c r="Q558" s="38"/>
      <c r="R558" s="39"/>
      <c r="S558" s="39"/>
      <c r="T558" s="38"/>
      <c r="V558" s="38"/>
      <c r="W558" s="39"/>
      <c r="X558" s="38"/>
    </row>
    <row r="559" spans="2:24" x14ac:dyDescent="0.3">
      <c r="B559" s="38"/>
      <c r="C559" s="40"/>
      <c r="D559" s="19"/>
      <c r="E559" s="39"/>
      <c r="F559" s="12"/>
      <c r="G559" s="43"/>
      <c r="H559"/>
      <c r="I559"/>
      <c r="K559" s="38"/>
      <c r="L559" s="39"/>
      <c r="M559" s="38"/>
      <c r="N559" s="39"/>
      <c r="O559" s="38"/>
      <c r="Q559" s="38"/>
      <c r="R559" s="39"/>
      <c r="S559" s="39"/>
      <c r="T559" s="38"/>
      <c r="V559" s="38"/>
      <c r="W559" s="39"/>
      <c r="X559" s="38"/>
    </row>
    <row r="560" spans="2:24" x14ac:dyDescent="0.3">
      <c r="B560" s="38"/>
      <c r="C560" s="40"/>
      <c r="D560" s="19"/>
      <c r="E560" s="39"/>
      <c r="F560" s="12"/>
      <c r="G560" s="43"/>
      <c r="H560"/>
      <c r="I560"/>
      <c r="K560" s="38"/>
      <c r="L560" s="39"/>
      <c r="M560" s="38"/>
      <c r="N560" s="39"/>
      <c r="O560" s="38"/>
      <c r="Q560" s="38"/>
      <c r="R560" s="39"/>
      <c r="S560" s="39"/>
      <c r="T560" s="38"/>
      <c r="V560" s="38"/>
      <c r="W560" s="39"/>
      <c r="X560" s="38"/>
    </row>
    <row r="561" spans="2:24" x14ac:dyDescent="0.3">
      <c r="B561" s="38"/>
      <c r="C561" s="40"/>
      <c r="D561" s="19"/>
      <c r="E561" s="39"/>
      <c r="F561" s="12"/>
      <c r="G561" s="43"/>
      <c r="H561"/>
      <c r="I561"/>
      <c r="K561" s="38"/>
      <c r="L561" s="39"/>
      <c r="N561" s="39"/>
      <c r="O561" s="38"/>
      <c r="Q561" s="38"/>
      <c r="R561" s="39"/>
      <c r="S561" s="39"/>
      <c r="T561" s="38"/>
      <c r="V561" s="38"/>
      <c r="W561" s="39"/>
      <c r="X561" s="38"/>
    </row>
    <row r="562" spans="2:24" x14ac:dyDescent="0.3">
      <c r="B562" s="38"/>
      <c r="C562" s="40"/>
      <c r="D562" s="19"/>
      <c r="E562" s="39"/>
      <c r="F562" s="12"/>
      <c r="G562" s="43"/>
      <c r="H562"/>
      <c r="I562"/>
      <c r="K562" s="38"/>
      <c r="L562" s="39"/>
      <c r="N562" s="39"/>
      <c r="O562" s="38"/>
      <c r="Q562" s="38"/>
      <c r="R562" s="39"/>
      <c r="S562" s="39"/>
      <c r="T562" s="38"/>
      <c r="V562" s="38"/>
      <c r="W562" s="39"/>
      <c r="X562" s="38"/>
    </row>
    <row r="563" spans="2:24" x14ac:dyDescent="0.3">
      <c r="B563" s="38"/>
      <c r="C563" s="40"/>
      <c r="D563" s="19"/>
      <c r="E563" s="39"/>
      <c r="F563" s="12"/>
      <c r="G563" s="43"/>
      <c r="H563"/>
      <c r="I563"/>
      <c r="K563" s="38"/>
      <c r="L563" s="39"/>
      <c r="N563" s="39"/>
      <c r="O563" s="38"/>
      <c r="Q563" s="38"/>
      <c r="R563" s="39"/>
      <c r="S563" s="39"/>
      <c r="T563" s="38"/>
      <c r="V563" s="38"/>
      <c r="W563" s="39"/>
      <c r="X563" s="38"/>
    </row>
    <row r="564" spans="2:24" x14ac:dyDescent="0.3">
      <c r="B564" s="38"/>
      <c r="C564" s="40"/>
      <c r="D564" s="19"/>
      <c r="E564" s="39"/>
      <c r="F564" s="12"/>
      <c r="G564" s="43"/>
      <c r="H564"/>
      <c r="I564"/>
      <c r="K564" s="38"/>
      <c r="L564" s="39"/>
      <c r="M564" s="38"/>
      <c r="N564" s="39"/>
      <c r="O564" s="38"/>
      <c r="Q564" s="38"/>
      <c r="R564" s="39"/>
      <c r="S564" s="39"/>
      <c r="T564" s="38"/>
      <c r="V564" s="38"/>
      <c r="W564" s="39"/>
      <c r="X564" s="38"/>
    </row>
    <row r="565" spans="2:24" x14ac:dyDescent="0.3">
      <c r="B565" s="38"/>
      <c r="C565" s="40"/>
      <c r="D565" s="19"/>
      <c r="E565" s="39"/>
      <c r="F565" s="12"/>
      <c r="G565" s="43"/>
      <c r="H565"/>
      <c r="I565"/>
      <c r="K565" s="38"/>
      <c r="L565" s="39"/>
      <c r="M565" s="38"/>
      <c r="N565" s="39"/>
      <c r="O565" s="38"/>
      <c r="Q565" s="38"/>
      <c r="R565" s="39"/>
      <c r="S565" s="39"/>
      <c r="T565" s="38"/>
      <c r="V565" s="38"/>
      <c r="W565" s="39"/>
      <c r="X565" s="38"/>
    </row>
    <row r="566" spans="2:24" x14ac:dyDescent="0.3">
      <c r="B566" s="38"/>
      <c r="C566" s="40"/>
      <c r="D566" s="19"/>
      <c r="E566" s="39"/>
      <c r="F566" s="12"/>
      <c r="G566" s="43"/>
      <c r="H566"/>
      <c r="I566"/>
      <c r="K566" s="38"/>
      <c r="L566" s="39"/>
      <c r="M566" s="38"/>
      <c r="N566" s="39"/>
      <c r="O566" s="38"/>
      <c r="Q566" s="38"/>
      <c r="R566" s="39"/>
      <c r="S566" s="39"/>
      <c r="T566" s="38"/>
      <c r="V566" s="38"/>
      <c r="W566" s="39"/>
      <c r="X566" s="38"/>
    </row>
    <row r="567" spans="2:24" x14ac:dyDescent="0.3">
      <c r="B567" s="38"/>
      <c r="C567" s="40"/>
      <c r="D567" s="19"/>
      <c r="E567" s="39"/>
      <c r="F567" s="12"/>
      <c r="G567" s="43"/>
      <c r="H567"/>
      <c r="I567"/>
      <c r="K567" s="38"/>
      <c r="L567" s="39"/>
      <c r="M567" s="38"/>
      <c r="N567" s="39"/>
      <c r="O567" s="38"/>
      <c r="Q567" s="38"/>
      <c r="R567" s="39"/>
      <c r="S567" s="39"/>
      <c r="T567" s="38"/>
      <c r="V567" s="38"/>
      <c r="W567" s="39"/>
      <c r="X567" s="38"/>
    </row>
    <row r="568" spans="2:24" x14ac:dyDescent="0.3">
      <c r="B568" s="38"/>
      <c r="C568" s="40"/>
      <c r="D568" s="19"/>
      <c r="E568" s="39"/>
      <c r="F568" s="12"/>
      <c r="G568" s="43"/>
      <c r="H568"/>
      <c r="I568"/>
      <c r="K568" s="38"/>
      <c r="L568" s="39"/>
      <c r="M568" s="38"/>
      <c r="N568" s="39"/>
      <c r="O568" s="38"/>
      <c r="Q568" s="38"/>
      <c r="R568" s="39"/>
      <c r="S568" s="39"/>
      <c r="T568" s="38"/>
      <c r="V568" s="38"/>
      <c r="W568" s="39"/>
      <c r="X568" s="38"/>
    </row>
    <row r="569" spans="2:24" x14ac:dyDescent="0.3">
      <c r="B569" s="38"/>
      <c r="C569" s="40"/>
      <c r="D569" s="19"/>
      <c r="E569" s="39"/>
      <c r="F569" s="12"/>
      <c r="G569" s="43"/>
      <c r="H569"/>
      <c r="I569"/>
      <c r="K569" s="38"/>
      <c r="L569" s="39"/>
      <c r="M569" s="38"/>
      <c r="N569" s="39"/>
      <c r="O569" s="38"/>
      <c r="Q569" s="38"/>
      <c r="R569" s="39"/>
      <c r="S569" s="39"/>
      <c r="T569" s="38"/>
      <c r="V569" s="38"/>
      <c r="W569" s="39"/>
      <c r="X569" s="38"/>
    </row>
    <row r="570" spans="2:24" x14ac:dyDescent="0.3">
      <c r="B570" s="38"/>
      <c r="C570" s="40"/>
      <c r="D570" s="19"/>
      <c r="E570" s="39"/>
      <c r="F570" s="12"/>
      <c r="G570" s="43"/>
      <c r="H570"/>
      <c r="I570"/>
      <c r="K570" s="38"/>
      <c r="L570" s="39"/>
      <c r="M570" s="38"/>
      <c r="N570" s="39"/>
      <c r="O570" s="38"/>
      <c r="Q570" s="38"/>
      <c r="R570" s="39"/>
      <c r="S570" s="39"/>
      <c r="T570" s="38"/>
      <c r="V570" s="38"/>
      <c r="W570" s="39"/>
      <c r="X570" s="38"/>
    </row>
    <row r="571" spans="2:24" x14ac:dyDescent="0.3">
      <c r="B571" s="38"/>
      <c r="C571" s="40"/>
      <c r="D571" s="19"/>
      <c r="E571" s="39"/>
      <c r="F571" s="12"/>
      <c r="G571" s="43"/>
      <c r="H571"/>
      <c r="I571"/>
      <c r="K571" s="38"/>
      <c r="L571" s="39"/>
      <c r="M571" s="38"/>
      <c r="N571" s="39"/>
      <c r="O571" s="38"/>
      <c r="Q571" s="38"/>
      <c r="R571" s="39"/>
      <c r="S571" s="39"/>
      <c r="T571" s="38"/>
      <c r="V571" s="38"/>
      <c r="W571" s="39"/>
      <c r="X571" s="38"/>
    </row>
    <row r="572" spans="2:24" x14ac:dyDescent="0.3">
      <c r="B572" s="38"/>
      <c r="C572" s="40"/>
      <c r="D572" s="19"/>
      <c r="E572" s="39"/>
      <c r="F572" s="12"/>
      <c r="G572" s="43"/>
      <c r="H572"/>
      <c r="I572"/>
      <c r="K572" s="38"/>
      <c r="L572" s="39"/>
      <c r="M572" s="38"/>
      <c r="N572" s="39"/>
      <c r="O572" s="38"/>
      <c r="Q572" s="38"/>
      <c r="R572" s="39"/>
      <c r="S572" s="39"/>
      <c r="T572" s="38"/>
      <c r="V572" s="38"/>
      <c r="W572" s="39"/>
      <c r="X572" s="38"/>
    </row>
    <row r="573" spans="2:24" x14ac:dyDescent="0.3">
      <c r="B573" s="38"/>
      <c r="C573" s="40"/>
      <c r="D573" s="19"/>
      <c r="E573" s="39"/>
      <c r="F573" s="12"/>
      <c r="G573" s="43"/>
      <c r="H573"/>
      <c r="I573"/>
      <c r="K573" s="38"/>
      <c r="L573" s="39"/>
      <c r="M573" s="38"/>
      <c r="N573" s="39"/>
      <c r="O573" s="38"/>
      <c r="Q573" s="38"/>
      <c r="R573" s="39"/>
      <c r="S573" s="39"/>
      <c r="T573" s="38"/>
      <c r="V573" s="38"/>
      <c r="W573" s="39"/>
      <c r="X573" s="38"/>
    </row>
    <row r="574" spans="2:24" x14ac:dyDescent="0.3">
      <c r="B574" s="38"/>
      <c r="C574" s="40"/>
      <c r="D574" s="19"/>
      <c r="E574" s="39"/>
      <c r="F574" s="12"/>
      <c r="G574" s="43"/>
      <c r="H574"/>
      <c r="I574"/>
      <c r="K574" s="38"/>
      <c r="L574" s="39"/>
      <c r="M574" s="38"/>
      <c r="N574" s="39"/>
      <c r="O574" s="38"/>
      <c r="Q574" s="38"/>
      <c r="R574" s="39"/>
      <c r="S574" s="39"/>
      <c r="T574" s="38"/>
      <c r="V574" s="38"/>
      <c r="W574" s="39"/>
      <c r="X574" s="38"/>
    </row>
    <row r="575" spans="2:24" x14ac:dyDescent="0.3">
      <c r="B575" s="38"/>
      <c r="C575" s="40"/>
      <c r="D575" s="19"/>
      <c r="E575" s="39"/>
      <c r="F575" s="12"/>
      <c r="G575" s="43"/>
      <c r="H575"/>
      <c r="I575"/>
      <c r="K575" s="38"/>
      <c r="L575" s="39"/>
      <c r="M575" s="38"/>
      <c r="N575" s="39"/>
      <c r="O575" s="38"/>
      <c r="Q575" s="38"/>
      <c r="R575" s="39"/>
      <c r="S575" s="39"/>
      <c r="T575" s="38"/>
      <c r="V575" s="38"/>
      <c r="W575" s="39"/>
      <c r="X575" s="38"/>
    </row>
    <row r="576" spans="2:24" x14ac:dyDescent="0.3">
      <c r="B576" s="38"/>
      <c r="C576" s="40"/>
      <c r="D576" s="19"/>
      <c r="E576" s="39"/>
      <c r="F576" s="12"/>
      <c r="G576" s="43"/>
      <c r="H576"/>
      <c r="I576"/>
      <c r="K576" s="38"/>
      <c r="L576" s="39"/>
      <c r="M576" s="38"/>
      <c r="N576" s="39"/>
      <c r="O576" s="38"/>
      <c r="Q576" s="38"/>
      <c r="R576" s="39"/>
      <c r="S576" s="39"/>
      <c r="T576" s="38"/>
      <c r="V576" s="38"/>
      <c r="W576" s="39"/>
      <c r="X576" s="38"/>
    </row>
    <row r="577" spans="2:24" x14ac:dyDescent="0.3">
      <c r="B577" s="38"/>
      <c r="C577" s="40"/>
      <c r="D577" s="19"/>
      <c r="E577" s="39"/>
      <c r="F577" s="12"/>
      <c r="G577" s="43"/>
      <c r="H577"/>
      <c r="I577"/>
      <c r="K577" s="38"/>
      <c r="L577" s="39"/>
      <c r="M577" s="38"/>
      <c r="N577" s="39"/>
      <c r="O577" s="38"/>
      <c r="Q577" s="38"/>
      <c r="R577" s="39"/>
      <c r="S577" s="39"/>
      <c r="T577" s="38"/>
      <c r="V577" s="38"/>
      <c r="W577" s="39"/>
      <c r="X577" s="38"/>
    </row>
    <row r="578" spans="2:24" x14ac:dyDescent="0.3">
      <c r="B578" s="38"/>
      <c r="C578" s="40"/>
      <c r="D578" s="19"/>
      <c r="E578" s="39"/>
      <c r="F578" s="12"/>
      <c r="G578" s="43"/>
      <c r="H578"/>
      <c r="I578"/>
      <c r="K578" s="38"/>
      <c r="L578" s="39"/>
      <c r="M578" s="38"/>
      <c r="N578" s="39"/>
      <c r="O578" s="38"/>
      <c r="Q578" s="38"/>
      <c r="R578" s="39"/>
      <c r="S578" s="39"/>
      <c r="T578" s="38"/>
      <c r="V578" s="38"/>
      <c r="W578" s="39"/>
      <c r="X578" s="38"/>
    </row>
    <row r="579" spans="2:24" x14ac:dyDescent="0.3">
      <c r="B579" s="38"/>
      <c r="C579" s="40"/>
      <c r="D579" s="19"/>
      <c r="E579" s="39"/>
      <c r="F579" s="12"/>
      <c r="G579" s="43"/>
      <c r="H579"/>
      <c r="I579"/>
      <c r="K579" s="38"/>
      <c r="L579" s="39"/>
      <c r="M579" s="38"/>
      <c r="N579" s="39"/>
      <c r="O579" s="38"/>
      <c r="Q579" s="38"/>
      <c r="R579" s="39"/>
      <c r="S579" s="39"/>
      <c r="T579" s="38"/>
      <c r="V579" s="38"/>
      <c r="W579" s="39"/>
      <c r="X579" s="38"/>
    </row>
    <row r="580" spans="2:24" x14ac:dyDescent="0.3">
      <c r="B580" s="38"/>
      <c r="C580" s="40"/>
      <c r="D580" s="19"/>
      <c r="E580" s="39"/>
      <c r="F580" s="12"/>
      <c r="G580" s="43"/>
      <c r="H580"/>
      <c r="I580"/>
      <c r="K580" s="38"/>
      <c r="L580" s="39"/>
      <c r="M580" s="38"/>
      <c r="N580" s="39"/>
      <c r="O580" s="38"/>
      <c r="Q580" s="38"/>
      <c r="R580" s="39"/>
      <c r="S580" s="39"/>
      <c r="T580" s="38"/>
      <c r="V580" s="38"/>
      <c r="W580" s="39"/>
      <c r="X580" s="38"/>
    </row>
    <row r="581" spans="2:24" x14ac:dyDescent="0.3">
      <c r="B581" s="38"/>
      <c r="C581" s="40"/>
      <c r="D581" s="19"/>
      <c r="E581" s="39"/>
      <c r="F581" s="12"/>
      <c r="G581" s="43"/>
      <c r="H581"/>
      <c r="I581"/>
      <c r="K581" s="38"/>
      <c r="L581" s="39"/>
      <c r="M581" s="38"/>
      <c r="N581" s="39"/>
      <c r="O581" s="38"/>
      <c r="Q581" s="38"/>
      <c r="R581" s="39"/>
      <c r="S581" s="39"/>
      <c r="T581" s="38"/>
      <c r="V581" s="38"/>
      <c r="W581" s="39"/>
      <c r="X581" s="38"/>
    </row>
    <row r="582" spans="2:24" x14ac:dyDescent="0.3">
      <c r="B582" s="38"/>
      <c r="C582" s="40"/>
      <c r="D582" s="19"/>
      <c r="E582" s="39"/>
      <c r="F582" s="12"/>
      <c r="G582" s="43"/>
      <c r="H582"/>
      <c r="I582"/>
      <c r="K582" s="38"/>
      <c r="L582" s="39"/>
      <c r="M582" s="38"/>
      <c r="N582" s="39"/>
      <c r="O582" s="38"/>
      <c r="S582" s="39"/>
      <c r="T582" s="38"/>
      <c r="V582" s="38"/>
      <c r="W582" s="39"/>
      <c r="X582" s="38"/>
    </row>
    <row r="583" spans="2:24" x14ac:dyDescent="0.3">
      <c r="B583" s="38"/>
      <c r="C583" s="40"/>
      <c r="D583" s="19"/>
      <c r="E583" s="39"/>
      <c r="F583" s="12"/>
      <c r="G583" s="43"/>
      <c r="H583"/>
      <c r="I583"/>
      <c r="K583" s="38"/>
      <c r="L583" s="39"/>
      <c r="M583" s="38"/>
      <c r="N583" s="39"/>
      <c r="O583" s="38"/>
      <c r="S583" s="39"/>
      <c r="T583" s="38"/>
      <c r="V583" s="38"/>
      <c r="W583" s="39"/>
      <c r="X583" s="38"/>
    </row>
    <row r="584" spans="2:24" x14ac:dyDescent="0.3">
      <c r="B584" s="38"/>
      <c r="C584" s="40"/>
      <c r="D584" s="19"/>
      <c r="E584" s="39"/>
      <c r="F584" s="12"/>
      <c r="G584" s="43"/>
      <c r="H584"/>
      <c r="I584"/>
      <c r="K584" s="38"/>
      <c r="L584" s="39"/>
      <c r="M584" s="38"/>
      <c r="N584" s="39"/>
      <c r="O584" s="38"/>
      <c r="Q584" s="38"/>
      <c r="R584" s="39"/>
      <c r="S584" s="39"/>
      <c r="T584" s="38"/>
      <c r="V584" s="38"/>
      <c r="W584" s="39"/>
      <c r="X584" s="38"/>
    </row>
    <row r="585" spans="2:24" x14ac:dyDescent="0.3">
      <c r="B585" s="38"/>
      <c r="C585" s="40"/>
      <c r="D585" s="19"/>
      <c r="E585" s="39"/>
      <c r="F585" s="12"/>
      <c r="G585" s="43"/>
      <c r="H585"/>
      <c r="I585"/>
      <c r="K585" s="38"/>
      <c r="L585" s="39"/>
      <c r="M585" s="38"/>
      <c r="N585" s="39"/>
      <c r="O585" s="38"/>
      <c r="Q585" s="38"/>
      <c r="R585" s="39"/>
      <c r="S585" s="39"/>
      <c r="T585" s="38"/>
      <c r="V585" s="38"/>
      <c r="W585" s="39"/>
      <c r="X585" s="38"/>
    </row>
    <row r="586" spans="2:24" x14ac:dyDescent="0.3">
      <c r="B586" s="38"/>
      <c r="C586" s="40"/>
      <c r="D586" s="19"/>
      <c r="E586" s="39"/>
      <c r="F586" s="12"/>
      <c r="G586" s="43"/>
      <c r="H586"/>
      <c r="I586"/>
      <c r="K586" s="38"/>
      <c r="L586" s="39"/>
      <c r="M586" s="38"/>
      <c r="N586" s="39"/>
      <c r="O586" s="38"/>
      <c r="Q586" s="38"/>
      <c r="R586" s="39"/>
      <c r="S586" s="39"/>
      <c r="T586" s="38"/>
      <c r="V586" s="38"/>
      <c r="W586" s="39"/>
      <c r="X586" s="38"/>
    </row>
    <row r="587" spans="2:24" x14ac:dyDescent="0.3">
      <c r="B587" s="38"/>
      <c r="C587" s="40"/>
      <c r="D587" s="19"/>
      <c r="E587" s="39"/>
      <c r="F587" s="12"/>
      <c r="G587" s="43"/>
      <c r="H587"/>
      <c r="I587"/>
      <c r="K587" s="38"/>
      <c r="L587" s="39"/>
      <c r="M587" s="38"/>
      <c r="N587" s="39"/>
      <c r="O587" s="38"/>
      <c r="Q587" s="38"/>
      <c r="R587" s="39"/>
      <c r="S587" s="39"/>
      <c r="T587" s="38"/>
      <c r="V587" s="38"/>
      <c r="W587" s="39"/>
      <c r="X587" s="38"/>
    </row>
    <row r="588" spans="2:24" x14ac:dyDescent="0.3">
      <c r="B588" s="38"/>
      <c r="C588" s="40"/>
      <c r="D588" s="19"/>
      <c r="E588" s="39"/>
      <c r="F588" s="12"/>
      <c r="G588" s="43"/>
      <c r="H588"/>
      <c r="I588"/>
      <c r="K588" s="38"/>
      <c r="L588" s="39"/>
      <c r="M588" s="38"/>
      <c r="N588" s="39"/>
      <c r="O588" s="38"/>
      <c r="Q588" s="38"/>
      <c r="R588" s="39"/>
      <c r="S588" s="39"/>
      <c r="T588" s="38"/>
      <c r="V588" s="38"/>
      <c r="W588" s="39"/>
      <c r="X588" s="38"/>
    </row>
    <row r="589" spans="2:24" x14ac:dyDescent="0.3">
      <c r="B589" s="38"/>
      <c r="C589" s="40"/>
      <c r="D589" s="19"/>
      <c r="E589" s="39"/>
      <c r="F589" s="12"/>
      <c r="G589" s="43"/>
      <c r="H589"/>
      <c r="I589"/>
      <c r="K589" s="38"/>
      <c r="L589" s="39"/>
      <c r="M589" s="38"/>
      <c r="N589" s="39"/>
      <c r="O589" s="38"/>
      <c r="Q589" s="38"/>
      <c r="R589" s="39"/>
      <c r="S589" s="39"/>
      <c r="T589" s="38"/>
      <c r="V589" s="38"/>
      <c r="W589" s="39"/>
      <c r="X589" s="38"/>
    </row>
    <row r="590" spans="2:24" x14ac:dyDescent="0.3">
      <c r="B590" s="38"/>
      <c r="C590" s="40"/>
      <c r="D590" s="19"/>
      <c r="E590" s="39"/>
      <c r="F590" s="12"/>
      <c r="G590" s="43"/>
      <c r="H590"/>
      <c r="I590"/>
      <c r="K590" s="38"/>
      <c r="L590" s="39"/>
      <c r="M590" s="38"/>
      <c r="N590" s="39"/>
      <c r="O590" s="38"/>
      <c r="Q590" s="38"/>
      <c r="R590" s="39"/>
      <c r="S590" s="39"/>
      <c r="T590" s="38"/>
      <c r="V590" s="38"/>
      <c r="W590" s="39"/>
      <c r="X590" s="38"/>
    </row>
    <row r="591" spans="2:24" x14ac:dyDescent="0.3">
      <c r="B591" s="38"/>
      <c r="C591" s="40"/>
      <c r="D591" s="19"/>
      <c r="E591" s="39"/>
      <c r="F591" s="12"/>
      <c r="G591" s="43"/>
      <c r="H591"/>
      <c r="I591"/>
      <c r="K591" s="38"/>
      <c r="L591" s="39"/>
      <c r="M591" s="38"/>
      <c r="N591" s="39"/>
      <c r="O591" s="38"/>
      <c r="Q591" s="38"/>
      <c r="R591" s="39"/>
      <c r="S591" s="39"/>
      <c r="T591" s="38"/>
      <c r="V591" s="38"/>
      <c r="W591" s="39"/>
      <c r="X591" s="38"/>
    </row>
    <row r="592" spans="2:24" x14ac:dyDescent="0.3">
      <c r="B592" s="38"/>
      <c r="C592" s="40"/>
      <c r="D592" s="19"/>
      <c r="E592" s="39"/>
      <c r="F592" s="12"/>
      <c r="G592" s="43"/>
      <c r="H592"/>
      <c r="I592"/>
      <c r="K592" s="38"/>
      <c r="L592" s="39"/>
      <c r="M592" s="38"/>
      <c r="N592" s="39"/>
      <c r="O592" s="38"/>
      <c r="Q592" s="38"/>
      <c r="R592" s="39"/>
      <c r="S592" s="39"/>
      <c r="T592" s="38"/>
      <c r="V592" s="38"/>
      <c r="W592" s="39"/>
      <c r="X592" s="38"/>
    </row>
    <row r="593" spans="2:24" x14ac:dyDescent="0.3">
      <c r="B593" s="38"/>
      <c r="C593" s="40"/>
      <c r="D593" s="19"/>
      <c r="E593" s="39"/>
      <c r="F593" s="12"/>
      <c r="G593" s="43"/>
      <c r="H593"/>
      <c r="I593"/>
      <c r="K593" s="38"/>
      <c r="L593" s="39"/>
      <c r="M593" s="38"/>
      <c r="N593" s="39"/>
      <c r="O593" s="38"/>
      <c r="Q593" s="38"/>
      <c r="R593" s="39"/>
      <c r="S593" s="39"/>
      <c r="T593" s="38"/>
      <c r="V593" s="38"/>
      <c r="W593" s="39"/>
      <c r="X593" s="38"/>
    </row>
    <row r="594" spans="2:24" x14ac:dyDescent="0.3">
      <c r="B594" s="38"/>
      <c r="C594" s="40"/>
      <c r="D594" s="19"/>
      <c r="E594" s="39"/>
      <c r="F594" s="12"/>
      <c r="G594" s="43"/>
      <c r="H594"/>
      <c r="I594"/>
      <c r="K594" s="38"/>
      <c r="L594" s="39"/>
      <c r="M594" s="38"/>
      <c r="N594" s="39"/>
      <c r="O594" s="38"/>
      <c r="Q594" s="38"/>
      <c r="R594" s="39"/>
      <c r="S594" s="39"/>
      <c r="T594" s="38"/>
      <c r="V594" s="38"/>
      <c r="W594" s="39"/>
      <c r="X594" s="38"/>
    </row>
    <row r="595" spans="2:24" x14ac:dyDescent="0.3">
      <c r="B595" s="38"/>
      <c r="C595" s="40"/>
      <c r="D595" s="19"/>
      <c r="E595" s="39"/>
      <c r="F595" s="12"/>
      <c r="G595" s="43"/>
      <c r="H595"/>
      <c r="I595"/>
      <c r="K595" s="38"/>
      <c r="L595" s="39"/>
      <c r="M595" s="38"/>
      <c r="N595" s="39"/>
      <c r="O595" s="38"/>
      <c r="Q595" s="38"/>
      <c r="R595" s="39"/>
      <c r="S595" s="39"/>
      <c r="T595" s="38"/>
      <c r="V595" s="38"/>
      <c r="W595" s="39"/>
      <c r="X595" s="38"/>
    </row>
    <row r="596" spans="2:24" x14ac:dyDescent="0.3">
      <c r="B596" s="38"/>
      <c r="C596" s="40"/>
      <c r="D596" s="19"/>
      <c r="E596" s="39"/>
      <c r="F596" s="12"/>
      <c r="G596" s="43"/>
      <c r="H596"/>
      <c r="I596"/>
      <c r="K596" s="38"/>
      <c r="L596" s="39"/>
      <c r="M596" s="38"/>
      <c r="N596" s="39"/>
      <c r="O596" s="38"/>
      <c r="Q596" s="38"/>
      <c r="R596" s="39"/>
      <c r="S596" s="39"/>
      <c r="T596" s="38"/>
      <c r="V596" s="38"/>
      <c r="W596" s="39"/>
      <c r="X596" s="38"/>
    </row>
    <row r="597" spans="2:24" x14ac:dyDescent="0.3">
      <c r="B597" s="38"/>
      <c r="C597" s="40"/>
      <c r="D597" s="19"/>
      <c r="E597" s="39"/>
      <c r="F597" s="12"/>
      <c r="G597" s="43"/>
      <c r="H597"/>
      <c r="I597"/>
      <c r="K597" s="38"/>
      <c r="L597" s="39"/>
      <c r="M597" s="38"/>
      <c r="N597" s="39"/>
      <c r="O597" s="38"/>
      <c r="Q597" s="38"/>
      <c r="R597" s="39"/>
      <c r="S597" s="39"/>
      <c r="T597" s="38"/>
      <c r="V597" s="38"/>
      <c r="W597" s="39"/>
      <c r="X597" s="38"/>
    </row>
    <row r="598" spans="2:24" x14ac:dyDescent="0.3">
      <c r="B598" s="38"/>
      <c r="C598" s="40"/>
      <c r="D598" s="19"/>
      <c r="E598" s="39"/>
      <c r="F598" s="12"/>
      <c r="G598" s="43"/>
      <c r="H598"/>
      <c r="I598"/>
      <c r="K598" s="38"/>
      <c r="L598" s="39"/>
      <c r="M598" s="38"/>
      <c r="N598" s="39"/>
      <c r="O598" s="38"/>
      <c r="Q598" s="38"/>
      <c r="R598" s="39"/>
      <c r="S598" s="39"/>
      <c r="T598" s="38"/>
      <c r="V598" s="38"/>
      <c r="W598" s="39"/>
      <c r="X598" s="38"/>
    </row>
    <row r="599" spans="2:24" x14ac:dyDescent="0.3">
      <c r="B599" s="38"/>
      <c r="C599" s="40"/>
      <c r="D599" s="19"/>
      <c r="E599" s="39"/>
      <c r="F599" s="12"/>
      <c r="G599" s="43"/>
      <c r="H599"/>
      <c r="I599"/>
      <c r="K599" s="38"/>
      <c r="L599" s="39"/>
      <c r="M599" s="38"/>
      <c r="N599" s="39"/>
      <c r="O599" s="38"/>
      <c r="Q599" s="38"/>
      <c r="R599" s="39"/>
      <c r="S599" s="39"/>
      <c r="T599" s="38"/>
      <c r="V599" s="38"/>
      <c r="W599" s="39"/>
      <c r="X599" s="38"/>
    </row>
    <row r="600" spans="2:24" x14ac:dyDescent="0.3">
      <c r="B600" s="38"/>
      <c r="C600" s="40"/>
      <c r="D600" s="19"/>
      <c r="E600" s="39"/>
      <c r="F600" s="12"/>
      <c r="G600" s="43"/>
      <c r="H600"/>
      <c r="I600"/>
      <c r="K600" s="38"/>
      <c r="L600" s="39"/>
      <c r="M600" s="38"/>
      <c r="N600" s="39"/>
      <c r="O600" s="38"/>
      <c r="Q600" s="38"/>
      <c r="R600" s="39"/>
      <c r="S600" s="39"/>
      <c r="T600" s="38"/>
      <c r="V600" s="38"/>
      <c r="W600" s="39"/>
      <c r="X600" s="38"/>
    </row>
    <row r="601" spans="2:24" x14ac:dyDescent="0.3">
      <c r="B601" s="38"/>
      <c r="C601" s="40"/>
      <c r="D601" s="19"/>
      <c r="E601" s="39"/>
      <c r="F601" s="12"/>
      <c r="G601" s="43"/>
      <c r="H601"/>
      <c r="I601"/>
      <c r="K601" s="38"/>
      <c r="L601" s="39"/>
      <c r="M601" s="38"/>
      <c r="N601" s="39"/>
      <c r="O601" s="38"/>
      <c r="Q601" s="38"/>
      <c r="R601" s="39"/>
      <c r="S601" s="39"/>
      <c r="T601" s="38"/>
      <c r="V601" s="38"/>
      <c r="W601" s="39"/>
      <c r="X601" s="38"/>
    </row>
    <row r="602" spans="2:24" x14ac:dyDescent="0.3">
      <c r="B602" s="38"/>
      <c r="C602" s="40"/>
      <c r="D602" s="19"/>
      <c r="E602" s="39"/>
      <c r="F602" s="12"/>
      <c r="G602" s="43"/>
      <c r="H602"/>
      <c r="I602"/>
      <c r="K602" s="38"/>
      <c r="L602" s="39"/>
      <c r="M602" s="38"/>
      <c r="N602" s="39"/>
      <c r="O602" s="38"/>
      <c r="Q602" s="38"/>
      <c r="R602" s="39"/>
      <c r="S602" s="39"/>
      <c r="T602" s="38"/>
      <c r="V602" s="38"/>
      <c r="W602" s="39"/>
      <c r="X602" s="38"/>
    </row>
    <row r="603" spans="2:24" x14ac:dyDescent="0.3">
      <c r="B603" s="38"/>
      <c r="C603" s="40"/>
      <c r="D603" s="19"/>
      <c r="E603" s="39"/>
      <c r="F603" s="12"/>
      <c r="G603" s="43"/>
      <c r="H603"/>
      <c r="I603"/>
      <c r="K603" s="38"/>
      <c r="L603" s="39"/>
      <c r="M603" s="38"/>
      <c r="N603" s="39"/>
      <c r="O603" s="38"/>
      <c r="Q603" s="38"/>
      <c r="R603" s="39"/>
      <c r="S603" s="39"/>
      <c r="T603" s="38"/>
      <c r="V603" s="38"/>
      <c r="W603" s="39"/>
      <c r="X603" s="38"/>
    </row>
    <row r="604" spans="2:24" x14ac:dyDescent="0.3">
      <c r="B604" s="38"/>
      <c r="C604" s="40"/>
      <c r="D604" s="19"/>
      <c r="E604" s="39"/>
      <c r="F604" s="12"/>
      <c r="G604" s="43"/>
      <c r="H604"/>
      <c r="I604"/>
      <c r="K604" s="38"/>
      <c r="L604" s="39"/>
      <c r="M604" s="38"/>
      <c r="N604" s="39"/>
      <c r="O604" s="38"/>
      <c r="Q604" s="38"/>
      <c r="R604" s="39"/>
      <c r="S604" s="39"/>
      <c r="T604" s="38"/>
      <c r="V604" s="38"/>
      <c r="W604" s="39"/>
      <c r="X604" s="38"/>
    </row>
    <row r="605" spans="2:24" x14ac:dyDescent="0.3">
      <c r="B605" s="38"/>
      <c r="C605" s="40"/>
      <c r="D605" s="19"/>
      <c r="E605" s="39"/>
      <c r="F605" s="12"/>
      <c r="G605" s="43"/>
      <c r="H605"/>
      <c r="I605"/>
      <c r="K605" s="38"/>
      <c r="L605" s="39"/>
      <c r="M605" s="38"/>
      <c r="N605" s="39"/>
      <c r="O605" s="38"/>
      <c r="Q605" s="38"/>
      <c r="R605" s="39"/>
      <c r="S605" s="39"/>
      <c r="T605" s="38"/>
      <c r="V605" s="38"/>
      <c r="W605" s="39"/>
      <c r="X605" s="38"/>
    </row>
    <row r="606" spans="2:24" x14ac:dyDescent="0.3">
      <c r="B606" s="38"/>
      <c r="C606" s="40"/>
      <c r="D606" s="19"/>
      <c r="E606" s="39"/>
      <c r="F606" s="12"/>
      <c r="G606" s="43"/>
      <c r="H606"/>
      <c r="I606"/>
      <c r="K606" s="38"/>
      <c r="L606" s="39"/>
      <c r="M606" s="38"/>
      <c r="N606" s="39"/>
      <c r="O606" s="38"/>
      <c r="Q606" s="38"/>
      <c r="R606" s="39"/>
      <c r="S606" s="39"/>
      <c r="T606" s="38"/>
      <c r="V606" s="38"/>
      <c r="W606" s="39"/>
      <c r="X606" s="38"/>
    </row>
    <row r="607" spans="2:24" x14ac:dyDescent="0.3">
      <c r="B607" s="38"/>
      <c r="C607" s="40"/>
      <c r="D607" s="19"/>
      <c r="E607" s="39"/>
      <c r="F607" s="12"/>
      <c r="G607" s="43"/>
      <c r="H607"/>
      <c r="I607"/>
      <c r="K607" s="38"/>
      <c r="L607" s="39"/>
      <c r="M607" s="38"/>
      <c r="N607" s="39"/>
      <c r="O607" s="38"/>
      <c r="Q607" s="38"/>
      <c r="R607" s="39"/>
      <c r="S607" s="39"/>
      <c r="T607" s="38"/>
      <c r="V607" s="38"/>
      <c r="W607" s="39"/>
      <c r="X607" s="38"/>
    </row>
    <row r="608" spans="2:24" x14ac:dyDescent="0.3">
      <c r="B608" s="38"/>
      <c r="C608" s="40"/>
      <c r="D608" s="19"/>
      <c r="E608" s="39"/>
      <c r="F608" s="12"/>
      <c r="G608" s="43"/>
      <c r="H608"/>
      <c r="I608"/>
      <c r="K608" s="38"/>
      <c r="L608" s="39"/>
      <c r="M608" s="38"/>
      <c r="N608" s="39"/>
      <c r="O608" s="38"/>
      <c r="Q608" s="38"/>
      <c r="R608" s="39"/>
      <c r="S608" s="39"/>
      <c r="T608" s="38"/>
      <c r="V608" s="38"/>
      <c r="W608" s="39"/>
      <c r="X608" s="38"/>
    </row>
    <row r="609" spans="2:24" x14ac:dyDescent="0.3">
      <c r="B609" s="38"/>
      <c r="C609" s="40"/>
      <c r="D609" s="19"/>
      <c r="E609" s="39"/>
      <c r="F609" s="12"/>
      <c r="G609" s="43"/>
      <c r="H609"/>
      <c r="I609"/>
      <c r="K609" s="38"/>
      <c r="L609" s="39"/>
      <c r="M609" s="38"/>
      <c r="N609" s="39"/>
      <c r="O609" s="38"/>
      <c r="Q609" s="38"/>
      <c r="R609" s="39"/>
      <c r="S609" s="39"/>
      <c r="T609" s="38"/>
      <c r="V609" s="38"/>
      <c r="W609" s="39"/>
      <c r="X609" s="38"/>
    </row>
    <row r="610" spans="2:24" x14ac:dyDescent="0.3">
      <c r="B610" s="38"/>
      <c r="C610" s="40"/>
      <c r="D610" s="19"/>
      <c r="E610" s="39"/>
      <c r="F610" s="12"/>
      <c r="G610" s="43"/>
      <c r="H610"/>
      <c r="I610"/>
      <c r="K610" s="38"/>
      <c r="L610" s="39"/>
      <c r="M610" s="38"/>
      <c r="N610" s="39"/>
      <c r="O610" s="38"/>
      <c r="Q610" s="38"/>
      <c r="R610" s="39"/>
      <c r="S610" s="39"/>
      <c r="T610" s="38"/>
      <c r="V610" s="38"/>
      <c r="W610" s="39"/>
      <c r="X610" s="38"/>
    </row>
    <row r="611" spans="2:24" x14ac:dyDescent="0.3">
      <c r="B611" s="38"/>
      <c r="C611" s="40"/>
      <c r="D611" s="19"/>
      <c r="E611" s="39"/>
      <c r="F611" s="12"/>
      <c r="G611" s="43"/>
      <c r="H611"/>
      <c r="I611"/>
      <c r="K611" s="38"/>
      <c r="L611" s="39"/>
      <c r="M611" s="38"/>
      <c r="N611" s="39"/>
      <c r="O611" s="38"/>
      <c r="Q611" s="38"/>
      <c r="R611" s="39"/>
      <c r="S611" s="39"/>
      <c r="T611" s="38"/>
      <c r="V611" s="38"/>
      <c r="W611" s="39"/>
      <c r="X611" s="38"/>
    </row>
    <row r="612" spans="2:24" x14ac:dyDescent="0.3">
      <c r="B612" s="38"/>
      <c r="C612" s="40"/>
      <c r="D612" s="19"/>
      <c r="E612" s="39"/>
      <c r="F612" s="12"/>
      <c r="G612" s="43"/>
      <c r="H612"/>
      <c r="I612"/>
      <c r="K612" s="38"/>
      <c r="L612" s="39"/>
      <c r="M612" s="38"/>
      <c r="N612" s="39"/>
      <c r="O612" s="38"/>
      <c r="Q612" s="38"/>
      <c r="R612" s="39"/>
      <c r="S612" s="39"/>
      <c r="T612" s="38"/>
      <c r="V612" s="38"/>
      <c r="W612" s="39"/>
      <c r="X612" s="38"/>
    </row>
    <row r="613" spans="2:24" x14ac:dyDescent="0.3">
      <c r="B613" s="38"/>
      <c r="C613" s="40"/>
      <c r="D613" s="19"/>
      <c r="E613" s="39"/>
      <c r="F613" s="12"/>
      <c r="G613" s="43"/>
      <c r="H613"/>
      <c r="I613"/>
      <c r="K613" s="38"/>
      <c r="L613" s="39"/>
      <c r="M613" s="38"/>
      <c r="N613" s="39"/>
      <c r="O613" s="38"/>
      <c r="Q613" s="38"/>
      <c r="R613" s="39"/>
      <c r="S613" s="39"/>
      <c r="T613" s="38"/>
      <c r="V613" s="38"/>
      <c r="W613" s="39"/>
      <c r="X613" s="38"/>
    </row>
    <row r="614" spans="2:24" x14ac:dyDescent="0.3">
      <c r="B614" s="38"/>
      <c r="C614" s="40"/>
      <c r="D614" s="19"/>
      <c r="E614" s="39"/>
      <c r="F614" s="12"/>
      <c r="G614" s="43"/>
      <c r="H614"/>
      <c r="I614"/>
      <c r="K614" s="38"/>
      <c r="L614" s="39"/>
      <c r="M614" s="38"/>
      <c r="N614" s="39"/>
      <c r="O614" s="38"/>
      <c r="Q614" s="38"/>
      <c r="R614" s="39"/>
      <c r="S614" s="39"/>
      <c r="T614" s="38"/>
      <c r="V614" s="38"/>
      <c r="W614" s="39"/>
      <c r="X614" s="38"/>
    </row>
    <row r="615" spans="2:24" x14ac:dyDescent="0.3">
      <c r="B615" s="38"/>
      <c r="C615" s="40"/>
      <c r="D615" s="19"/>
      <c r="E615" s="39"/>
      <c r="F615" s="12"/>
      <c r="G615" s="43"/>
      <c r="H615"/>
      <c r="I615"/>
      <c r="K615" s="38"/>
      <c r="L615" s="39"/>
      <c r="M615" s="38"/>
      <c r="N615" s="39"/>
      <c r="O615" s="38"/>
      <c r="Q615" s="38"/>
      <c r="R615" s="39"/>
      <c r="S615" s="39"/>
      <c r="T615" s="38"/>
      <c r="V615" s="38"/>
      <c r="W615" s="39"/>
      <c r="X615" s="38"/>
    </row>
    <row r="616" spans="2:24" x14ac:dyDescent="0.3">
      <c r="B616" s="38"/>
      <c r="C616" s="40"/>
      <c r="D616" s="19"/>
      <c r="E616" s="39"/>
      <c r="F616" s="12"/>
      <c r="G616" s="43"/>
      <c r="H616"/>
      <c r="I616"/>
      <c r="K616" s="38"/>
      <c r="L616" s="39"/>
      <c r="M616" s="38"/>
      <c r="N616" s="39"/>
      <c r="O616" s="38"/>
      <c r="Q616" s="38"/>
      <c r="R616" s="39"/>
      <c r="S616" s="39"/>
      <c r="T616" s="38"/>
      <c r="V616" s="38"/>
      <c r="W616" s="39"/>
      <c r="X616" s="38"/>
    </row>
    <row r="617" spans="2:24" x14ac:dyDescent="0.3">
      <c r="B617" s="38"/>
      <c r="C617" s="40"/>
      <c r="D617" s="19"/>
      <c r="E617" s="39"/>
      <c r="F617" s="12"/>
      <c r="G617" s="43"/>
      <c r="H617"/>
      <c r="I617"/>
      <c r="K617" s="38"/>
      <c r="L617" s="39"/>
      <c r="M617" s="38"/>
      <c r="N617" s="39"/>
      <c r="O617" s="38"/>
      <c r="Q617" s="38"/>
      <c r="R617" s="39"/>
      <c r="S617" s="39"/>
      <c r="T617" s="38"/>
      <c r="V617" s="38"/>
      <c r="W617" s="39"/>
      <c r="X617" s="38"/>
    </row>
    <row r="618" spans="2:24" x14ac:dyDescent="0.3">
      <c r="B618" s="38"/>
      <c r="C618" s="40"/>
      <c r="D618" s="19"/>
      <c r="E618" s="39"/>
      <c r="F618" s="12"/>
      <c r="G618" s="43"/>
      <c r="H618"/>
      <c r="I618"/>
      <c r="K618" s="38"/>
      <c r="L618" s="39"/>
      <c r="M618" s="38"/>
      <c r="N618" s="39"/>
      <c r="O618" s="38"/>
      <c r="Q618" s="38"/>
      <c r="R618" s="39"/>
      <c r="S618" s="39"/>
      <c r="T618" s="38"/>
      <c r="V618" s="38"/>
      <c r="W618" s="39"/>
      <c r="X618" s="38"/>
    </row>
    <row r="619" spans="2:24" x14ac:dyDescent="0.3">
      <c r="B619" s="38"/>
      <c r="C619" s="40"/>
      <c r="D619" s="19"/>
      <c r="E619" s="39"/>
      <c r="F619" s="12"/>
      <c r="G619" s="43"/>
      <c r="H619"/>
      <c r="I619"/>
      <c r="K619" s="38"/>
      <c r="L619" s="39"/>
      <c r="M619" s="38"/>
      <c r="N619" s="39"/>
      <c r="O619" s="38"/>
      <c r="Q619" s="38"/>
      <c r="R619" s="39"/>
      <c r="S619" s="39"/>
      <c r="T619" s="38"/>
      <c r="V619" s="38"/>
      <c r="W619" s="39"/>
      <c r="X619" s="38"/>
    </row>
    <row r="620" spans="2:24" x14ac:dyDescent="0.3">
      <c r="B620" s="38"/>
      <c r="C620" s="40"/>
      <c r="D620" s="19"/>
      <c r="E620" s="39"/>
      <c r="F620" s="12"/>
      <c r="G620" s="43"/>
      <c r="H620"/>
      <c r="I620"/>
      <c r="K620" s="38"/>
      <c r="L620" s="39"/>
      <c r="M620" s="38"/>
      <c r="N620" s="39"/>
      <c r="O620" s="38"/>
      <c r="Q620" s="38"/>
      <c r="R620" s="39"/>
      <c r="S620" s="39"/>
      <c r="T620" s="38"/>
      <c r="V620" s="38"/>
      <c r="W620" s="39"/>
      <c r="X620" s="38"/>
    </row>
    <row r="621" spans="2:24" x14ac:dyDescent="0.3">
      <c r="B621" s="38"/>
      <c r="C621" s="40"/>
      <c r="D621" s="19"/>
      <c r="E621" s="39"/>
      <c r="F621" s="12"/>
      <c r="G621" s="43"/>
      <c r="H621"/>
      <c r="I621"/>
      <c r="K621" s="38"/>
      <c r="L621" s="39"/>
      <c r="M621" s="38"/>
      <c r="N621" s="39"/>
      <c r="O621" s="38"/>
      <c r="Q621" s="38"/>
      <c r="R621" s="39"/>
      <c r="S621" s="39"/>
      <c r="T621" s="38"/>
      <c r="V621" s="38"/>
      <c r="W621" s="39"/>
      <c r="X621" s="38"/>
    </row>
    <row r="622" spans="2:24" x14ac:dyDescent="0.3">
      <c r="B622" s="38"/>
      <c r="C622" s="40"/>
      <c r="D622" s="19"/>
      <c r="E622" s="39"/>
      <c r="F622" s="12"/>
      <c r="G622" s="43"/>
      <c r="H622"/>
      <c r="I622"/>
      <c r="K622" s="38"/>
      <c r="L622" s="39"/>
      <c r="M622" s="38"/>
      <c r="N622" s="39"/>
      <c r="O622" s="38"/>
      <c r="Q622" s="38"/>
      <c r="R622" s="39"/>
      <c r="S622" s="39"/>
      <c r="T622" s="38"/>
      <c r="V622" s="38"/>
      <c r="W622" s="39"/>
      <c r="X622" s="38"/>
    </row>
    <row r="623" spans="2:24" x14ac:dyDescent="0.3">
      <c r="B623" s="38"/>
      <c r="C623" s="40"/>
      <c r="D623" s="19"/>
      <c r="E623" s="39"/>
      <c r="F623" s="12"/>
      <c r="G623" s="43"/>
      <c r="H623"/>
      <c r="I623"/>
      <c r="K623" s="38"/>
      <c r="L623" s="39"/>
      <c r="M623" s="38"/>
      <c r="N623" s="39"/>
      <c r="O623" s="38"/>
      <c r="Q623" s="38"/>
      <c r="R623" s="39"/>
      <c r="S623" s="39"/>
      <c r="T623" s="38"/>
      <c r="V623" s="38"/>
      <c r="W623" s="39"/>
      <c r="X623" s="38"/>
    </row>
    <row r="624" spans="2:24" x14ac:dyDescent="0.3">
      <c r="B624" s="38"/>
      <c r="C624" s="40"/>
      <c r="D624" s="19"/>
      <c r="E624" s="39"/>
      <c r="F624" s="12"/>
      <c r="G624" s="43"/>
      <c r="H624"/>
      <c r="I624"/>
      <c r="K624" s="38"/>
      <c r="L624" s="39"/>
      <c r="M624" s="38"/>
      <c r="N624" s="39"/>
      <c r="O624" s="38"/>
      <c r="Q624" s="38"/>
      <c r="R624" s="39"/>
      <c r="S624" s="39"/>
      <c r="T624" s="38"/>
      <c r="V624" s="38"/>
      <c r="W624" s="39"/>
      <c r="X624" s="38"/>
    </row>
    <row r="625" spans="2:24" x14ac:dyDescent="0.3">
      <c r="B625" s="38"/>
      <c r="C625" s="40"/>
      <c r="D625" s="19"/>
      <c r="E625" s="39"/>
      <c r="F625" s="12"/>
      <c r="G625" s="43"/>
      <c r="H625"/>
      <c r="I625"/>
      <c r="K625" s="38"/>
      <c r="L625" s="39"/>
      <c r="M625" s="38"/>
      <c r="N625" s="39"/>
      <c r="O625" s="38"/>
      <c r="Q625" s="38"/>
      <c r="R625" s="39"/>
      <c r="S625" s="39"/>
      <c r="T625" s="38"/>
      <c r="V625" s="38"/>
      <c r="W625" s="39"/>
      <c r="X625" s="38"/>
    </row>
    <row r="626" spans="2:24" x14ac:dyDescent="0.3">
      <c r="B626" s="38"/>
      <c r="C626" s="40"/>
      <c r="D626" s="19"/>
      <c r="E626" s="39"/>
      <c r="F626" s="12"/>
      <c r="G626" s="43"/>
      <c r="H626"/>
      <c r="I626"/>
      <c r="K626" s="38"/>
      <c r="L626" s="39"/>
      <c r="M626" s="38"/>
      <c r="N626" s="39"/>
      <c r="O626" s="38"/>
      <c r="Q626" s="38"/>
      <c r="R626" s="39"/>
      <c r="S626" s="39"/>
      <c r="T626" s="38"/>
      <c r="V626" s="38"/>
      <c r="W626" s="39"/>
      <c r="X626" s="38"/>
    </row>
    <row r="627" spans="2:24" x14ac:dyDescent="0.3">
      <c r="B627" s="38"/>
      <c r="C627" s="40"/>
      <c r="D627" s="19"/>
      <c r="E627" s="39"/>
      <c r="F627" s="12"/>
      <c r="G627" s="43"/>
      <c r="H627"/>
      <c r="I627"/>
      <c r="K627" s="38"/>
      <c r="L627" s="39"/>
      <c r="M627" s="38"/>
      <c r="N627" s="39"/>
      <c r="O627" s="38"/>
      <c r="Q627" s="38"/>
      <c r="R627" s="39"/>
      <c r="S627" s="39"/>
      <c r="T627" s="38"/>
      <c r="V627" s="38"/>
      <c r="W627" s="39"/>
      <c r="X627" s="38"/>
    </row>
    <row r="628" spans="2:24" x14ac:dyDescent="0.3">
      <c r="B628" s="38"/>
      <c r="C628" s="40"/>
      <c r="D628" s="19"/>
      <c r="E628" s="39"/>
      <c r="F628" s="12"/>
      <c r="G628" s="43"/>
      <c r="H628"/>
      <c r="I628"/>
      <c r="K628" s="38"/>
      <c r="L628" s="39"/>
      <c r="M628" s="38"/>
      <c r="N628" s="39"/>
      <c r="O628" s="38"/>
      <c r="Q628" s="38"/>
      <c r="R628" s="39"/>
      <c r="S628" s="39"/>
      <c r="T628" s="38"/>
      <c r="V628" s="38"/>
      <c r="W628" s="39"/>
      <c r="X628" s="38"/>
    </row>
    <row r="629" spans="2:24" x14ac:dyDescent="0.3">
      <c r="B629" s="38"/>
      <c r="C629" s="40"/>
      <c r="D629" s="19"/>
      <c r="E629" s="39"/>
      <c r="F629" s="12"/>
      <c r="G629" s="43"/>
      <c r="H629"/>
      <c r="I629"/>
      <c r="K629" s="38"/>
      <c r="L629" s="39"/>
      <c r="M629" s="38"/>
      <c r="N629" s="39"/>
      <c r="O629" s="38"/>
      <c r="Q629" s="38"/>
      <c r="R629" s="39"/>
      <c r="S629" s="39"/>
      <c r="T629" s="38"/>
      <c r="V629" s="38"/>
      <c r="W629" s="39"/>
      <c r="X629" s="38"/>
    </row>
    <row r="630" spans="2:24" x14ac:dyDescent="0.3">
      <c r="B630" s="38"/>
      <c r="C630" s="40"/>
      <c r="D630" s="19"/>
      <c r="E630" s="39"/>
      <c r="F630" s="12"/>
      <c r="G630" s="43"/>
      <c r="H630"/>
      <c r="I630"/>
      <c r="K630" s="38"/>
      <c r="L630" s="39"/>
      <c r="M630" s="38"/>
      <c r="N630" s="39"/>
      <c r="O630" s="38"/>
      <c r="Q630" s="38"/>
      <c r="R630" s="39"/>
      <c r="S630" s="39"/>
      <c r="T630" s="38"/>
      <c r="V630" s="38"/>
      <c r="W630" s="39"/>
      <c r="X630" s="38"/>
    </row>
    <row r="631" spans="2:24" x14ac:dyDescent="0.3">
      <c r="B631" s="38"/>
      <c r="C631" s="40"/>
      <c r="D631" s="19"/>
      <c r="E631" s="39"/>
      <c r="F631" s="12"/>
      <c r="G631" s="43"/>
      <c r="H631"/>
      <c r="I631"/>
      <c r="K631" s="38"/>
      <c r="L631" s="39"/>
      <c r="M631" s="38"/>
      <c r="N631" s="39"/>
      <c r="O631" s="38"/>
      <c r="Q631" s="38"/>
      <c r="R631" s="39"/>
      <c r="S631" s="39"/>
      <c r="T631" s="38"/>
      <c r="V631" s="38"/>
      <c r="W631" s="39"/>
      <c r="X631" s="38"/>
    </row>
    <row r="632" spans="2:24" x14ac:dyDescent="0.3">
      <c r="B632" s="38"/>
      <c r="C632" s="40"/>
      <c r="D632" s="19"/>
      <c r="E632" s="39"/>
      <c r="F632" s="12"/>
      <c r="G632" s="43"/>
      <c r="H632"/>
      <c r="I632"/>
      <c r="K632" s="38"/>
      <c r="L632" s="39"/>
      <c r="M632" s="38"/>
      <c r="N632" s="39"/>
      <c r="O632" s="38"/>
      <c r="Q632" s="38"/>
      <c r="R632" s="39"/>
      <c r="S632" s="39"/>
      <c r="T632" s="38"/>
      <c r="V632" s="38"/>
      <c r="W632" s="39"/>
      <c r="X632" s="38"/>
    </row>
    <row r="633" spans="2:24" x14ac:dyDescent="0.3">
      <c r="B633" s="38"/>
      <c r="C633" s="40"/>
      <c r="D633" s="19"/>
      <c r="E633" s="39"/>
      <c r="F633" s="12"/>
      <c r="G633" s="43"/>
      <c r="H633"/>
      <c r="I633"/>
      <c r="K633" s="38"/>
      <c r="L633" s="39"/>
      <c r="M633" s="38"/>
      <c r="N633" s="39"/>
      <c r="O633" s="38"/>
      <c r="Q633" s="38"/>
      <c r="R633" s="39"/>
      <c r="S633" s="39"/>
      <c r="T633" s="38"/>
      <c r="V633" s="38"/>
      <c r="W633" s="39"/>
      <c r="X633" s="38"/>
    </row>
    <row r="634" spans="2:24" x14ac:dyDescent="0.3">
      <c r="B634" s="38"/>
      <c r="C634" s="40"/>
      <c r="D634" s="19"/>
      <c r="E634" s="39"/>
      <c r="F634" s="12"/>
      <c r="G634" s="43"/>
      <c r="H634"/>
      <c r="I634"/>
      <c r="K634" s="38"/>
      <c r="L634" s="39"/>
      <c r="M634" s="38"/>
      <c r="N634" s="39"/>
      <c r="O634" s="38"/>
      <c r="Q634" s="38"/>
      <c r="R634" s="39"/>
      <c r="S634" s="39"/>
      <c r="T634" s="38"/>
      <c r="V634" s="38"/>
      <c r="W634" s="39"/>
      <c r="X634" s="38"/>
    </row>
    <row r="635" spans="2:24" x14ac:dyDescent="0.3">
      <c r="B635" s="38"/>
      <c r="C635" s="40"/>
      <c r="D635" s="19"/>
      <c r="E635" s="39"/>
      <c r="F635" s="12"/>
      <c r="G635" s="43"/>
      <c r="H635"/>
      <c r="I635"/>
      <c r="K635" s="38"/>
      <c r="L635" s="39"/>
      <c r="M635" s="38"/>
      <c r="N635" s="39"/>
      <c r="O635" s="38"/>
      <c r="Q635" s="38"/>
      <c r="R635" s="39"/>
      <c r="S635" s="39"/>
      <c r="T635" s="38"/>
      <c r="V635" s="38"/>
      <c r="W635" s="39"/>
      <c r="X635" s="38"/>
    </row>
    <row r="636" spans="2:24" x14ac:dyDescent="0.3">
      <c r="B636" s="38"/>
      <c r="C636" s="40"/>
      <c r="D636" s="19"/>
      <c r="E636" s="39"/>
      <c r="F636" s="12"/>
      <c r="G636" s="43"/>
      <c r="H636"/>
      <c r="I636"/>
      <c r="K636" s="38"/>
      <c r="L636" s="39"/>
      <c r="M636" s="38"/>
      <c r="N636" s="39"/>
      <c r="O636" s="38"/>
      <c r="Q636" s="38"/>
      <c r="R636" s="39"/>
      <c r="S636" s="39"/>
      <c r="T636" s="38"/>
      <c r="V636" s="38"/>
      <c r="W636" s="39"/>
      <c r="X636" s="38"/>
    </row>
    <row r="637" spans="2:24" x14ac:dyDescent="0.3">
      <c r="B637" s="38"/>
      <c r="C637" s="40"/>
      <c r="D637" s="19"/>
      <c r="E637" s="39"/>
      <c r="F637" s="12"/>
      <c r="G637" s="43"/>
      <c r="H637"/>
      <c r="I637"/>
      <c r="K637" s="38"/>
      <c r="L637" s="39"/>
      <c r="M637" s="38"/>
      <c r="N637" s="39"/>
      <c r="O637" s="38"/>
      <c r="Q637" s="38"/>
      <c r="R637" s="39"/>
      <c r="S637" s="39"/>
      <c r="T637" s="38"/>
      <c r="V637" s="38"/>
      <c r="W637" s="39"/>
      <c r="X637" s="38"/>
    </row>
    <row r="638" spans="2:24" x14ac:dyDescent="0.3">
      <c r="B638" s="38"/>
      <c r="C638" s="40"/>
      <c r="D638" s="19"/>
      <c r="E638" s="39"/>
      <c r="F638" s="12"/>
      <c r="G638" s="43"/>
      <c r="H638"/>
      <c r="I638"/>
      <c r="K638" s="38"/>
      <c r="L638" s="39"/>
      <c r="M638" s="38"/>
      <c r="N638" s="39"/>
      <c r="O638" s="38"/>
      <c r="Q638" s="38"/>
      <c r="R638" s="39"/>
      <c r="S638" s="39"/>
      <c r="T638" s="38"/>
      <c r="V638" s="38"/>
      <c r="W638" s="39"/>
      <c r="X638" s="38"/>
    </row>
    <row r="639" spans="2:24" x14ac:dyDescent="0.3">
      <c r="B639" s="38"/>
      <c r="C639" s="40"/>
      <c r="D639" s="19"/>
      <c r="E639" s="39"/>
      <c r="F639" s="12"/>
      <c r="G639" s="43"/>
      <c r="H639"/>
      <c r="I639"/>
      <c r="K639" s="38"/>
      <c r="L639" s="39"/>
      <c r="M639" s="38"/>
      <c r="N639" s="39"/>
      <c r="O639" s="38"/>
      <c r="Q639" s="38"/>
      <c r="R639" s="39"/>
      <c r="S639" s="39"/>
      <c r="T639" s="38"/>
      <c r="V639" s="38"/>
      <c r="W639" s="39"/>
      <c r="X639" s="38"/>
    </row>
    <row r="640" spans="2:24" x14ac:dyDescent="0.3">
      <c r="B640" s="38"/>
      <c r="C640" s="40"/>
      <c r="D640" s="19"/>
      <c r="E640" s="39"/>
      <c r="F640" s="12"/>
      <c r="G640" s="43"/>
      <c r="H640"/>
      <c r="I640"/>
      <c r="K640" s="38"/>
      <c r="L640" s="39"/>
      <c r="M640" s="38"/>
      <c r="N640" s="39"/>
      <c r="O640" s="38"/>
      <c r="Q640" s="38"/>
      <c r="R640" s="39"/>
      <c r="S640" s="39"/>
      <c r="T640" s="38"/>
      <c r="V640" s="38"/>
      <c r="W640" s="39"/>
      <c r="X640" s="38"/>
    </row>
    <row r="641" spans="2:26" x14ac:dyDescent="0.3">
      <c r="B641" s="38"/>
      <c r="C641" s="40"/>
      <c r="D641" s="19"/>
      <c r="E641" s="39"/>
      <c r="F641" s="12"/>
      <c r="G641" s="43"/>
      <c r="H641"/>
      <c r="I641"/>
      <c r="K641" s="38"/>
      <c r="L641" s="39"/>
      <c r="M641" s="38"/>
      <c r="N641" s="39"/>
      <c r="O641" s="38"/>
      <c r="Q641" s="38"/>
      <c r="R641" s="39"/>
      <c r="S641" s="39"/>
      <c r="T641" s="38"/>
      <c r="V641" s="38"/>
      <c r="W641" s="39"/>
      <c r="X641" s="38"/>
    </row>
    <row r="642" spans="2:26" x14ac:dyDescent="0.3">
      <c r="B642" s="38"/>
      <c r="C642" s="40"/>
      <c r="D642" s="19"/>
      <c r="E642" s="39"/>
      <c r="F642" s="12"/>
      <c r="G642" s="43"/>
      <c r="H642"/>
      <c r="I642"/>
      <c r="K642" s="38"/>
      <c r="L642" s="39"/>
      <c r="M642" s="38"/>
      <c r="N642" s="39"/>
      <c r="O642" s="38"/>
      <c r="Q642" s="38"/>
      <c r="R642" s="39"/>
      <c r="S642" s="39"/>
      <c r="T642" s="38"/>
      <c r="V642" s="38"/>
      <c r="W642" s="39"/>
      <c r="X642" s="38"/>
    </row>
    <row r="643" spans="2:26" x14ac:dyDescent="0.3">
      <c r="B643" s="38"/>
      <c r="C643" s="40"/>
      <c r="D643" s="19"/>
      <c r="E643" s="39"/>
      <c r="F643" s="12"/>
      <c r="G643" s="43"/>
      <c r="H643"/>
      <c r="I643"/>
      <c r="K643" s="38"/>
      <c r="L643" s="39"/>
      <c r="M643" s="38"/>
      <c r="N643" s="39"/>
      <c r="O643" s="38"/>
      <c r="Q643" s="38"/>
      <c r="R643" s="39"/>
      <c r="S643" s="39"/>
      <c r="T643" s="38"/>
      <c r="V643" s="38"/>
      <c r="W643" s="39"/>
      <c r="X643" s="38"/>
    </row>
    <row r="644" spans="2:26" x14ac:dyDescent="0.3">
      <c r="B644" s="38"/>
      <c r="C644" s="40"/>
      <c r="D644" s="19"/>
      <c r="E644" s="39"/>
      <c r="F644" s="12"/>
      <c r="G644" s="43"/>
      <c r="H644"/>
      <c r="I644"/>
      <c r="K644" s="38"/>
      <c r="L644" s="39"/>
      <c r="M644" s="38"/>
      <c r="N644" s="39"/>
      <c r="O644" s="38"/>
      <c r="Q644" s="38"/>
      <c r="R644" s="39"/>
      <c r="S644" s="39"/>
      <c r="T644" s="38"/>
      <c r="V644" s="38"/>
      <c r="W644" s="39"/>
      <c r="X644" s="38"/>
    </row>
    <row r="645" spans="2:26" x14ac:dyDescent="0.3">
      <c r="B645" s="38"/>
      <c r="C645" s="40"/>
      <c r="D645" s="19"/>
      <c r="E645" s="39"/>
      <c r="F645" s="12"/>
      <c r="G645" s="43"/>
      <c r="H645"/>
      <c r="I645"/>
      <c r="K645" s="38"/>
      <c r="L645" s="39"/>
      <c r="M645" s="38"/>
      <c r="N645" s="39"/>
      <c r="O645" s="38"/>
      <c r="Q645" s="38"/>
      <c r="R645" s="39"/>
      <c r="S645" s="39"/>
      <c r="T645" s="38"/>
      <c r="V645" s="38"/>
      <c r="W645" s="39"/>
      <c r="X645" s="38"/>
    </row>
    <row r="646" spans="2:26" x14ac:dyDescent="0.3">
      <c r="O646" s="38"/>
      <c r="T646" s="38"/>
      <c r="V646" s="38"/>
      <c r="W646" s="39"/>
      <c r="X646" s="38"/>
    </row>
    <row r="647" spans="2:26" x14ac:dyDescent="0.3">
      <c r="X647" s="38"/>
    </row>
    <row r="648" spans="2:26" x14ac:dyDescent="0.3">
      <c r="Q648" s="12" t="s">
        <v>31</v>
      </c>
      <c r="Z648" s="12" t="s">
        <v>31</v>
      </c>
    </row>
    <row r="649" spans="2:26" x14ac:dyDescent="0.3">
      <c r="Q649" s="12" t="s">
        <v>31</v>
      </c>
      <c r="Z649" s="12" t="s">
        <v>31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7AD33-FC06-4941-AABA-0C7E2D0E38BB}">
  <dimension ref="A1:Z649"/>
  <sheetViews>
    <sheetView topLeftCell="I1" zoomScale="85" zoomScaleNormal="85" zoomScalePageLayoutView="90" workbookViewId="0">
      <pane ySplit="1" topLeftCell="A17" activePane="bottomLeft" state="frozen"/>
      <selection pane="bottomLeft" activeCell="K28" sqref="K28:L28"/>
    </sheetView>
  </sheetViews>
  <sheetFormatPr defaultColWidth="8.88671875" defaultRowHeight="14.4" x14ac:dyDescent="0.3"/>
  <cols>
    <col min="1" max="1" width="8.88671875" style="16"/>
    <col min="2" max="2" width="13.33203125" style="18" customWidth="1"/>
    <col min="3" max="3" width="13" style="6" bestFit="1" customWidth="1"/>
    <col min="4" max="4" width="12.5546875" style="42" bestFit="1" customWidth="1"/>
    <col min="5" max="5" width="13.109375" style="14" bestFit="1" customWidth="1"/>
    <col min="6" max="6" width="8.88671875" style="10"/>
    <col min="7" max="7" width="17.21875" style="14" bestFit="1" customWidth="1"/>
    <col min="8" max="8" width="22.21875" style="14" bestFit="1" customWidth="1"/>
    <col min="9" max="9" width="9.6640625" style="14" customWidth="1"/>
    <col min="10" max="10" width="4.44140625" style="28" customWidth="1"/>
    <col min="11" max="11" width="17.77734375" style="12" customWidth="1"/>
    <col min="12" max="12" width="12.44140625" style="12" bestFit="1" customWidth="1"/>
    <col min="13" max="13" width="13.6640625" style="12" bestFit="1" customWidth="1"/>
    <col min="14" max="15" width="12.44140625" style="12" bestFit="1" customWidth="1"/>
    <col min="16" max="16" width="13.33203125" style="12" bestFit="1" customWidth="1"/>
    <col min="17" max="17" width="11.33203125" style="12" bestFit="1" customWidth="1"/>
    <col min="18" max="18" width="13" style="12" bestFit="1" customWidth="1"/>
    <col min="19" max="19" width="12.44140625" style="12" bestFit="1" customWidth="1"/>
    <col min="20" max="20" width="12.44140625" style="12" customWidth="1"/>
    <col min="21" max="21" width="8.88671875" style="12"/>
    <col min="22" max="22" width="10.44140625" style="12" bestFit="1" customWidth="1"/>
    <col min="23" max="23" width="9.44140625" style="12" bestFit="1" customWidth="1"/>
    <col min="24" max="24" width="11.88671875" style="12" customWidth="1"/>
    <col min="25" max="16384" width="8.88671875" style="12"/>
  </cols>
  <sheetData>
    <row r="1" spans="1:12" s="9" customFormat="1" x14ac:dyDescent="0.3">
      <c r="A1" s="15" t="s">
        <v>0</v>
      </c>
      <c r="B1" s="17" t="s">
        <v>5</v>
      </c>
      <c r="C1" s="5" t="s">
        <v>36</v>
      </c>
      <c r="D1" s="45" t="s">
        <v>51</v>
      </c>
      <c r="E1" s="7" t="s">
        <v>41</v>
      </c>
      <c r="F1" s="8" t="s">
        <v>45</v>
      </c>
      <c r="G1" s="13" t="s">
        <v>42</v>
      </c>
      <c r="H1" s="41" t="s">
        <v>80</v>
      </c>
      <c r="I1" s="41"/>
      <c r="J1" s="27"/>
    </row>
    <row r="2" spans="1:12" x14ac:dyDescent="0.3">
      <c r="A2" s="16">
        <v>0</v>
      </c>
      <c r="B2" s="3">
        <v>45293</v>
      </c>
      <c r="C2" s="40">
        <v>4742.83</v>
      </c>
      <c r="D2" s="19"/>
      <c r="E2">
        <v>5672.53</v>
      </c>
      <c r="F2">
        <v>7.8155000000000001</v>
      </c>
      <c r="G2" s="43">
        <f>E2/F2</f>
        <v>725.80513082976131</v>
      </c>
      <c r="H2"/>
      <c r="I2"/>
      <c r="K2" s="50">
        <f>MIN($B$2:$B$501)</f>
        <v>45293</v>
      </c>
    </row>
    <row r="3" spans="1:12" x14ac:dyDescent="0.3">
      <c r="A3" s="16">
        <v>1</v>
      </c>
      <c r="B3" s="3">
        <v>45294</v>
      </c>
      <c r="C3" s="40">
        <v>4704.8100000000004</v>
      </c>
      <c r="D3" s="46">
        <f>$C3/$C2-1</f>
        <v>-8.0163109367190621E-3</v>
      </c>
      <c r="E3">
        <v>5628.79</v>
      </c>
      <c r="F3">
        <v>7.8068999999999997</v>
      </c>
      <c r="G3" s="43">
        <f t="shared" ref="G3:G66" si="0">E3/F3</f>
        <v>721.00193418642482</v>
      </c>
      <c r="H3">
        <f>$G3/$G2-1</f>
        <v>-6.6177496401070846E-3</v>
      </c>
      <c r="I3"/>
      <c r="K3" s="50">
        <f>MAX($B$2:$B$501)</f>
        <v>45777</v>
      </c>
    </row>
    <row r="4" spans="1:12" x14ac:dyDescent="0.3">
      <c r="A4" s="16">
        <v>2</v>
      </c>
      <c r="B4" s="3">
        <v>45295</v>
      </c>
      <c r="C4" s="40">
        <v>4688.68</v>
      </c>
      <c r="D4" s="46">
        <f t="shared" ref="D4:D67" si="1">$C4/$C3-1</f>
        <v>-3.4284062480738342E-3</v>
      </c>
      <c r="E4">
        <v>5649.23</v>
      </c>
      <c r="F4">
        <v>7.8080999999999996</v>
      </c>
      <c r="G4" s="43">
        <f t="shared" si="0"/>
        <v>723.50892022387006</v>
      </c>
      <c r="H4">
        <f t="shared" ref="H4:H67" si="2">$G4/$G3-1</f>
        <v>3.4770864245656785E-3</v>
      </c>
      <c r="I4"/>
    </row>
    <row r="5" spans="1:12" x14ac:dyDescent="0.3">
      <c r="A5" s="16">
        <v>3</v>
      </c>
      <c r="B5" s="3">
        <v>45296</v>
      </c>
      <c r="C5" s="40">
        <v>4697.24</v>
      </c>
      <c r="D5" s="46">
        <f t="shared" si="1"/>
        <v>1.8256737503945519E-3</v>
      </c>
      <c r="E5">
        <v>5606.98</v>
      </c>
      <c r="F5">
        <v>7.8112000000000004</v>
      </c>
      <c r="G5" s="43">
        <f t="shared" si="0"/>
        <v>717.8128840639082</v>
      </c>
      <c r="H5">
        <f t="shared" si="2"/>
        <v>-7.8727932728174244E-3</v>
      </c>
      <c r="I5"/>
      <c r="K5" s="12" t="str">
        <f>"Y"&amp;" = "&amp; $H$1</f>
        <v>Y = USD Hang Seng CEI HPR</v>
      </c>
    </row>
    <row r="6" spans="1:12" x14ac:dyDescent="0.3">
      <c r="A6" s="16">
        <v>4</v>
      </c>
      <c r="B6" s="3">
        <v>45299</v>
      </c>
      <c r="C6" s="40">
        <v>4763.54</v>
      </c>
      <c r="D6" s="46">
        <f t="shared" si="1"/>
        <v>1.4114671594383177E-2</v>
      </c>
      <c r="E6">
        <v>5480.82</v>
      </c>
      <c r="F6">
        <v>7.8064999999999998</v>
      </c>
      <c r="G6" s="43">
        <f t="shared" si="0"/>
        <v>702.08416063536799</v>
      </c>
      <c r="H6">
        <f t="shared" si="2"/>
        <v>-2.1912010466420995E-2</v>
      </c>
      <c r="I6"/>
      <c r="K6" s="12" t="str">
        <f>"X"&amp;" = "&amp; $D$1</f>
        <v>X = S&amp;P500 HPR</v>
      </c>
    </row>
    <row r="7" spans="1:12" x14ac:dyDescent="0.3">
      <c r="A7" s="16">
        <v>5</v>
      </c>
      <c r="B7" s="3">
        <v>45300</v>
      </c>
      <c r="C7" s="40">
        <v>4756.5</v>
      </c>
      <c r="D7" s="46">
        <f t="shared" si="1"/>
        <v>-1.4778924917183689E-3</v>
      </c>
      <c r="E7">
        <v>5449.76</v>
      </c>
      <c r="F7">
        <v>7.8156999999999996</v>
      </c>
      <c r="G7" s="43">
        <f t="shared" si="0"/>
        <v>697.28367260769994</v>
      </c>
      <c r="H7">
        <f t="shared" si="2"/>
        <v>-6.8374823088498404E-3</v>
      </c>
      <c r="I7"/>
    </row>
    <row r="8" spans="1:12" x14ac:dyDescent="0.3">
      <c r="A8" s="16">
        <v>6</v>
      </c>
      <c r="B8" s="3">
        <v>45301</v>
      </c>
      <c r="C8" s="40">
        <v>4783.45</v>
      </c>
      <c r="D8" s="46">
        <f t="shared" si="1"/>
        <v>5.6659308314936929E-3</v>
      </c>
      <c r="E8">
        <v>5421.23</v>
      </c>
      <c r="F8">
        <v>7.8190999999999997</v>
      </c>
      <c r="G8" s="43">
        <f t="shared" si="0"/>
        <v>693.33171336854627</v>
      </c>
      <c r="H8">
        <f t="shared" si="2"/>
        <v>-5.6676491855518485E-3</v>
      </c>
      <c r="I8"/>
      <c r="K8" s="12" t="s">
        <v>52</v>
      </c>
    </row>
    <row r="9" spans="1:12" ht="15" thickBot="1" x14ac:dyDescent="0.35">
      <c r="A9" s="16">
        <v>7</v>
      </c>
      <c r="B9" s="3">
        <v>45302</v>
      </c>
      <c r="C9" s="40">
        <v>4780.24</v>
      </c>
      <c r="D9" s="46">
        <f t="shared" si="1"/>
        <v>-6.7106377196379796E-4</v>
      </c>
      <c r="E9">
        <v>5494.48</v>
      </c>
      <c r="F9">
        <v>7.8174999999999999</v>
      </c>
      <c r="G9" s="43">
        <f t="shared" si="0"/>
        <v>702.84362008314679</v>
      </c>
      <c r="H9">
        <f t="shared" si="2"/>
        <v>1.3719128277555726E-2</v>
      </c>
      <c r="I9"/>
    </row>
    <row r="10" spans="1:12" x14ac:dyDescent="0.3">
      <c r="A10" s="16">
        <v>8</v>
      </c>
      <c r="B10" s="3">
        <v>45303</v>
      </c>
      <c r="C10" s="40">
        <v>4783.83</v>
      </c>
      <c r="D10" s="46">
        <f t="shared" si="1"/>
        <v>7.5100831757413111E-4</v>
      </c>
      <c r="E10">
        <v>5481.94</v>
      </c>
      <c r="F10">
        <v>7.8211000000000004</v>
      </c>
      <c r="G10" s="43">
        <f t="shared" si="0"/>
        <v>700.91675084067447</v>
      </c>
      <c r="H10">
        <f t="shared" si="2"/>
        <v>-2.7415333758658011E-3</v>
      </c>
      <c r="I10"/>
      <c r="K10" s="47" t="s">
        <v>53</v>
      </c>
      <c r="L10" s="47"/>
    </row>
    <row r="11" spans="1:12" x14ac:dyDescent="0.3">
      <c r="A11" s="16">
        <v>9</v>
      </c>
      <c r="B11" s="3">
        <v>45307</v>
      </c>
      <c r="C11" s="40">
        <v>4765.9799999999996</v>
      </c>
      <c r="D11" s="46">
        <f t="shared" si="1"/>
        <v>-3.7313198838587747E-3</v>
      </c>
      <c r="E11">
        <v>5343.3</v>
      </c>
      <c r="F11">
        <v>7.8259999999999996</v>
      </c>
      <c r="G11" s="43">
        <f t="shared" si="0"/>
        <v>682.76258625095841</v>
      </c>
      <c r="H11">
        <f t="shared" si="2"/>
        <v>-2.5900600275199692E-2</v>
      </c>
      <c r="I11"/>
      <c r="K11" s="12" t="s">
        <v>54</v>
      </c>
      <c r="L11" s="12">
        <v>0.27614098789191127</v>
      </c>
    </row>
    <row r="12" spans="1:12" x14ac:dyDescent="0.3">
      <c r="A12" s="16">
        <v>10</v>
      </c>
      <c r="B12" s="3">
        <v>45308</v>
      </c>
      <c r="C12" s="40">
        <v>4739.21</v>
      </c>
      <c r="D12" s="46">
        <f t="shared" si="1"/>
        <v>-5.6168930629166836E-3</v>
      </c>
      <c r="E12">
        <v>5132.82</v>
      </c>
      <c r="F12">
        <v>7.8209999999999997</v>
      </c>
      <c r="G12" s="43">
        <f t="shared" si="0"/>
        <v>656.2869198312236</v>
      </c>
      <c r="H12">
        <f t="shared" si="2"/>
        <v>-3.8777265996826737E-2</v>
      </c>
      <c r="I12"/>
      <c r="K12" s="12" t="s">
        <v>55</v>
      </c>
      <c r="L12" s="12">
        <v>7.62538451939207E-2</v>
      </c>
    </row>
    <row r="13" spans="1:12" x14ac:dyDescent="0.3">
      <c r="A13" s="16">
        <v>11</v>
      </c>
      <c r="B13" s="3">
        <v>45309</v>
      </c>
      <c r="C13" s="40">
        <v>4780.9399999999996</v>
      </c>
      <c r="D13" s="46">
        <f t="shared" si="1"/>
        <v>8.8052650125229892E-3</v>
      </c>
      <c r="E13">
        <v>5172.05</v>
      </c>
      <c r="F13">
        <v>7.8208000000000002</v>
      </c>
      <c r="G13" s="43">
        <f t="shared" si="0"/>
        <v>661.31981382978722</v>
      </c>
      <c r="H13">
        <f t="shared" si="2"/>
        <v>7.6687403732775827E-3</v>
      </c>
      <c r="I13"/>
      <c r="K13" s="12" t="s">
        <v>56</v>
      </c>
      <c r="L13" s="12">
        <v>7.3302579523613728E-2</v>
      </c>
    </row>
    <row r="14" spans="1:12" x14ac:dyDescent="0.3">
      <c r="A14" s="16">
        <v>12</v>
      </c>
      <c r="B14" s="3">
        <v>45310</v>
      </c>
      <c r="C14" s="40">
        <v>4839.8100000000004</v>
      </c>
      <c r="D14" s="46">
        <f t="shared" si="1"/>
        <v>1.2313478102632613E-2</v>
      </c>
      <c r="E14">
        <v>5127.24</v>
      </c>
      <c r="F14">
        <v>7.8174999999999999</v>
      </c>
      <c r="G14" s="43">
        <f t="shared" si="0"/>
        <v>655.86696514230891</v>
      </c>
      <c r="H14">
        <f t="shared" si="2"/>
        <v>-8.2454034696165523E-3</v>
      </c>
      <c r="I14"/>
      <c r="K14" s="12" t="s">
        <v>57</v>
      </c>
      <c r="L14" s="12">
        <v>1.8652451516914643E-2</v>
      </c>
    </row>
    <row r="15" spans="1:12" ht="15" thickBot="1" x14ac:dyDescent="0.35">
      <c r="A15" s="16">
        <v>13</v>
      </c>
      <c r="B15" s="3">
        <v>45313</v>
      </c>
      <c r="C15" s="40">
        <v>4850.43</v>
      </c>
      <c r="D15" s="46">
        <f t="shared" si="1"/>
        <v>2.194301015948863E-3</v>
      </c>
      <c r="E15">
        <v>5001.95</v>
      </c>
      <c r="F15">
        <v>7.8175999999999997</v>
      </c>
      <c r="G15" s="43">
        <f t="shared" si="0"/>
        <v>639.83191772410976</v>
      </c>
      <c r="H15">
        <f t="shared" si="2"/>
        <v>-2.4448627954176461E-2</v>
      </c>
      <c r="I15"/>
      <c r="K15" s="48" t="s">
        <v>58</v>
      </c>
      <c r="L15" s="48">
        <v>315</v>
      </c>
    </row>
    <row r="16" spans="1:12" x14ac:dyDescent="0.3">
      <c r="A16" s="16">
        <v>14</v>
      </c>
      <c r="B16" s="3">
        <v>45314</v>
      </c>
      <c r="C16" s="40">
        <v>4864.6000000000004</v>
      </c>
      <c r="D16" s="46">
        <f t="shared" si="1"/>
        <v>2.9213904746590025E-3</v>
      </c>
      <c r="E16">
        <v>5140.93</v>
      </c>
      <c r="F16">
        <v>7.8219000000000003</v>
      </c>
      <c r="G16" s="43">
        <f t="shared" si="0"/>
        <v>657.24823891893277</v>
      </c>
      <c r="H16">
        <f t="shared" si="2"/>
        <v>2.7220150655773878E-2</v>
      </c>
      <c r="I16"/>
    </row>
    <row r="17" spans="1:19" ht="15" thickBot="1" x14ac:dyDescent="0.35">
      <c r="A17" s="16">
        <v>15</v>
      </c>
      <c r="B17" s="3">
        <v>45315</v>
      </c>
      <c r="C17" s="40">
        <v>4868.55</v>
      </c>
      <c r="D17" s="46">
        <f t="shared" si="1"/>
        <v>8.1198865271558951E-4</v>
      </c>
      <c r="E17">
        <v>5353.05</v>
      </c>
      <c r="F17">
        <v>7.8177000000000003</v>
      </c>
      <c r="G17" s="43">
        <f t="shared" si="0"/>
        <v>684.73464062320124</v>
      </c>
      <c r="H17">
        <f t="shared" si="2"/>
        <v>4.1820426555237544E-2</v>
      </c>
      <c r="I17"/>
      <c r="K17" s="12" t="s">
        <v>59</v>
      </c>
    </row>
    <row r="18" spans="1:19" x14ac:dyDescent="0.3">
      <c r="A18" s="16">
        <v>16</v>
      </c>
      <c r="B18" s="3">
        <v>45316</v>
      </c>
      <c r="C18" s="40">
        <v>4894.16</v>
      </c>
      <c r="D18" s="46">
        <f t="shared" si="1"/>
        <v>5.2602931057501578E-3</v>
      </c>
      <c r="E18">
        <v>5468.71</v>
      </c>
      <c r="F18">
        <v>7.8175999999999997</v>
      </c>
      <c r="G18" s="43">
        <f t="shared" si="0"/>
        <v>699.53822144903813</v>
      </c>
      <c r="H18">
        <f t="shared" si="2"/>
        <v>2.161944196713006E-2</v>
      </c>
      <c r="I18"/>
      <c r="K18" s="49"/>
      <c r="L18" s="49" t="s">
        <v>64</v>
      </c>
      <c r="M18" s="49" t="s">
        <v>65</v>
      </c>
      <c r="N18" s="49" t="s">
        <v>66</v>
      </c>
      <c r="O18" s="49" t="s">
        <v>67</v>
      </c>
      <c r="P18" s="49" t="s">
        <v>68</v>
      </c>
    </row>
    <row r="19" spans="1:19" x14ac:dyDescent="0.3">
      <c r="A19" s="16">
        <v>17</v>
      </c>
      <c r="B19" s="3">
        <v>45317</v>
      </c>
      <c r="C19" s="40">
        <v>4890.97</v>
      </c>
      <c r="D19" s="46">
        <f t="shared" si="1"/>
        <v>-6.517972440622799E-4</v>
      </c>
      <c r="E19">
        <v>5360.24</v>
      </c>
      <c r="F19">
        <v>7.8144</v>
      </c>
      <c r="G19" s="43">
        <f t="shared" si="0"/>
        <v>685.94389844389843</v>
      </c>
      <c r="H19">
        <f t="shared" si="2"/>
        <v>-1.9433281253710688E-2</v>
      </c>
      <c r="I19"/>
      <c r="K19" s="12" t="s">
        <v>60</v>
      </c>
      <c r="L19" s="12">
        <v>1</v>
      </c>
      <c r="M19" s="12">
        <v>8.9892877375689628E-3</v>
      </c>
      <c r="N19" s="12">
        <v>8.9892877375689628E-3</v>
      </c>
      <c r="O19" s="12">
        <v>25.837675666111583</v>
      </c>
      <c r="P19" s="12">
        <v>6.4022552559202487E-7</v>
      </c>
    </row>
    <row r="20" spans="1:19" x14ac:dyDescent="0.3">
      <c r="A20" s="16">
        <v>18</v>
      </c>
      <c r="B20" s="3">
        <v>45320</v>
      </c>
      <c r="C20" s="40">
        <v>4927.93</v>
      </c>
      <c r="D20" s="46">
        <f t="shared" si="1"/>
        <v>7.5567832147815928E-3</v>
      </c>
      <c r="E20">
        <v>5408.93</v>
      </c>
      <c r="F20">
        <v>7.8136000000000001</v>
      </c>
      <c r="G20" s="43">
        <f t="shared" si="0"/>
        <v>692.24557182348724</v>
      </c>
      <c r="H20">
        <f t="shared" si="2"/>
        <v>9.1868641063570511E-3</v>
      </c>
      <c r="I20"/>
      <c r="K20" s="12" t="s">
        <v>61</v>
      </c>
      <c r="L20" s="12">
        <v>313</v>
      </c>
      <c r="M20" s="12">
        <v>0.1088970655959365</v>
      </c>
      <c r="N20" s="12">
        <v>3.4791394759085142E-4</v>
      </c>
    </row>
    <row r="21" spans="1:19" ht="15" thickBot="1" x14ac:dyDescent="0.35">
      <c r="A21" s="16">
        <v>19</v>
      </c>
      <c r="B21" s="3">
        <v>45321</v>
      </c>
      <c r="C21" s="40">
        <v>4924.97</v>
      </c>
      <c r="D21" s="46">
        <f t="shared" si="1"/>
        <v>-6.0065788272156695E-4</v>
      </c>
      <c r="E21">
        <v>5275.37</v>
      </c>
      <c r="F21">
        <v>7.8177000000000003</v>
      </c>
      <c r="G21" s="43">
        <f t="shared" si="0"/>
        <v>674.79821430855623</v>
      </c>
      <c r="H21">
        <f t="shared" si="2"/>
        <v>-2.5204000177237451E-2</v>
      </c>
      <c r="I21"/>
      <c r="K21" s="48" t="s">
        <v>62</v>
      </c>
      <c r="L21" s="48">
        <v>314</v>
      </c>
      <c r="M21" s="48">
        <v>0.11788635333350546</v>
      </c>
      <c r="N21" s="48"/>
      <c r="O21" s="48"/>
      <c r="P21" s="48"/>
    </row>
    <row r="22" spans="1:19" ht="15" thickBot="1" x14ac:dyDescent="0.35">
      <c r="A22" s="16">
        <v>20</v>
      </c>
      <c r="B22" s="3">
        <v>45322</v>
      </c>
      <c r="C22" s="40">
        <v>4845.6499999999996</v>
      </c>
      <c r="D22" s="46">
        <f t="shared" si="1"/>
        <v>-1.6105681862021659E-2</v>
      </c>
      <c r="E22">
        <v>5194.04</v>
      </c>
      <c r="F22">
        <v>7.8179999999999996</v>
      </c>
      <c r="G22" s="43">
        <f t="shared" si="0"/>
        <v>664.36940393962652</v>
      </c>
      <c r="H22">
        <f t="shared" si="2"/>
        <v>-1.5454709493586516E-2</v>
      </c>
      <c r="I22"/>
    </row>
    <row r="23" spans="1:19" x14ac:dyDescent="0.3">
      <c r="A23" s="16">
        <v>21</v>
      </c>
      <c r="B23" s="3">
        <v>45323</v>
      </c>
      <c r="C23" s="40">
        <v>4906.1899999999996</v>
      </c>
      <c r="D23" s="46">
        <f t="shared" si="1"/>
        <v>1.2493679898465615E-2</v>
      </c>
      <c r="E23">
        <v>5223.4799999999996</v>
      </c>
      <c r="F23">
        <v>7.8196000000000003</v>
      </c>
      <c r="G23" s="43">
        <f t="shared" si="0"/>
        <v>667.99836308762588</v>
      </c>
      <c r="H23">
        <f t="shared" si="2"/>
        <v>5.4622610952281825E-3</v>
      </c>
      <c r="I23"/>
      <c r="K23" s="49"/>
      <c r="L23" s="49" t="s">
        <v>69</v>
      </c>
      <c r="M23" s="49" t="s">
        <v>57</v>
      </c>
      <c r="N23" s="49" t="s">
        <v>70</v>
      </c>
      <c r="O23" s="49" t="s">
        <v>71</v>
      </c>
      <c r="P23" s="49" t="s">
        <v>72</v>
      </c>
      <c r="Q23" s="49" t="s">
        <v>73</v>
      </c>
      <c r="R23" s="49" t="s">
        <v>74</v>
      </c>
      <c r="S23" s="49" t="s">
        <v>75</v>
      </c>
    </row>
    <row r="24" spans="1:19" x14ac:dyDescent="0.3">
      <c r="A24" s="16">
        <v>22</v>
      </c>
      <c r="B24" s="3">
        <v>45324</v>
      </c>
      <c r="C24" s="40">
        <v>4958.6099999999997</v>
      </c>
      <c r="D24" s="46">
        <f t="shared" si="1"/>
        <v>1.0684461873673889E-2</v>
      </c>
      <c r="E24">
        <v>5218.99</v>
      </c>
      <c r="F24">
        <v>7.8201000000000001</v>
      </c>
      <c r="G24" s="43">
        <f t="shared" si="0"/>
        <v>667.38149128527766</v>
      </c>
      <c r="H24">
        <f t="shared" si="2"/>
        <v>-9.2346304487467279E-4</v>
      </c>
      <c r="I24"/>
      <c r="K24" s="12" t="s">
        <v>63</v>
      </c>
      <c r="L24" s="12">
        <v>1.065056811630428E-3</v>
      </c>
      <c r="M24" s="12">
        <v>1.0523064092701872E-3</v>
      </c>
      <c r="N24" s="12">
        <v>1.0121166252033793</v>
      </c>
      <c r="O24" s="12">
        <v>0.3122640427526136</v>
      </c>
      <c r="P24" s="12">
        <v>-1.0054318351751781E-3</v>
      </c>
      <c r="Q24" s="12">
        <v>3.1355454584360339E-3</v>
      </c>
      <c r="R24" s="12">
        <v>-1.0054318351751781E-3</v>
      </c>
      <c r="S24" s="12">
        <v>3.1355454584360339E-3</v>
      </c>
    </row>
    <row r="25" spans="1:19" ht="15" thickBot="1" x14ac:dyDescent="0.35">
      <c r="A25" s="16">
        <v>23</v>
      </c>
      <c r="B25" s="3">
        <v>45327</v>
      </c>
      <c r="C25" s="40">
        <v>4942.8100000000004</v>
      </c>
      <c r="D25" s="46">
        <f t="shared" si="1"/>
        <v>-3.18637682737688E-3</v>
      </c>
      <c r="E25">
        <v>5217.3599999999997</v>
      </c>
      <c r="F25">
        <v>7.8215000000000003</v>
      </c>
      <c r="G25" s="43">
        <f t="shared" si="0"/>
        <v>667.05363421338609</v>
      </c>
      <c r="H25">
        <f t="shared" si="2"/>
        <v>-4.9125886194445467E-4</v>
      </c>
      <c r="I25"/>
      <c r="K25" s="48" t="s">
        <v>76</v>
      </c>
      <c r="L25" s="48">
        <v>0.47440014641310013</v>
      </c>
      <c r="M25" s="48">
        <v>9.3329318208212345E-2</v>
      </c>
      <c r="N25" s="48">
        <v>5.0830773814798551</v>
      </c>
      <c r="O25" s="48">
        <v>6.4022552559186329E-7</v>
      </c>
      <c r="P25" s="48">
        <v>0.29076799130893377</v>
      </c>
      <c r="Q25" s="48">
        <v>0.65803230151726644</v>
      </c>
      <c r="R25" s="48">
        <v>0.29076799130893377</v>
      </c>
      <c r="S25" s="48">
        <v>0.65803230151726644</v>
      </c>
    </row>
    <row r="26" spans="1:19" x14ac:dyDescent="0.3">
      <c r="A26" s="16">
        <v>24</v>
      </c>
      <c r="B26" s="3">
        <v>45328</v>
      </c>
      <c r="C26" s="40">
        <v>4954.2299999999996</v>
      </c>
      <c r="D26" s="46">
        <f t="shared" si="1"/>
        <v>2.310426660138587E-3</v>
      </c>
      <c r="E26">
        <v>5473.75</v>
      </c>
      <c r="F26">
        <v>7.8224</v>
      </c>
      <c r="G26" s="43">
        <f t="shared" si="0"/>
        <v>699.75327265289422</v>
      </c>
      <c r="H26">
        <f t="shared" si="2"/>
        <v>4.902100335315418E-2</v>
      </c>
      <c r="I26"/>
    </row>
    <row r="27" spans="1:19" x14ac:dyDescent="0.3">
      <c r="A27" s="16">
        <v>25</v>
      </c>
      <c r="B27" s="3">
        <v>45329</v>
      </c>
      <c r="C27" s="40">
        <v>4995.0600000000004</v>
      </c>
      <c r="D27" s="46">
        <f t="shared" si="1"/>
        <v>8.2414421615468747E-3</v>
      </c>
      <c r="E27">
        <v>5421.53</v>
      </c>
      <c r="F27">
        <v>7.8189000000000002</v>
      </c>
      <c r="G27" s="43">
        <f t="shared" si="0"/>
        <v>693.3878167005588</v>
      </c>
      <c r="H27">
        <f t="shared" si="2"/>
        <v>-9.0967148009223342E-3</v>
      </c>
      <c r="I27"/>
    </row>
    <row r="28" spans="1:19" x14ac:dyDescent="0.3">
      <c r="A28" s="16">
        <v>26</v>
      </c>
      <c r="B28" s="3">
        <v>45330</v>
      </c>
      <c r="C28" s="40">
        <v>4997.91</v>
      </c>
      <c r="D28" s="46">
        <f t="shared" si="1"/>
        <v>5.7056371695218822E-4</v>
      </c>
      <c r="E28">
        <v>5360.08</v>
      </c>
      <c r="F28">
        <v>7.8209999999999997</v>
      </c>
      <c r="G28" s="43">
        <f t="shared" si="0"/>
        <v>685.34458509142053</v>
      </c>
      <c r="H28">
        <f t="shared" si="2"/>
        <v>-1.159990327982896E-2</v>
      </c>
      <c r="I28"/>
      <c r="K28" s="52" t="s">
        <v>84</v>
      </c>
      <c r="L28" s="51">
        <f>L25</f>
        <v>0.47440014641310013</v>
      </c>
    </row>
    <row r="29" spans="1:19" x14ac:dyDescent="0.3">
      <c r="A29" s="16">
        <v>27</v>
      </c>
      <c r="B29" s="3">
        <v>45331</v>
      </c>
      <c r="C29" s="40">
        <v>5026.6099999999997</v>
      </c>
      <c r="D29" s="46">
        <f t="shared" si="1"/>
        <v>5.7424003233350618E-3</v>
      </c>
      <c r="E29">
        <v>5306.79</v>
      </c>
      <c r="F29">
        <v>7.8197000000000001</v>
      </c>
      <c r="G29" s="43">
        <f t="shared" si="0"/>
        <v>678.64368198268471</v>
      </c>
      <c r="H29">
        <f t="shared" si="2"/>
        <v>-9.7774218320291206E-3</v>
      </c>
      <c r="I29"/>
    </row>
    <row r="30" spans="1:19" x14ac:dyDescent="0.3">
      <c r="A30" s="16">
        <v>28</v>
      </c>
      <c r="B30" s="3">
        <v>45336</v>
      </c>
      <c r="C30" s="40">
        <v>5000.62</v>
      </c>
      <c r="D30" s="46">
        <f t="shared" si="1"/>
        <v>-5.1704826911178614E-3</v>
      </c>
      <c r="E30">
        <v>5386.31</v>
      </c>
      <c r="F30">
        <v>7.8182</v>
      </c>
      <c r="G30" s="43">
        <f t="shared" si="0"/>
        <v>688.9450257092426</v>
      </c>
      <c r="H30">
        <f t="shared" si="2"/>
        <v>1.5179311323524125E-2</v>
      </c>
      <c r="I30"/>
    </row>
    <row r="31" spans="1:19" x14ac:dyDescent="0.3">
      <c r="A31" s="16">
        <v>29</v>
      </c>
      <c r="B31" s="3">
        <v>45337</v>
      </c>
      <c r="C31" s="40">
        <v>5029.7299999999996</v>
      </c>
      <c r="D31" s="46">
        <f t="shared" si="1"/>
        <v>5.8212781615079034E-3</v>
      </c>
      <c r="E31">
        <v>5410.94</v>
      </c>
      <c r="F31">
        <v>7.8193000000000001</v>
      </c>
      <c r="G31" s="43">
        <f t="shared" si="0"/>
        <v>691.99800493650321</v>
      </c>
      <c r="H31">
        <f t="shared" si="2"/>
        <v>4.4313829309061692E-3</v>
      </c>
      <c r="I31"/>
    </row>
    <row r="32" spans="1:19" x14ac:dyDescent="0.3">
      <c r="A32" s="16">
        <v>30</v>
      </c>
      <c r="B32" s="3">
        <v>45338</v>
      </c>
      <c r="C32" s="40">
        <v>5005.57</v>
      </c>
      <c r="D32" s="46">
        <f t="shared" si="1"/>
        <v>-4.8034387531735723E-3</v>
      </c>
      <c r="E32">
        <v>5558.86</v>
      </c>
      <c r="F32">
        <v>7.8223000000000003</v>
      </c>
      <c r="G32" s="43">
        <f t="shared" si="0"/>
        <v>710.64264986001558</v>
      </c>
      <c r="H32">
        <f t="shared" si="2"/>
        <v>2.6943206180519486E-2</v>
      </c>
      <c r="I32"/>
    </row>
    <row r="33" spans="1:9" x14ac:dyDescent="0.3">
      <c r="A33" s="16">
        <v>31</v>
      </c>
      <c r="B33" s="3">
        <v>45342</v>
      </c>
      <c r="C33" s="40">
        <v>4975.51</v>
      </c>
      <c r="D33" s="46">
        <f t="shared" si="1"/>
        <v>-6.0053100845657292E-3</v>
      </c>
      <c r="E33">
        <v>5519.23</v>
      </c>
      <c r="F33">
        <v>7.8207000000000004</v>
      </c>
      <c r="G33" s="43">
        <f t="shared" si="0"/>
        <v>705.72071553697231</v>
      </c>
      <c r="H33">
        <f t="shared" si="2"/>
        <v>-6.9260328295983609E-3</v>
      </c>
      <c r="I33"/>
    </row>
    <row r="34" spans="1:9" x14ac:dyDescent="0.3">
      <c r="A34" s="16">
        <v>32</v>
      </c>
      <c r="B34" s="3">
        <v>45343</v>
      </c>
      <c r="C34" s="40">
        <v>4981.8</v>
      </c>
      <c r="D34" s="46">
        <f t="shared" si="1"/>
        <v>1.2641920124771833E-3</v>
      </c>
      <c r="E34">
        <v>5642.78</v>
      </c>
      <c r="F34">
        <v>7.8209</v>
      </c>
      <c r="G34" s="43">
        <f t="shared" si="0"/>
        <v>721.50008311063937</v>
      </c>
      <c r="H34">
        <f t="shared" si="2"/>
        <v>2.2359224019179891E-2</v>
      </c>
      <c r="I34"/>
    </row>
    <row r="35" spans="1:9" x14ac:dyDescent="0.3">
      <c r="A35" s="16">
        <v>33</v>
      </c>
      <c r="B35" s="3">
        <v>45344</v>
      </c>
      <c r="C35" s="40">
        <v>5087.03</v>
      </c>
      <c r="D35" s="46">
        <f t="shared" si="1"/>
        <v>2.1122887309807714E-2</v>
      </c>
      <c r="E35">
        <v>5758.46</v>
      </c>
      <c r="F35">
        <v>7.8221999999999996</v>
      </c>
      <c r="G35" s="43">
        <f t="shared" si="0"/>
        <v>736.16885275242259</v>
      </c>
      <c r="H35">
        <f t="shared" si="2"/>
        <v>2.0330932712496752E-2</v>
      </c>
      <c r="I35"/>
    </row>
    <row r="36" spans="1:9" x14ac:dyDescent="0.3">
      <c r="A36" s="16">
        <v>34</v>
      </c>
      <c r="B36" s="3">
        <v>45345</v>
      </c>
      <c r="C36" s="40">
        <v>5088.8</v>
      </c>
      <c r="D36" s="46">
        <f t="shared" si="1"/>
        <v>3.4794369209545373E-4</v>
      </c>
      <c r="E36">
        <v>5765.1</v>
      </c>
      <c r="F36">
        <v>7.8238000000000003</v>
      </c>
      <c r="G36" s="43">
        <f t="shared" si="0"/>
        <v>736.86699557759653</v>
      </c>
      <c r="H36">
        <f t="shared" si="2"/>
        <v>9.4834605208249378E-4</v>
      </c>
      <c r="I36"/>
    </row>
    <row r="37" spans="1:9" x14ac:dyDescent="0.3">
      <c r="A37" s="16">
        <v>35</v>
      </c>
      <c r="B37" s="3">
        <v>45348</v>
      </c>
      <c r="C37" s="40">
        <v>5069.53</v>
      </c>
      <c r="D37" s="46">
        <f t="shared" si="1"/>
        <v>-3.7867473667663187E-3</v>
      </c>
      <c r="E37">
        <v>5723.36</v>
      </c>
      <c r="F37">
        <v>7.8238000000000003</v>
      </c>
      <c r="G37" s="43">
        <f t="shared" si="0"/>
        <v>731.53199212658808</v>
      </c>
      <c r="H37">
        <f t="shared" si="2"/>
        <v>-7.2401172572895689E-3</v>
      </c>
      <c r="I37"/>
    </row>
    <row r="38" spans="1:9" x14ac:dyDescent="0.3">
      <c r="A38" s="16">
        <v>36</v>
      </c>
      <c r="B38" s="3">
        <v>45349</v>
      </c>
      <c r="C38" s="40">
        <v>5078.18</v>
      </c>
      <c r="D38" s="46">
        <f t="shared" si="1"/>
        <v>1.7062725735916828E-3</v>
      </c>
      <c r="E38">
        <v>5806.9</v>
      </c>
      <c r="F38">
        <v>7.8240999999999996</v>
      </c>
      <c r="G38" s="43">
        <f t="shared" si="0"/>
        <v>742.18120934037142</v>
      </c>
      <c r="H38">
        <f t="shared" si="2"/>
        <v>1.4557418306239356E-2</v>
      </c>
      <c r="I38"/>
    </row>
    <row r="39" spans="1:9" x14ac:dyDescent="0.3">
      <c r="A39" s="16">
        <v>37</v>
      </c>
      <c r="B39" s="3">
        <v>45350</v>
      </c>
      <c r="C39" s="40">
        <v>5069.76</v>
      </c>
      <c r="D39" s="46">
        <f t="shared" si="1"/>
        <v>-1.6580743494716277E-3</v>
      </c>
      <c r="E39">
        <v>5688.46</v>
      </c>
      <c r="F39">
        <v>7.8278999999999996</v>
      </c>
      <c r="G39" s="43">
        <f t="shared" si="0"/>
        <v>726.69042782866416</v>
      </c>
      <c r="H39">
        <f t="shared" si="2"/>
        <v>-2.0871966733670089E-2</v>
      </c>
      <c r="I39"/>
    </row>
    <row r="40" spans="1:9" x14ac:dyDescent="0.3">
      <c r="A40" s="16">
        <v>38</v>
      </c>
      <c r="B40" s="3">
        <v>45351</v>
      </c>
      <c r="C40" s="40">
        <v>5096.2700000000004</v>
      </c>
      <c r="D40" s="46">
        <f t="shared" si="1"/>
        <v>5.229044372909275E-3</v>
      </c>
      <c r="E40">
        <v>5677.88</v>
      </c>
      <c r="F40">
        <v>7.8288000000000002</v>
      </c>
      <c r="G40" s="43">
        <f t="shared" si="0"/>
        <v>725.25546699366441</v>
      </c>
      <c r="H40">
        <f t="shared" si="2"/>
        <v>-1.9746521765635627E-3</v>
      </c>
      <c r="I40"/>
    </row>
    <row r="41" spans="1:9" x14ac:dyDescent="0.3">
      <c r="A41" s="16">
        <v>39</v>
      </c>
      <c r="B41" s="3">
        <v>45352</v>
      </c>
      <c r="C41" s="40">
        <v>5137.08</v>
      </c>
      <c r="D41" s="46">
        <f t="shared" si="1"/>
        <v>8.0078174821975878E-3</v>
      </c>
      <c r="E41">
        <v>5728.84</v>
      </c>
      <c r="F41">
        <v>7.8285</v>
      </c>
      <c r="G41" s="43">
        <f t="shared" si="0"/>
        <v>731.79280832854317</v>
      </c>
      <c r="H41">
        <f t="shared" si="2"/>
        <v>9.0138463374531685E-3</v>
      </c>
      <c r="I41"/>
    </row>
    <row r="42" spans="1:9" x14ac:dyDescent="0.3">
      <c r="A42" s="16">
        <v>40</v>
      </c>
      <c r="B42" s="3">
        <v>45355</v>
      </c>
      <c r="C42" s="40">
        <v>5130.95</v>
      </c>
      <c r="D42" s="46">
        <f t="shared" si="1"/>
        <v>-1.1932849011501157E-3</v>
      </c>
      <c r="E42">
        <v>5712.83</v>
      </c>
      <c r="F42">
        <v>7.8247</v>
      </c>
      <c r="G42" s="43">
        <f t="shared" si="0"/>
        <v>730.10211254105593</v>
      </c>
      <c r="H42">
        <f t="shared" si="2"/>
        <v>-2.3103476397218214E-3</v>
      </c>
      <c r="I42"/>
    </row>
    <row r="43" spans="1:9" x14ac:dyDescent="0.3">
      <c r="A43" s="16">
        <v>41</v>
      </c>
      <c r="B43" s="3">
        <v>45356</v>
      </c>
      <c r="C43" s="40">
        <v>5078.6499999999996</v>
      </c>
      <c r="D43" s="46">
        <f t="shared" si="1"/>
        <v>-1.0193044173106403E-2</v>
      </c>
      <c r="E43">
        <v>5562.73</v>
      </c>
      <c r="F43">
        <v>7.8239999999999998</v>
      </c>
      <c r="G43" s="43">
        <f t="shared" si="0"/>
        <v>710.9828732106339</v>
      </c>
      <c r="H43">
        <f t="shared" si="2"/>
        <v>-2.6187075755580547E-2</v>
      </c>
      <c r="I43"/>
    </row>
    <row r="44" spans="1:9" x14ac:dyDescent="0.3">
      <c r="A44" s="16">
        <v>42</v>
      </c>
      <c r="B44" s="3">
        <v>45357</v>
      </c>
      <c r="C44" s="40">
        <v>5104.76</v>
      </c>
      <c r="D44" s="46">
        <f t="shared" si="1"/>
        <v>5.1411300247115044E-3</v>
      </c>
      <c r="E44">
        <v>5672.97</v>
      </c>
      <c r="F44">
        <v>7.8251999999999997</v>
      </c>
      <c r="G44" s="43">
        <f t="shared" si="0"/>
        <v>724.96166232172982</v>
      </c>
      <c r="H44">
        <f t="shared" si="2"/>
        <v>1.9661217784292084E-2</v>
      </c>
      <c r="I44"/>
    </row>
    <row r="45" spans="1:9" x14ac:dyDescent="0.3">
      <c r="A45" s="16">
        <v>43</v>
      </c>
      <c r="B45" s="3">
        <v>45358</v>
      </c>
      <c r="C45" s="40">
        <v>5157.3599999999997</v>
      </c>
      <c r="D45" s="46">
        <f t="shared" si="1"/>
        <v>1.0304108322428451E-2</v>
      </c>
      <c r="E45">
        <v>5613.83</v>
      </c>
      <c r="F45">
        <v>7.8207000000000004</v>
      </c>
      <c r="G45" s="43">
        <f t="shared" si="0"/>
        <v>717.81681946628817</v>
      </c>
      <c r="H45">
        <f t="shared" si="2"/>
        <v>-9.8554768159186956E-3</v>
      </c>
      <c r="I45"/>
    </row>
    <row r="46" spans="1:9" x14ac:dyDescent="0.3">
      <c r="A46" s="16">
        <v>44</v>
      </c>
      <c r="B46" s="3">
        <v>45359</v>
      </c>
      <c r="C46" s="40">
        <v>5123.6899999999996</v>
      </c>
      <c r="D46" s="46">
        <f t="shared" si="1"/>
        <v>-6.5285339786247398E-3</v>
      </c>
      <c r="E46">
        <v>5656.72</v>
      </c>
      <c r="F46">
        <v>7.8202999999999996</v>
      </c>
      <c r="G46" s="43">
        <f t="shared" si="0"/>
        <v>723.33797936140559</v>
      </c>
      <c r="H46">
        <f t="shared" si="2"/>
        <v>7.6916000647944127E-3</v>
      </c>
      <c r="I46"/>
    </row>
    <row r="47" spans="1:9" x14ac:dyDescent="0.3">
      <c r="A47" s="16">
        <v>45</v>
      </c>
      <c r="B47" s="3">
        <v>45362</v>
      </c>
      <c r="C47" s="40">
        <v>5117.9399999999996</v>
      </c>
      <c r="D47" s="46">
        <f t="shared" si="1"/>
        <v>-1.1222380745127269E-3</v>
      </c>
      <c r="E47">
        <v>5748.89</v>
      </c>
      <c r="F47">
        <v>7.8216000000000001</v>
      </c>
      <c r="G47" s="43">
        <f t="shared" si="0"/>
        <v>735.00178991510688</v>
      </c>
      <c r="H47">
        <f t="shared" si="2"/>
        <v>1.6124980142752321E-2</v>
      </c>
      <c r="I47"/>
    </row>
    <row r="48" spans="1:9" x14ac:dyDescent="0.3">
      <c r="A48" s="16">
        <v>46</v>
      </c>
      <c r="B48" s="3">
        <v>45363</v>
      </c>
      <c r="C48" s="40">
        <v>5175.2700000000004</v>
      </c>
      <c r="D48" s="46">
        <f t="shared" si="1"/>
        <v>1.1201772588189884E-2</v>
      </c>
      <c r="E48">
        <v>5949.52</v>
      </c>
      <c r="F48">
        <v>7.8235000000000001</v>
      </c>
      <c r="G48" s="43">
        <f t="shared" si="0"/>
        <v>760.46782130759891</v>
      </c>
      <c r="H48">
        <f t="shared" si="2"/>
        <v>3.4647577382679984E-2</v>
      </c>
      <c r="I48"/>
    </row>
    <row r="49" spans="1:9" x14ac:dyDescent="0.3">
      <c r="A49" s="16">
        <v>47</v>
      </c>
      <c r="B49" s="3">
        <v>45364</v>
      </c>
      <c r="C49" s="40">
        <v>5165.3100000000004</v>
      </c>
      <c r="D49" s="46">
        <f t="shared" si="1"/>
        <v>-1.9245372705192221E-3</v>
      </c>
      <c r="E49">
        <v>5932.46</v>
      </c>
      <c r="F49">
        <v>7.8232999999999997</v>
      </c>
      <c r="G49" s="43">
        <f t="shared" si="0"/>
        <v>758.30659696036207</v>
      </c>
      <c r="H49">
        <f t="shared" si="2"/>
        <v>-2.8419668612942317E-3</v>
      </c>
      <c r="I49"/>
    </row>
    <row r="50" spans="1:9" x14ac:dyDescent="0.3">
      <c r="A50" s="16">
        <v>48</v>
      </c>
      <c r="B50" s="3">
        <v>45365</v>
      </c>
      <c r="C50" s="40">
        <v>5150.4799999999996</v>
      </c>
      <c r="D50" s="46">
        <f t="shared" si="1"/>
        <v>-2.871076469757039E-3</v>
      </c>
      <c r="E50">
        <v>5906.88</v>
      </c>
      <c r="F50">
        <v>7.8221999999999996</v>
      </c>
      <c r="G50" s="43">
        <f t="shared" si="0"/>
        <v>755.14305438367728</v>
      </c>
      <c r="H50">
        <f t="shared" si="2"/>
        <v>-4.1718515826787428E-3</v>
      </c>
      <c r="I50"/>
    </row>
    <row r="51" spans="1:9" x14ac:dyDescent="0.3">
      <c r="A51" s="16">
        <v>49</v>
      </c>
      <c r="B51" s="3">
        <v>45366</v>
      </c>
      <c r="C51" s="40">
        <v>5117.09</v>
      </c>
      <c r="D51" s="46">
        <f t="shared" si="1"/>
        <v>-6.4828909150214109E-3</v>
      </c>
      <c r="E51">
        <v>5820.5</v>
      </c>
      <c r="F51">
        <v>7.8215000000000003</v>
      </c>
      <c r="G51" s="43">
        <f t="shared" si="0"/>
        <v>744.16671993863065</v>
      </c>
      <c r="H51">
        <f t="shared" si="2"/>
        <v>-1.4535437201372625E-2</v>
      </c>
      <c r="I51"/>
    </row>
    <row r="52" spans="1:9" x14ac:dyDescent="0.3">
      <c r="A52" s="16">
        <v>50</v>
      </c>
      <c r="B52" s="3">
        <v>45369</v>
      </c>
      <c r="C52" s="40">
        <v>5149.42</v>
      </c>
      <c r="D52" s="46">
        <f t="shared" si="1"/>
        <v>6.3180440445644859E-3</v>
      </c>
      <c r="E52">
        <v>5848.15</v>
      </c>
      <c r="F52">
        <v>7.8192000000000004</v>
      </c>
      <c r="G52" s="43">
        <f t="shared" si="0"/>
        <v>747.92178227951706</v>
      </c>
      <c r="H52">
        <f t="shared" si="2"/>
        <v>5.0459960655000469E-3</v>
      </c>
      <c r="I52"/>
    </row>
    <row r="53" spans="1:9" x14ac:dyDescent="0.3">
      <c r="A53" s="16">
        <v>51</v>
      </c>
      <c r="B53" s="3">
        <v>45370</v>
      </c>
      <c r="C53" s="40">
        <v>5178.51</v>
      </c>
      <c r="D53" s="46">
        <f t="shared" si="1"/>
        <v>5.6491799076401339E-3</v>
      </c>
      <c r="E53">
        <v>5780.21</v>
      </c>
      <c r="F53">
        <v>7.8230000000000004</v>
      </c>
      <c r="G53" s="43">
        <f t="shared" si="0"/>
        <v>738.87383356768498</v>
      </c>
      <c r="H53">
        <f t="shared" si="2"/>
        <v>-1.2097453137754233E-2</v>
      </c>
      <c r="I53"/>
    </row>
    <row r="54" spans="1:9" x14ac:dyDescent="0.3">
      <c r="A54" s="16">
        <v>52</v>
      </c>
      <c r="B54" s="3">
        <v>45371</v>
      </c>
      <c r="C54" s="40">
        <v>5224.62</v>
      </c>
      <c r="D54" s="46">
        <f t="shared" si="1"/>
        <v>8.9041056211149883E-3</v>
      </c>
      <c r="E54">
        <v>5803.99</v>
      </c>
      <c r="F54">
        <v>7.8228</v>
      </c>
      <c r="G54" s="43">
        <f t="shared" si="0"/>
        <v>741.93255611801396</v>
      </c>
      <c r="H54">
        <f t="shared" si="2"/>
        <v>4.1397088533503545E-3</v>
      </c>
      <c r="I54"/>
    </row>
    <row r="55" spans="1:9" x14ac:dyDescent="0.3">
      <c r="A55" s="16">
        <v>53</v>
      </c>
      <c r="B55" s="3">
        <v>45372</v>
      </c>
      <c r="C55" s="40">
        <v>5241.53</v>
      </c>
      <c r="D55" s="46">
        <f t="shared" si="1"/>
        <v>3.2365990253835353E-3</v>
      </c>
      <c r="E55">
        <v>5905.27</v>
      </c>
      <c r="F55">
        <v>7.8216000000000001</v>
      </c>
      <c r="G55" s="43">
        <f t="shared" si="0"/>
        <v>754.99514165899564</v>
      </c>
      <c r="H55">
        <f t="shared" si="2"/>
        <v>1.7606163030947863E-2</v>
      </c>
      <c r="I55"/>
    </row>
    <row r="56" spans="1:9" x14ac:dyDescent="0.3">
      <c r="A56" s="16">
        <v>54</v>
      </c>
      <c r="B56" s="3">
        <v>45373</v>
      </c>
      <c r="C56" s="40">
        <v>5234.18</v>
      </c>
      <c r="D56" s="46">
        <f t="shared" si="1"/>
        <v>-1.4022623165372838E-3</v>
      </c>
      <c r="E56">
        <v>5757.67</v>
      </c>
      <c r="F56">
        <v>7.8216000000000001</v>
      </c>
      <c r="G56" s="43">
        <f t="shared" si="0"/>
        <v>736.12432238928102</v>
      </c>
      <c r="H56">
        <f t="shared" si="2"/>
        <v>-2.4994623446514708E-2</v>
      </c>
      <c r="I56"/>
    </row>
    <row r="57" spans="1:9" x14ac:dyDescent="0.3">
      <c r="A57" s="16">
        <v>55</v>
      </c>
      <c r="B57" s="3">
        <v>45376</v>
      </c>
      <c r="C57" s="40">
        <v>5218.1899999999996</v>
      </c>
      <c r="D57" s="46">
        <f t="shared" si="1"/>
        <v>-3.0549197773100945E-3</v>
      </c>
      <c r="E57">
        <v>5754.65</v>
      </c>
      <c r="F57">
        <v>7.8216000000000001</v>
      </c>
      <c r="G57" s="43">
        <f t="shared" si="0"/>
        <v>735.73821213051031</v>
      </c>
      <c r="H57">
        <f t="shared" si="2"/>
        <v>-5.2451773026263027E-4</v>
      </c>
      <c r="I57"/>
    </row>
    <row r="58" spans="1:9" x14ac:dyDescent="0.3">
      <c r="A58" s="16">
        <v>56</v>
      </c>
      <c r="B58" s="3">
        <v>45377</v>
      </c>
      <c r="C58" s="40">
        <v>5203.58</v>
      </c>
      <c r="D58" s="46">
        <f t="shared" si="1"/>
        <v>-2.7998213940082506E-3</v>
      </c>
      <c r="E58">
        <v>5825.42</v>
      </c>
      <c r="F58">
        <v>7.8236999999999997</v>
      </c>
      <c r="G58" s="43">
        <f t="shared" si="0"/>
        <v>744.5863210501426</v>
      </c>
      <c r="H58">
        <f t="shared" si="2"/>
        <v>1.2026164706071762E-2</v>
      </c>
      <c r="I58"/>
    </row>
    <row r="59" spans="1:9" x14ac:dyDescent="0.3">
      <c r="A59" s="16">
        <v>57</v>
      </c>
      <c r="B59" s="3">
        <v>45378</v>
      </c>
      <c r="C59" s="40">
        <v>5248.49</v>
      </c>
      <c r="D59" s="46">
        <f t="shared" si="1"/>
        <v>8.6305966277062662E-3</v>
      </c>
      <c r="E59">
        <v>5728.13</v>
      </c>
      <c r="F59">
        <v>7.8239000000000001</v>
      </c>
      <c r="G59" s="43">
        <f t="shared" si="0"/>
        <v>732.13231252955688</v>
      </c>
      <c r="H59">
        <f t="shared" si="2"/>
        <v>-1.6726077512437931E-2</v>
      </c>
      <c r="I59"/>
    </row>
    <row r="60" spans="1:9" x14ac:dyDescent="0.3">
      <c r="A60" s="16">
        <v>58</v>
      </c>
      <c r="B60" s="3">
        <v>45379</v>
      </c>
      <c r="C60" s="40">
        <v>5254.35</v>
      </c>
      <c r="D60" s="46">
        <f t="shared" si="1"/>
        <v>1.1165116061955249E-3</v>
      </c>
      <c r="E60">
        <v>5810.79</v>
      </c>
      <c r="F60">
        <v>7.8265000000000002</v>
      </c>
      <c r="G60" s="43">
        <f t="shared" si="0"/>
        <v>742.45064843799912</v>
      </c>
      <c r="H60">
        <f t="shared" si="2"/>
        <v>1.4093539831334434E-2</v>
      </c>
      <c r="I60"/>
    </row>
    <row r="61" spans="1:9" x14ac:dyDescent="0.3">
      <c r="A61" s="16">
        <v>59</v>
      </c>
      <c r="B61" s="3">
        <v>45384</v>
      </c>
      <c r="C61" s="40">
        <v>5205.8100000000004</v>
      </c>
      <c r="D61" s="46">
        <f t="shared" si="1"/>
        <v>-9.2380598932313429E-3</v>
      </c>
      <c r="E61">
        <v>5960.72</v>
      </c>
      <c r="F61">
        <v>7.8291000000000004</v>
      </c>
      <c r="G61" s="43">
        <f t="shared" si="0"/>
        <v>761.35443409842765</v>
      </c>
      <c r="H61">
        <f t="shared" si="2"/>
        <v>2.5461336319389183E-2</v>
      </c>
      <c r="I61"/>
    </row>
    <row r="62" spans="1:9" x14ac:dyDescent="0.3">
      <c r="A62" s="16">
        <v>60</v>
      </c>
      <c r="B62" s="3">
        <v>45385</v>
      </c>
      <c r="C62" s="40">
        <v>5211.49</v>
      </c>
      <c r="D62" s="46">
        <f t="shared" si="1"/>
        <v>1.0910886106099138E-3</v>
      </c>
      <c r="E62">
        <v>5874.99</v>
      </c>
      <c r="F62">
        <v>7.8287000000000004</v>
      </c>
      <c r="G62" s="43">
        <f t="shared" si="0"/>
        <v>750.44260222003641</v>
      </c>
      <c r="H62">
        <f t="shared" si="2"/>
        <v>-1.4332131514164903E-2</v>
      </c>
      <c r="I62"/>
    </row>
    <row r="63" spans="1:9" x14ac:dyDescent="0.3">
      <c r="A63" s="16">
        <v>61</v>
      </c>
      <c r="B63" s="3">
        <v>45387</v>
      </c>
      <c r="C63" s="40">
        <v>5204.34</v>
      </c>
      <c r="D63" s="46">
        <f t="shared" si="1"/>
        <v>-1.3719684773452201E-3</v>
      </c>
      <c r="E63">
        <v>5863.57</v>
      </c>
      <c r="F63">
        <v>7.8282999999999996</v>
      </c>
      <c r="G63" s="43">
        <f t="shared" si="0"/>
        <v>749.02213762885935</v>
      </c>
      <c r="H63">
        <f t="shared" si="2"/>
        <v>-1.8928357571583732E-3</v>
      </c>
      <c r="I63"/>
    </row>
    <row r="64" spans="1:9" x14ac:dyDescent="0.3">
      <c r="A64" s="16">
        <v>62</v>
      </c>
      <c r="B64" s="3">
        <v>45390</v>
      </c>
      <c r="C64" s="40">
        <v>5202.3900000000003</v>
      </c>
      <c r="D64" s="46">
        <f t="shared" si="1"/>
        <v>-3.7468728023148934E-4</v>
      </c>
      <c r="E64">
        <v>5868.97</v>
      </c>
      <c r="F64">
        <v>7.8315999999999999</v>
      </c>
      <c r="G64" s="43">
        <f t="shared" si="0"/>
        <v>749.39603656979421</v>
      </c>
      <c r="H64">
        <f t="shared" si="2"/>
        <v>4.9918276396798689E-4</v>
      </c>
      <c r="I64"/>
    </row>
    <row r="65" spans="1:11" x14ac:dyDescent="0.3">
      <c r="A65" s="16">
        <v>63</v>
      </c>
      <c r="B65" s="3">
        <v>45391</v>
      </c>
      <c r="C65" s="40">
        <v>5209.91</v>
      </c>
      <c r="D65" s="46">
        <f t="shared" si="1"/>
        <v>1.4454894769517779E-3</v>
      </c>
      <c r="E65">
        <v>5895.32</v>
      </c>
      <c r="F65">
        <v>7.8304</v>
      </c>
      <c r="G65" s="43">
        <f t="shared" si="0"/>
        <v>752.87597057621576</v>
      </c>
      <c r="H65">
        <f t="shared" si="2"/>
        <v>4.6436514694556674E-3</v>
      </c>
      <c r="I65"/>
    </row>
    <row r="66" spans="1:11" x14ac:dyDescent="0.3">
      <c r="A66" s="16">
        <v>64</v>
      </c>
      <c r="B66" s="3">
        <v>45392</v>
      </c>
      <c r="C66" s="40">
        <v>5160.6400000000003</v>
      </c>
      <c r="D66" s="46">
        <f t="shared" si="1"/>
        <v>-9.4569771838668437E-3</v>
      </c>
      <c r="E66">
        <v>6016.83</v>
      </c>
      <c r="F66">
        <v>7.8353999999999999</v>
      </c>
      <c r="G66" s="43">
        <f t="shared" si="0"/>
        <v>767.90336166628379</v>
      </c>
      <c r="H66">
        <f t="shared" si="2"/>
        <v>1.9959982357474759E-2</v>
      </c>
      <c r="I66"/>
    </row>
    <row r="67" spans="1:11" x14ac:dyDescent="0.3">
      <c r="A67" s="16">
        <v>65</v>
      </c>
      <c r="B67" s="3">
        <v>45393</v>
      </c>
      <c r="C67" s="40">
        <v>5199.0600000000004</v>
      </c>
      <c r="D67" s="46">
        <f t="shared" si="1"/>
        <v>7.4448130464439544E-3</v>
      </c>
      <c r="E67">
        <v>6003.97</v>
      </c>
      <c r="F67">
        <v>7.8379000000000003</v>
      </c>
      <c r="G67" s="43">
        <f t="shared" ref="G67:G130" si="3">E67/F67</f>
        <v>766.01768330802895</v>
      </c>
      <c r="H67">
        <f t="shared" si="2"/>
        <v>-2.4556193557521144E-3</v>
      </c>
      <c r="I67"/>
    </row>
    <row r="68" spans="1:11" x14ac:dyDescent="0.3">
      <c r="A68" s="16">
        <v>66</v>
      </c>
      <c r="B68" s="3">
        <v>45394</v>
      </c>
      <c r="C68" s="40">
        <v>5123.41</v>
      </c>
      <c r="D68" s="46">
        <f t="shared" ref="D68:D131" si="4">$C68/$C67-1</f>
        <v>-1.4550707243232486E-2</v>
      </c>
      <c r="E68">
        <v>5879.58</v>
      </c>
      <c r="F68">
        <v>7.8372999999999999</v>
      </c>
      <c r="G68" s="43">
        <f t="shared" si="3"/>
        <v>750.20478991489415</v>
      </c>
      <c r="H68">
        <f t="shared" ref="H68:H131" si="5">$G68/$G67-1</f>
        <v>-2.0642987411004898E-2</v>
      </c>
      <c r="I68"/>
      <c r="K68" s="38"/>
    </row>
    <row r="69" spans="1:11" x14ac:dyDescent="0.3">
      <c r="A69" s="16">
        <v>67</v>
      </c>
      <c r="B69" s="3">
        <v>45397</v>
      </c>
      <c r="C69" s="40">
        <v>5061.82</v>
      </c>
      <c r="D69" s="46">
        <f t="shared" si="4"/>
        <v>-1.2021290507689297E-2</v>
      </c>
      <c r="E69">
        <v>5856.44</v>
      </c>
      <c r="F69">
        <v>7.8285999999999998</v>
      </c>
      <c r="G69" s="43">
        <f t="shared" si="3"/>
        <v>748.08267123112682</v>
      </c>
      <c r="H69">
        <f t="shared" si="5"/>
        <v>-2.8287191874741824E-3</v>
      </c>
      <c r="I69"/>
      <c r="K69" s="38"/>
    </row>
    <row r="70" spans="1:11" x14ac:dyDescent="0.3">
      <c r="A70" s="16">
        <v>68</v>
      </c>
      <c r="B70" s="3">
        <v>45398</v>
      </c>
      <c r="C70" s="40">
        <v>5051.41</v>
      </c>
      <c r="D70" s="46">
        <f t="shared" si="4"/>
        <v>-2.056572537150636E-3</v>
      </c>
      <c r="E70">
        <v>5743.78</v>
      </c>
      <c r="F70">
        <v>7.8315999999999999</v>
      </c>
      <c r="G70" s="43">
        <f t="shared" si="3"/>
        <v>733.41079728280295</v>
      </c>
      <c r="H70">
        <f t="shared" si="5"/>
        <v>-1.9612637095547503E-2</v>
      </c>
      <c r="I70"/>
      <c r="K70" s="38"/>
    </row>
    <row r="71" spans="1:11" x14ac:dyDescent="0.3">
      <c r="A71" s="16">
        <v>69</v>
      </c>
      <c r="B71" s="3">
        <v>45399</v>
      </c>
      <c r="C71" s="40">
        <v>5022.21</v>
      </c>
      <c r="D71" s="46">
        <f t="shared" si="4"/>
        <v>-5.780564238499708E-3</v>
      </c>
      <c r="E71">
        <v>5749.69</v>
      </c>
      <c r="F71">
        <v>7.8301999999999996</v>
      </c>
      <c r="G71" s="43">
        <f t="shared" si="3"/>
        <v>734.29669740236523</v>
      </c>
      <c r="H71">
        <f t="shared" si="5"/>
        <v>1.2079180219932706E-3</v>
      </c>
      <c r="I71"/>
      <c r="K71" s="38"/>
    </row>
    <row r="72" spans="1:11" x14ac:dyDescent="0.3">
      <c r="A72" s="16">
        <v>70</v>
      </c>
      <c r="B72" s="3">
        <v>45400</v>
      </c>
      <c r="C72" s="40">
        <v>5011.12</v>
      </c>
      <c r="D72" s="46">
        <f t="shared" si="4"/>
        <v>-2.2081912146246774E-3</v>
      </c>
      <c r="E72">
        <v>5803.86</v>
      </c>
      <c r="F72">
        <v>7.8311999999999999</v>
      </c>
      <c r="G72" s="43">
        <f t="shared" si="3"/>
        <v>741.12013484523436</v>
      </c>
      <c r="H72">
        <f t="shared" si="5"/>
        <v>9.2924800928666507E-3</v>
      </c>
      <c r="I72"/>
      <c r="K72" s="38"/>
    </row>
    <row r="73" spans="1:11" x14ac:dyDescent="0.3">
      <c r="A73" s="16">
        <v>71</v>
      </c>
      <c r="B73" s="3">
        <v>45401</v>
      </c>
      <c r="C73" s="40">
        <v>4967.2299999999996</v>
      </c>
      <c r="D73" s="46">
        <f t="shared" si="4"/>
        <v>-8.7585210491867294E-3</v>
      </c>
      <c r="E73">
        <v>5746.61</v>
      </c>
      <c r="F73">
        <v>7.8320999999999996</v>
      </c>
      <c r="G73" s="43">
        <f t="shared" si="3"/>
        <v>733.72530994241652</v>
      </c>
      <c r="H73">
        <f t="shared" si="5"/>
        <v>-9.9779031160205367E-3</v>
      </c>
      <c r="I73"/>
      <c r="K73" s="38"/>
    </row>
    <row r="74" spans="1:11" x14ac:dyDescent="0.3">
      <c r="A74" s="16">
        <v>72</v>
      </c>
      <c r="B74" s="3">
        <v>45404</v>
      </c>
      <c r="C74" s="40">
        <v>5010.6000000000004</v>
      </c>
      <c r="D74" s="46">
        <f t="shared" si="4"/>
        <v>8.7312244450128418E-3</v>
      </c>
      <c r="E74">
        <v>5831.26</v>
      </c>
      <c r="F74">
        <v>7.8354999999999997</v>
      </c>
      <c r="G74" s="43">
        <f t="shared" si="3"/>
        <v>744.21032480377778</v>
      </c>
      <c r="H74">
        <f t="shared" si="5"/>
        <v>1.429010928106611E-2</v>
      </c>
      <c r="I74"/>
      <c r="K74" s="38"/>
    </row>
    <row r="75" spans="1:11" x14ac:dyDescent="0.3">
      <c r="A75" s="16">
        <v>73</v>
      </c>
      <c r="B75" s="3">
        <v>45405</v>
      </c>
      <c r="C75" s="40">
        <v>5070.55</v>
      </c>
      <c r="D75" s="46">
        <f t="shared" si="4"/>
        <v>1.1964634973855359E-2</v>
      </c>
      <c r="E75">
        <v>5954.62</v>
      </c>
      <c r="F75">
        <v>7.8345000000000002</v>
      </c>
      <c r="G75" s="43">
        <f t="shared" si="3"/>
        <v>760.0510562256685</v>
      </c>
      <c r="H75">
        <f t="shared" si="5"/>
        <v>2.1285288437871808E-2</v>
      </c>
      <c r="I75"/>
      <c r="K75" s="38"/>
    </row>
    <row r="76" spans="1:11" x14ac:dyDescent="0.3">
      <c r="A76" s="16">
        <v>74</v>
      </c>
      <c r="B76" s="3">
        <v>45406</v>
      </c>
      <c r="C76" s="40">
        <v>5071.63</v>
      </c>
      <c r="D76" s="46">
        <f t="shared" si="4"/>
        <v>2.129946455513565E-4</v>
      </c>
      <c r="E76">
        <v>6100.22</v>
      </c>
      <c r="F76">
        <v>7.8315999999999999</v>
      </c>
      <c r="G76" s="43">
        <f t="shared" si="3"/>
        <v>778.923846978906</v>
      </c>
      <c r="H76">
        <f t="shared" si="5"/>
        <v>2.4830951287611924E-2</v>
      </c>
      <c r="I76"/>
      <c r="K76" s="38"/>
    </row>
    <row r="77" spans="1:11" x14ac:dyDescent="0.3">
      <c r="A77" s="16">
        <v>75</v>
      </c>
      <c r="B77" s="3">
        <v>45407</v>
      </c>
      <c r="C77" s="40">
        <v>5048.42</v>
      </c>
      <c r="D77" s="46">
        <f t="shared" si="4"/>
        <v>-4.5764379499293462E-3</v>
      </c>
      <c r="E77">
        <v>6120.37</v>
      </c>
      <c r="F77">
        <v>7.8277000000000001</v>
      </c>
      <c r="G77" s="43">
        <f t="shared" si="3"/>
        <v>781.88612236033566</v>
      </c>
      <c r="H77">
        <f t="shared" si="5"/>
        <v>3.8030359359506605E-3</v>
      </c>
      <c r="I77"/>
      <c r="K77" s="38"/>
    </row>
    <row r="78" spans="1:11" x14ac:dyDescent="0.3">
      <c r="A78" s="16">
        <v>76</v>
      </c>
      <c r="B78" s="3">
        <v>45408</v>
      </c>
      <c r="C78" s="40">
        <v>5099.96</v>
      </c>
      <c r="D78" s="46">
        <f t="shared" si="4"/>
        <v>1.0209134739185721E-2</v>
      </c>
      <c r="E78">
        <v>6269.76</v>
      </c>
      <c r="F78">
        <v>7.8282999999999996</v>
      </c>
      <c r="G78" s="43">
        <f t="shared" si="3"/>
        <v>800.90952058556786</v>
      </c>
      <c r="H78">
        <f t="shared" si="5"/>
        <v>2.4330139237930037E-2</v>
      </c>
      <c r="I78"/>
      <c r="K78" s="38"/>
    </row>
    <row r="79" spans="1:11" x14ac:dyDescent="0.3">
      <c r="A79" s="16">
        <v>77</v>
      </c>
      <c r="B79" s="3">
        <v>45411</v>
      </c>
      <c r="C79" s="40">
        <v>5116.17</v>
      </c>
      <c r="D79" s="46">
        <f t="shared" si="4"/>
        <v>3.178456301617949E-3</v>
      </c>
      <c r="E79">
        <v>6282.86</v>
      </c>
      <c r="F79">
        <v>7.8246000000000002</v>
      </c>
      <c r="G79" s="43">
        <f t="shared" si="3"/>
        <v>802.96245175472222</v>
      </c>
      <c r="H79">
        <f t="shared" si="5"/>
        <v>2.5632498008680837E-3</v>
      </c>
      <c r="I79"/>
      <c r="K79" s="38"/>
    </row>
    <row r="80" spans="1:11" x14ac:dyDescent="0.3">
      <c r="A80" s="16">
        <v>78</v>
      </c>
      <c r="B80" s="3">
        <v>45412</v>
      </c>
      <c r="C80" s="40">
        <v>5035.6899999999996</v>
      </c>
      <c r="D80" s="46">
        <f t="shared" si="4"/>
        <v>-1.5730517164206925E-2</v>
      </c>
      <c r="E80">
        <v>6273.75</v>
      </c>
      <c r="F80">
        <v>7.8235000000000001</v>
      </c>
      <c r="G80" s="43">
        <f t="shared" si="3"/>
        <v>801.91090943950917</v>
      </c>
      <c r="H80">
        <f t="shared" si="5"/>
        <v>-1.3095784403306387E-3</v>
      </c>
      <c r="I80"/>
      <c r="K80" s="38"/>
    </row>
    <row r="81" spans="1:11" x14ac:dyDescent="0.3">
      <c r="A81" s="16">
        <v>79</v>
      </c>
      <c r="B81" s="3">
        <v>45414</v>
      </c>
      <c r="C81" s="40">
        <v>5064.2</v>
      </c>
      <c r="D81" s="46">
        <f t="shared" si="4"/>
        <v>5.6615875877983335E-3</v>
      </c>
      <c r="E81">
        <v>6437.09</v>
      </c>
      <c r="F81">
        <v>7.8127000000000004</v>
      </c>
      <c r="G81" s="43">
        <f t="shared" si="3"/>
        <v>823.92642748345645</v>
      </c>
      <c r="H81">
        <f t="shared" si="5"/>
        <v>2.7453820349363944E-2</v>
      </c>
      <c r="I81"/>
      <c r="K81" s="38"/>
    </row>
    <row r="82" spans="1:11" x14ac:dyDescent="0.3">
      <c r="A82" s="16">
        <v>80</v>
      </c>
      <c r="B82" s="3">
        <v>45415</v>
      </c>
      <c r="C82" s="40">
        <v>5127.79</v>
      </c>
      <c r="D82" s="46">
        <f t="shared" si="4"/>
        <v>1.2556771059594851E-2</v>
      </c>
      <c r="E82">
        <v>6547.29</v>
      </c>
      <c r="F82">
        <v>7.8105000000000002</v>
      </c>
      <c r="G82" s="43">
        <f t="shared" si="3"/>
        <v>838.26771653543301</v>
      </c>
      <c r="H82">
        <f t="shared" si="5"/>
        <v>1.7406031137731093E-2</v>
      </c>
      <c r="I82"/>
      <c r="K82" s="38"/>
    </row>
    <row r="83" spans="1:11" x14ac:dyDescent="0.3">
      <c r="A83" s="16">
        <v>81</v>
      </c>
      <c r="B83" s="3">
        <v>45418</v>
      </c>
      <c r="C83" s="40">
        <v>5180.74</v>
      </c>
      <c r="D83" s="46">
        <f t="shared" si="4"/>
        <v>1.0326085896653403E-2</v>
      </c>
      <c r="E83">
        <v>6572.45</v>
      </c>
      <c r="F83">
        <v>7.8182</v>
      </c>
      <c r="G83" s="43">
        <f t="shared" si="3"/>
        <v>840.66025427847842</v>
      </c>
      <c r="H83">
        <f t="shared" si="5"/>
        <v>2.8541451565542442E-3</v>
      </c>
      <c r="I83"/>
      <c r="K83" s="38"/>
    </row>
    <row r="84" spans="1:11" x14ac:dyDescent="0.3">
      <c r="A84" s="16">
        <v>82</v>
      </c>
      <c r="B84" s="3">
        <v>45419</v>
      </c>
      <c r="C84" s="40">
        <v>5187.7</v>
      </c>
      <c r="D84" s="46">
        <f t="shared" si="4"/>
        <v>1.3434374239973401E-3</v>
      </c>
      <c r="E84">
        <v>6526.67</v>
      </c>
      <c r="F84">
        <v>7.8212999999999999</v>
      </c>
      <c r="G84" s="43">
        <f t="shared" si="3"/>
        <v>834.47380870187817</v>
      </c>
      <c r="H84">
        <f t="shared" si="5"/>
        <v>-7.3590318385040598E-3</v>
      </c>
      <c r="I84"/>
      <c r="K84" s="38"/>
    </row>
    <row r="85" spans="1:11" x14ac:dyDescent="0.3">
      <c r="A85" s="16">
        <v>83</v>
      </c>
      <c r="B85" s="3">
        <v>45420</v>
      </c>
      <c r="C85" s="40">
        <v>5187.67</v>
      </c>
      <c r="D85" s="46">
        <f t="shared" si="4"/>
        <v>-5.7829095745365322E-6</v>
      </c>
      <c r="E85">
        <v>6456.72</v>
      </c>
      <c r="F85">
        <v>7.8170000000000002</v>
      </c>
      <c r="G85" s="43">
        <f t="shared" si="3"/>
        <v>825.98439298963797</v>
      </c>
      <c r="H85">
        <f t="shared" si="5"/>
        <v>-1.0173375873170243E-2</v>
      </c>
      <c r="I85"/>
      <c r="K85" s="38"/>
    </row>
    <row r="86" spans="1:11" x14ac:dyDescent="0.3">
      <c r="A86" s="16">
        <v>84</v>
      </c>
      <c r="B86" s="3">
        <v>45421</v>
      </c>
      <c r="C86" s="40">
        <v>5214.08</v>
      </c>
      <c r="D86" s="46">
        <f t="shared" si="4"/>
        <v>5.0909175024624886E-3</v>
      </c>
      <c r="E86">
        <v>6560.67</v>
      </c>
      <c r="F86">
        <v>7.8136000000000001</v>
      </c>
      <c r="G86" s="43">
        <f t="shared" si="3"/>
        <v>839.64753762670216</v>
      </c>
      <c r="H86">
        <f t="shared" si="5"/>
        <v>1.654164988228235E-2</v>
      </c>
      <c r="I86"/>
      <c r="K86" s="38"/>
    </row>
    <row r="87" spans="1:11" x14ac:dyDescent="0.3">
      <c r="A87" s="16">
        <v>85</v>
      </c>
      <c r="B87" s="3">
        <v>45422</v>
      </c>
      <c r="C87" s="40">
        <v>5222.68</v>
      </c>
      <c r="D87" s="46">
        <f t="shared" si="4"/>
        <v>1.6493801399288799E-3</v>
      </c>
      <c r="E87">
        <v>6718.86</v>
      </c>
      <c r="F87">
        <v>7.8132000000000001</v>
      </c>
      <c r="G87" s="43">
        <f t="shared" si="3"/>
        <v>859.93702964214401</v>
      </c>
      <c r="H87">
        <f t="shared" si="5"/>
        <v>2.41642964532367E-2</v>
      </c>
      <c r="I87"/>
      <c r="K87" s="38"/>
    </row>
    <row r="88" spans="1:11" x14ac:dyDescent="0.3">
      <c r="A88" s="16">
        <v>86</v>
      </c>
      <c r="B88" s="3">
        <v>45425</v>
      </c>
      <c r="C88" s="40">
        <v>5221.42</v>
      </c>
      <c r="D88" s="46">
        <f t="shared" si="4"/>
        <v>-2.4125544739483917E-4</v>
      </c>
      <c r="E88">
        <v>6761.64</v>
      </c>
      <c r="F88">
        <v>7.8117000000000001</v>
      </c>
      <c r="G88" s="43">
        <f t="shared" si="3"/>
        <v>865.57855524405704</v>
      </c>
      <c r="H88">
        <f t="shared" si="5"/>
        <v>6.5603938514668947E-3</v>
      </c>
      <c r="I88"/>
      <c r="K88" s="38"/>
    </row>
    <row r="89" spans="1:11" x14ac:dyDescent="0.3">
      <c r="A89" s="16">
        <v>87</v>
      </c>
      <c r="B89" s="3">
        <v>45426</v>
      </c>
      <c r="C89" s="40">
        <v>5246.68</v>
      </c>
      <c r="D89" s="46">
        <f t="shared" si="4"/>
        <v>4.8377644395585229E-3</v>
      </c>
      <c r="E89">
        <v>6741.41</v>
      </c>
      <c r="F89">
        <v>7.8112000000000004</v>
      </c>
      <c r="G89" s="43">
        <f t="shared" si="3"/>
        <v>863.04409053666529</v>
      </c>
      <c r="H89">
        <f t="shared" si="5"/>
        <v>-2.9280585708100215E-3</v>
      </c>
      <c r="I89"/>
      <c r="K89" s="38"/>
    </row>
    <row r="90" spans="1:11" x14ac:dyDescent="0.3">
      <c r="A90" s="16">
        <v>88</v>
      </c>
      <c r="B90" s="3">
        <v>45428</v>
      </c>
      <c r="C90" s="40">
        <v>5297.1</v>
      </c>
      <c r="D90" s="46">
        <f t="shared" si="4"/>
        <v>9.6098866330709409E-3</v>
      </c>
      <c r="E90">
        <v>6871.38</v>
      </c>
      <c r="F90">
        <v>7.8011999999999997</v>
      </c>
      <c r="G90" s="43">
        <f t="shared" si="3"/>
        <v>880.81064451622831</v>
      </c>
      <c r="H90">
        <f t="shared" si="5"/>
        <v>2.0585916958790973E-2</v>
      </c>
      <c r="I90"/>
      <c r="K90" s="38"/>
    </row>
    <row r="91" spans="1:11" x14ac:dyDescent="0.3">
      <c r="A91" s="16">
        <v>89</v>
      </c>
      <c r="B91" s="3">
        <v>45429</v>
      </c>
      <c r="C91" s="40">
        <v>5303.27</v>
      </c>
      <c r="D91" s="46">
        <f t="shared" si="4"/>
        <v>1.1647882803798026E-3</v>
      </c>
      <c r="E91">
        <v>6934.7</v>
      </c>
      <c r="F91">
        <v>7.8021000000000003</v>
      </c>
      <c r="G91" s="43">
        <f t="shared" si="3"/>
        <v>888.82480357852364</v>
      </c>
      <c r="H91">
        <f t="shared" si="5"/>
        <v>9.0986174068059533E-3</v>
      </c>
      <c r="I91"/>
      <c r="K91" s="38"/>
    </row>
    <row r="92" spans="1:11" x14ac:dyDescent="0.3">
      <c r="A92" s="16">
        <v>90</v>
      </c>
      <c r="B92" s="3">
        <v>45432</v>
      </c>
      <c r="C92" s="40">
        <v>5308.13</v>
      </c>
      <c r="D92" s="46">
        <f t="shared" si="4"/>
        <v>9.1641572086653689E-4</v>
      </c>
      <c r="E92">
        <v>6964.99</v>
      </c>
      <c r="F92">
        <v>7.7983000000000002</v>
      </c>
      <c r="G92" s="43">
        <f t="shared" si="3"/>
        <v>893.1420950720028</v>
      </c>
      <c r="H92">
        <f t="shared" si="5"/>
        <v>4.8573031221643692E-3</v>
      </c>
      <c r="I92"/>
      <c r="K92" s="38"/>
    </row>
    <row r="93" spans="1:11" x14ac:dyDescent="0.3">
      <c r="A93" s="16">
        <v>91</v>
      </c>
      <c r="B93" s="3">
        <v>45433</v>
      </c>
      <c r="C93" s="40">
        <v>5321.41</v>
      </c>
      <c r="D93" s="46">
        <f t="shared" si="4"/>
        <v>2.5018226757822504E-3</v>
      </c>
      <c r="E93">
        <v>6820.97</v>
      </c>
      <c r="F93">
        <v>7.8044000000000002</v>
      </c>
      <c r="G93" s="43">
        <f t="shared" si="3"/>
        <v>873.99031315668083</v>
      </c>
      <c r="H93">
        <f t="shared" si="5"/>
        <v>-2.1443152238589724E-2</v>
      </c>
      <c r="I93"/>
      <c r="K93" s="38"/>
    </row>
    <row r="94" spans="1:11" x14ac:dyDescent="0.3">
      <c r="A94" s="16">
        <v>92</v>
      </c>
      <c r="B94" s="3">
        <v>45434</v>
      </c>
      <c r="C94" s="40">
        <v>5307.01</v>
      </c>
      <c r="D94" s="46">
        <f t="shared" si="4"/>
        <v>-2.7060497123881921E-3</v>
      </c>
      <c r="E94">
        <v>6817.68</v>
      </c>
      <c r="F94">
        <v>7.8078000000000003</v>
      </c>
      <c r="G94" s="43">
        <f t="shared" si="3"/>
        <v>873.18835011142698</v>
      </c>
      <c r="H94">
        <f t="shared" si="5"/>
        <v>-9.175880249259194E-4</v>
      </c>
      <c r="I94"/>
      <c r="K94" s="38"/>
    </row>
    <row r="95" spans="1:11" x14ac:dyDescent="0.3">
      <c r="A95" s="16">
        <v>93</v>
      </c>
      <c r="B95" s="3">
        <v>45435</v>
      </c>
      <c r="C95" s="40">
        <v>5267.84</v>
      </c>
      <c r="D95" s="46">
        <f t="shared" si="4"/>
        <v>-7.3808038801509435E-3</v>
      </c>
      <c r="E95">
        <v>6701.78</v>
      </c>
      <c r="F95">
        <v>7.8091999999999997</v>
      </c>
      <c r="G95" s="43">
        <f t="shared" si="3"/>
        <v>858.19033959944682</v>
      </c>
      <c r="H95">
        <f t="shared" si="5"/>
        <v>-1.717614591407024E-2</v>
      </c>
      <c r="I95"/>
      <c r="K95" s="38"/>
    </row>
    <row r="96" spans="1:11" x14ac:dyDescent="0.3">
      <c r="A96" s="16">
        <v>94</v>
      </c>
      <c r="B96" s="3">
        <v>45436</v>
      </c>
      <c r="C96" s="40">
        <v>5304.72</v>
      </c>
      <c r="D96" s="46">
        <f t="shared" si="4"/>
        <v>7.0009719353663069E-3</v>
      </c>
      <c r="E96">
        <v>6605.24</v>
      </c>
      <c r="F96">
        <v>7.8122999999999996</v>
      </c>
      <c r="G96" s="43">
        <f t="shared" si="3"/>
        <v>845.49236460453392</v>
      </c>
      <c r="H96">
        <f t="shared" si="5"/>
        <v>-1.4796222246966306E-2</v>
      </c>
      <c r="I96"/>
      <c r="K96" s="38"/>
    </row>
    <row r="97" spans="1:11" x14ac:dyDescent="0.3">
      <c r="A97" s="16">
        <v>95</v>
      </c>
      <c r="B97" s="3">
        <v>45440</v>
      </c>
      <c r="C97" s="40">
        <v>5306.04</v>
      </c>
      <c r="D97" s="46">
        <f t="shared" si="4"/>
        <v>2.4883499977379486E-4</v>
      </c>
      <c r="E97">
        <v>6686.13</v>
      </c>
      <c r="F97">
        <v>7.8113999999999999</v>
      </c>
      <c r="G97" s="43">
        <f t="shared" si="3"/>
        <v>855.94515707811661</v>
      </c>
      <c r="H97">
        <f t="shared" si="5"/>
        <v>1.2362964955303646E-2</v>
      </c>
      <c r="I97"/>
      <c r="K97" s="38"/>
    </row>
    <row r="98" spans="1:11" x14ac:dyDescent="0.3">
      <c r="A98" s="16">
        <v>96</v>
      </c>
      <c r="B98" s="3">
        <v>45441</v>
      </c>
      <c r="C98" s="40">
        <v>5266.95</v>
      </c>
      <c r="D98" s="46">
        <f t="shared" si="4"/>
        <v>-7.3670760114887823E-3</v>
      </c>
      <c r="E98">
        <v>6557.48</v>
      </c>
      <c r="F98">
        <v>7.8135000000000003</v>
      </c>
      <c r="G98" s="43">
        <f t="shared" si="3"/>
        <v>839.25001599795212</v>
      </c>
      <c r="H98">
        <f t="shared" si="5"/>
        <v>-1.9504919143599753E-2</v>
      </c>
      <c r="I98"/>
      <c r="K98" s="38"/>
    </row>
    <row r="99" spans="1:11" x14ac:dyDescent="0.3">
      <c r="A99" s="16">
        <v>97</v>
      </c>
      <c r="B99" s="3">
        <v>45442</v>
      </c>
      <c r="C99" s="40">
        <v>5235.4799999999996</v>
      </c>
      <c r="D99" s="46">
        <f t="shared" si="4"/>
        <v>-5.9749950160910004E-3</v>
      </c>
      <c r="E99">
        <v>6462.95</v>
      </c>
      <c r="F99">
        <v>7.8173000000000004</v>
      </c>
      <c r="G99" s="43">
        <f t="shared" si="3"/>
        <v>826.74964501810086</v>
      </c>
      <c r="H99">
        <f t="shared" si="5"/>
        <v>-1.4894692572614443E-2</v>
      </c>
      <c r="I99"/>
      <c r="K99" s="38"/>
    </row>
    <row r="100" spans="1:11" x14ac:dyDescent="0.3">
      <c r="A100" s="16">
        <v>98</v>
      </c>
      <c r="B100" s="3">
        <v>45443</v>
      </c>
      <c r="C100" s="40">
        <v>5277.51</v>
      </c>
      <c r="D100" s="46">
        <f t="shared" si="4"/>
        <v>8.0279172110295782E-3</v>
      </c>
      <c r="E100">
        <v>6392.58</v>
      </c>
      <c r="F100">
        <v>7.8186999999999998</v>
      </c>
      <c r="G100" s="43">
        <f t="shared" si="3"/>
        <v>817.60139153567729</v>
      </c>
      <c r="H100">
        <f t="shared" si="5"/>
        <v>-1.1065324959677825E-2</v>
      </c>
      <c r="I100"/>
      <c r="K100" s="38"/>
    </row>
    <row r="101" spans="1:11" x14ac:dyDescent="0.3">
      <c r="A101" s="16">
        <v>99</v>
      </c>
      <c r="B101" s="3">
        <v>45446</v>
      </c>
      <c r="C101" s="40">
        <v>5283.4</v>
      </c>
      <c r="D101" s="46">
        <f t="shared" si="4"/>
        <v>1.116056625188655E-3</v>
      </c>
      <c r="E101">
        <v>6531.99</v>
      </c>
      <c r="F101">
        <v>7.8194999999999997</v>
      </c>
      <c r="G101" s="43">
        <f t="shared" si="3"/>
        <v>835.34624976021485</v>
      </c>
      <c r="H101">
        <f t="shared" si="5"/>
        <v>2.1703556779921751E-2</v>
      </c>
      <c r="I101"/>
      <c r="K101" s="38"/>
    </row>
    <row r="102" spans="1:11" x14ac:dyDescent="0.3">
      <c r="A102" s="16">
        <v>100</v>
      </c>
      <c r="B102" s="3">
        <v>45447</v>
      </c>
      <c r="C102" s="40">
        <v>5291.34</v>
      </c>
      <c r="D102" s="46">
        <f t="shared" si="4"/>
        <v>1.5028201536890773E-3</v>
      </c>
      <c r="E102">
        <v>6554.32</v>
      </c>
      <c r="F102">
        <v>7.8132999999999999</v>
      </c>
      <c r="G102" s="43">
        <f t="shared" si="3"/>
        <v>838.86706001305458</v>
      </c>
      <c r="H102">
        <f t="shared" si="5"/>
        <v>4.2147914758106086E-3</v>
      </c>
      <c r="I102"/>
      <c r="K102" s="38"/>
    </row>
    <row r="103" spans="1:11" x14ac:dyDescent="0.3">
      <c r="A103" s="16">
        <v>101</v>
      </c>
      <c r="B103" s="3">
        <v>45448</v>
      </c>
      <c r="C103" s="40">
        <v>5354.03</v>
      </c>
      <c r="D103" s="46">
        <f t="shared" si="4"/>
        <v>1.1847660516995706E-2</v>
      </c>
      <c r="E103">
        <v>6542.47</v>
      </c>
      <c r="F103">
        <v>7.8116000000000003</v>
      </c>
      <c r="G103" s="43">
        <f t="shared" si="3"/>
        <v>837.5326437605612</v>
      </c>
      <c r="H103">
        <f t="shared" si="5"/>
        <v>-1.5907362633509337E-3</v>
      </c>
      <c r="I103"/>
      <c r="K103" s="38"/>
    </row>
    <row r="104" spans="1:11" x14ac:dyDescent="0.3">
      <c r="A104" s="16">
        <v>102</v>
      </c>
      <c r="B104" s="3">
        <v>45449</v>
      </c>
      <c r="C104" s="40">
        <v>5352.96</v>
      </c>
      <c r="D104" s="46">
        <f t="shared" si="4"/>
        <v>-1.9984945919238051E-4</v>
      </c>
      <c r="E104">
        <v>6555.06</v>
      </c>
      <c r="F104">
        <v>7.8094000000000001</v>
      </c>
      <c r="G104" s="43">
        <f t="shared" si="3"/>
        <v>839.38074628012396</v>
      </c>
      <c r="H104">
        <f t="shared" si="5"/>
        <v>2.206603567431964E-3</v>
      </c>
      <c r="I104"/>
      <c r="K104" s="38"/>
    </row>
    <row r="105" spans="1:11" x14ac:dyDescent="0.3">
      <c r="A105" s="16">
        <v>103</v>
      </c>
      <c r="B105" s="3">
        <v>45450</v>
      </c>
      <c r="C105" s="40">
        <v>5346.99</v>
      </c>
      <c r="D105" s="46">
        <f t="shared" si="4"/>
        <v>-1.1152708034434244E-3</v>
      </c>
      <c r="E105">
        <v>6510.37</v>
      </c>
      <c r="F105">
        <v>7.8117999999999999</v>
      </c>
      <c r="G105" s="43">
        <f t="shared" si="3"/>
        <v>833.40203282214088</v>
      </c>
      <c r="H105">
        <f t="shared" si="5"/>
        <v>-7.1227669737230492E-3</v>
      </c>
      <c r="I105"/>
      <c r="K105" s="38"/>
    </row>
    <row r="106" spans="1:11" x14ac:dyDescent="0.3">
      <c r="A106" s="16">
        <v>104</v>
      </c>
      <c r="B106" s="3">
        <v>45454</v>
      </c>
      <c r="C106" s="40">
        <v>5375.32</v>
      </c>
      <c r="D106" s="46">
        <f t="shared" si="4"/>
        <v>5.2983080200261767E-3</v>
      </c>
      <c r="E106">
        <v>6452.06</v>
      </c>
      <c r="F106">
        <v>7.8121</v>
      </c>
      <c r="G106" s="43">
        <f t="shared" si="3"/>
        <v>825.90596638547902</v>
      </c>
      <c r="H106">
        <f t="shared" si="5"/>
        <v>-8.9945382197809121E-3</v>
      </c>
      <c r="I106"/>
      <c r="K106" s="38"/>
    </row>
    <row r="107" spans="1:11" x14ac:dyDescent="0.3">
      <c r="A107" s="16">
        <v>105</v>
      </c>
      <c r="B107" s="3">
        <v>45455</v>
      </c>
      <c r="C107" s="40">
        <v>5421.03</v>
      </c>
      <c r="D107" s="46">
        <f t="shared" si="4"/>
        <v>8.503679780924589E-3</v>
      </c>
      <c r="E107">
        <v>6359.36</v>
      </c>
      <c r="F107">
        <v>7.8093000000000004</v>
      </c>
      <c r="G107" s="43">
        <f t="shared" si="3"/>
        <v>814.33163023574446</v>
      </c>
      <c r="H107">
        <f t="shared" si="5"/>
        <v>-1.4014108894731536E-2</v>
      </c>
      <c r="I107"/>
      <c r="K107" s="38"/>
    </row>
    <row r="108" spans="1:11" x14ac:dyDescent="0.3">
      <c r="A108" s="16">
        <v>106</v>
      </c>
      <c r="B108" s="3">
        <v>45456</v>
      </c>
      <c r="C108" s="40">
        <v>5433.74</v>
      </c>
      <c r="D108" s="46">
        <f t="shared" si="4"/>
        <v>2.3445728948188194E-3</v>
      </c>
      <c r="E108">
        <v>6421.81</v>
      </c>
      <c r="F108">
        <v>7.8101000000000003</v>
      </c>
      <c r="G108" s="43">
        <f t="shared" si="3"/>
        <v>822.24427344080107</v>
      </c>
      <c r="H108">
        <f t="shared" si="5"/>
        <v>9.7167332217784619E-3</v>
      </c>
      <c r="I108"/>
      <c r="K108" s="38"/>
    </row>
    <row r="109" spans="1:11" x14ac:dyDescent="0.3">
      <c r="A109" s="16">
        <v>107</v>
      </c>
      <c r="B109" s="3">
        <v>45457</v>
      </c>
      <c r="C109" s="40">
        <v>5431.6</v>
      </c>
      <c r="D109" s="46">
        <f t="shared" si="4"/>
        <v>-3.9383555341243603E-4</v>
      </c>
      <c r="E109">
        <v>6374.66</v>
      </c>
      <c r="F109">
        <v>7.8106</v>
      </c>
      <c r="G109" s="43">
        <f t="shared" si="3"/>
        <v>816.1549688884337</v>
      </c>
      <c r="H109">
        <f t="shared" si="5"/>
        <v>-7.4057123279019921E-3</v>
      </c>
      <c r="I109"/>
      <c r="K109" s="38"/>
    </row>
    <row r="110" spans="1:11" x14ac:dyDescent="0.3">
      <c r="A110" s="16">
        <v>108</v>
      </c>
      <c r="B110" s="3">
        <v>45460</v>
      </c>
      <c r="C110" s="40">
        <v>5473.23</v>
      </c>
      <c r="D110" s="46">
        <f t="shared" si="4"/>
        <v>7.6644082774870448E-3</v>
      </c>
      <c r="E110">
        <v>6373.48</v>
      </c>
      <c r="F110">
        <v>7.8101000000000003</v>
      </c>
      <c r="G110" s="43">
        <f t="shared" si="3"/>
        <v>816.05613244388667</v>
      </c>
      <c r="H110">
        <f t="shared" si="5"/>
        <v>-1.2110009534294086E-4</v>
      </c>
      <c r="I110"/>
      <c r="K110" s="38"/>
    </row>
    <row r="111" spans="1:11" x14ac:dyDescent="0.3">
      <c r="A111" s="16">
        <v>109</v>
      </c>
      <c r="B111" s="3">
        <v>45461</v>
      </c>
      <c r="C111" s="40">
        <v>5487.03</v>
      </c>
      <c r="D111" s="46">
        <f t="shared" si="4"/>
        <v>2.5213630708009749E-3</v>
      </c>
      <c r="E111">
        <v>6368.1</v>
      </c>
      <c r="F111">
        <v>7.8071000000000002</v>
      </c>
      <c r="G111" s="43">
        <f t="shared" si="3"/>
        <v>815.68059842963464</v>
      </c>
      <c r="H111">
        <f t="shared" si="5"/>
        <v>-4.6018159697835959E-4</v>
      </c>
      <c r="I111"/>
      <c r="K111" s="38"/>
    </row>
    <row r="112" spans="1:11" x14ac:dyDescent="0.3">
      <c r="A112" s="16">
        <v>110</v>
      </c>
      <c r="B112" s="3">
        <v>45463</v>
      </c>
      <c r="C112" s="40">
        <v>5473.17</v>
      </c>
      <c r="D112" s="46">
        <f t="shared" si="4"/>
        <v>-2.5259566650810417E-3</v>
      </c>
      <c r="E112">
        <v>6556.1</v>
      </c>
      <c r="F112">
        <v>7.8042999999999996</v>
      </c>
      <c r="G112" s="43">
        <f t="shared" si="3"/>
        <v>840.06252963110092</v>
      </c>
      <c r="H112">
        <f t="shared" si="5"/>
        <v>2.9891517891202701E-2</v>
      </c>
      <c r="I112"/>
      <c r="K112" s="38"/>
    </row>
    <row r="113" spans="1:11" x14ac:dyDescent="0.3">
      <c r="A113" s="16">
        <v>111</v>
      </c>
      <c r="B113" s="3">
        <v>45464</v>
      </c>
      <c r="C113" s="40">
        <v>5464.62</v>
      </c>
      <c r="D113" s="46">
        <f t="shared" si="4"/>
        <v>-1.5621659842468549E-3</v>
      </c>
      <c r="E113">
        <v>6439.82</v>
      </c>
      <c r="F113">
        <v>7.8056999999999999</v>
      </c>
      <c r="G113" s="43">
        <f t="shared" si="3"/>
        <v>825.01505310222012</v>
      </c>
      <c r="H113">
        <f t="shared" si="5"/>
        <v>-1.7912329139937566E-2</v>
      </c>
      <c r="I113"/>
      <c r="K113" s="38"/>
    </row>
    <row r="114" spans="1:11" x14ac:dyDescent="0.3">
      <c r="A114" s="16">
        <v>112</v>
      </c>
      <c r="B114" s="3">
        <v>45467</v>
      </c>
      <c r="C114" s="40">
        <v>5447.87</v>
      </c>
      <c r="D114" s="46">
        <f t="shared" si="4"/>
        <v>-3.0651719607218686E-3</v>
      </c>
      <c r="E114">
        <v>6441.16</v>
      </c>
      <c r="F114">
        <v>7.8075000000000001</v>
      </c>
      <c r="G114" s="43">
        <f t="shared" si="3"/>
        <v>824.99647774575726</v>
      </c>
      <c r="H114">
        <f t="shared" si="5"/>
        <v>-2.2515172775294801E-5</v>
      </c>
      <c r="I114"/>
      <c r="K114" s="38"/>
    </row>
    <row r="115" spans="1:11" x14ac:dyDescent="0.3">
      <c r="A115" s="16">
        <v>113</v>
      </c>
      <c r="B115" s="3">
        <v>45468</v>
      </c>
      <c r="C115" s="40">
        <v>5469.3</v>
      </c>
      <c r="D115" s="46">
        <f t="shared" si="4"/>
        <v>3.9336474622191364E-3</v>
      </c>
      <c r="E115">
        <v>6464.49</v>
      </c>
      <c r="F115">
        <v>7.8085000000000004</v>
      </c>
      <c r="G115" s="43">
        <f t="shared" si="3"/>
        <v>827.87859384004605</v>
      </c>
      <c r="H115">
        <f t="shared" si="5"/>
        <v>3.4934889687818771E-3</v>
      </c>
      <c r="I115"/>
      <c r="K115" s="38"/>
    </row>
    <row r="116" spans="1:11" x14ac:dyDescent="0.3">
      <c r="A116" s="16">
        <v>114</v>
      </c>
      <c r="B116" s="3">
        <v>45469</v>
      </c>
      <c r="C116" s="40">
        <v>5477.9</v>
      </c>
      <c r="D116" s="46">
        <f t="shared" si="4"/>
        <v>1.5724132887204867E-3</v>
      </c>
      <c r="E116">
        <v>6477.24</v>
      </c>
      <c r="F116">
        <v>7.8090999999999999</v>
      </c>
      <c r="G116" s="43">
        <f t="shared" si="3"/>
        <v>829.44769563714124</v>
      </c>
      <c r="H116">
        <f t="shared" si="5"/>
        <v>1.8953283836184998E-3</v>
      </c>
      <c r="I116"/>
      <c r="K116" s="38"/>
    </row>
    <row r="117" spans="1:11" x14ac:dyDescent="0.3">
      <c r="A117" s="16">
        <v>115</v>
      </c>
      <c r="B117" s="3">
        <v>45470</v>
      </c>
      <c r="C117" s="40">
        <v>5482.87</v>
      </c>
      <c r="D117" s="46">
        <f t="shared" si="4"/>
        <v>9.0728198762302092E-4</v>
      </c>
      <c r="E117">
        <v>6324.05</v>
      </c>
      <c r="F117">
        <v>7.8087</v>
      </c>
      <c r="G117" s="43">
        <f t="shared" si="3"/>
        <v>809.87232189737085</v>
      </c>
      <c r="H117">
        <f t="shared" si="5"/>
        <v>-2.3600492041554899E-2</v>
      </c>
      <c r="I117"/>
      <c r="K117" s="38"/>
    </row>
    <row r="118" spans="1:11" x14ac:dyDescent="0.3">
      <c r="A118" s="16">
        <v>116</v>
      </c>
      <c r="B118" s="3">
        <v>45471</v>
      </c>
      <c r="C118" s="40">
        <v>5460.48</v>
      </c>
      <c r="D118" s="46">
        <f t="shared" si="4"/>
        <v>-4.0836277351096184E-3</v>
      </c>
      <c r="E118">
        <v>6331.86</v>
      </c>
      <c r="F118">
        <v>7.8079999999999998</v>
      </c>
      <c r="G118" s="43">
        <f t="shared" si="3"/>
        <v>810.9451844262295</v>
      </c>
      <c r="H118">
        <f t="shared" si="5"/>
        <v>1.324730454234091E-3</v>
      </c>
      <c r="I118"/>
      <c r="K118" s="38"/>
    </row>
    <row r="119" spans="1:11" x14ac:dyDescent="0.3">
      <c r="A119" s="16">
        <v>117</v>
      </c>
      <c r="B119" s="3">
        <v>45475</v>
      </c>
      <c r="C119" s="40">
        <v>5509.01</v>
      </c>
      <c r="D119" s="46">
        <f t="shared" si="4"/>
        <v>8.8874970698546996E-3</v>
      </c>
      <c r="E119">
        <v>6374.91</v>
      </c>
      <c r="F119">
        <v>7.8133999999999997</v>
      </c>
      <c r="G119" s="43">
        <f t="shared" si="3"/>
        <v>815.89448895487237</v>
      </c>
      <c r="H119">
        <f t="shared" si="5"/>
        <v>6.1031307956340708E-3</v>
      </c>
      <c r="I119"/>
      <c r="K119" s="38"/>
    </row>
    <row r="120" spans="1:11" x14ac:dyDescent="0.3">
      <c r="A120" s="16">
        <v>118</v>
      </c>
      <c r="B120" s="3">
        <v>45476</v>
      </c>
      <c r="C120" s="40">
        <v>5537.02</v>
      </c>
      <c r="D120" s="46">
        <f t="shared" si="4"/>
        <v>5.0843981041965858E-3</v>
      </c>
      <c r="E120">
        <v>6455.7</v>
      </c>
      <c r="F120">
        <v>7.8097000000000003</v>
      </c>
      <c r="G120" s="43">
        <f t="shared" si="3"/>
        <v>826.62586270919496</v>
      </c>
      <c r="H120">
        <f t="shared" si="5"/>
        <v>1.3152894031762674E-2</v>
      </c>
      <c r="I120"/>
      <c r="K120" s="38"/>
    </row>
    <row r="121" spans="1:11" x14ac:dyDescent="0.3">
      <c r="A121" s="16">
        <v>119</v>
      </c>
      <c r="B121" s="3">
        <v>45478</v>
      </c>
      <c r="C121" s="40">
        <v>5567.19</v>
      </c>
      <c r="D121" s="46">
        <f t="shared" si="4"/>
        <v>5.4487793072806046E-3</v>
      </c>
      <c r="E121">
        <v>6382.27</v>
      </c>
      <c r="F121">
        <v>7.8129</v>
      </c>
      <c r="G121" s="43">
        <f t="shared" si="3"/>
        <v>816.88873529675288</v>
      </c>
      <c r="H121">
        <f t="shared" si="5"/>
        <v>-1.1779364585242313E-2</v>
      </c>
      <c r="I121"/>
      <c r="K121" s="38"/>
    </row>
    <row r="122" spans="1:11" x14ac:dyDescent="0.3">
      <c r="A122" s="16">
        <v>120</v>
      </c>
      <c r="B122" s="3">
        <v>45481</v>
      </c>
      <c r="C122" s="40">
        <v>5572.85</v>
      </c>
      <c r="D122" s="46">
        <f t="shared" si="4"/>
        <v>1.0166708878267539E-3</v>
      </c>
      <c r="E122">
        <v>6284.73</v>
      </c>
      <c r="F122">
        <v>7.8095999999999997</v>
      </c>
      <c r="G122" s="43">
        <f t="shared" si="3"/>
        <v>804.74416103257522</v>
      </c>
      <c r="H122">
        <f t="shared" si="5"/>
        <v>-1.4866864652951617E-2</v>
      </c>
      <c r="I122"/>
      <c r="K122" s="38"/>
    </row>
    <row r="123" spans="1:11" x14ac:dyDescent="0.3">
      <c r="A123" s="16">
        <v>121</v>
      </c>
      <c r="B123" s="3">
        <v>45482</v>
      </c>
      <c r="C123" s="40">
        <v>5576.98</v>
      </c>
      <c r="D123" s="46">
        <f t="shared" si="4"/>
        <v>7.410929775606423E-4</v>
      </c>
      <c r="E123">
        <v>6275.64</v>
      </c>
      <c r="F123">
        <v>7.8117999999999999</v>
      </c>
      <c r="G123" s="43">
        <f t="shared" si="3"/>
        <v>803.3539005094857</v>
      </c>
      <c r="H123">
        <f t="shared" si="5"/>
        <v>-1.7275807522550979E-3</v>
      </c>
      <c r="I123"/>
      <c r="K123" s="38"/>
    </row>
    <row r="124" spans="1:11" x14ac:dyDescent="0.3">
      <c r="A124" s="16">
        <v>122</v>
      </c>
      <c r="B124" s="3">
        <v>45483</v>
      </c>
      <c r="C124" s="40">
        <v>5633.91</v>
      </c>
      <c r="D124" s="46">
        <f t="shared" si="4"/>
        <v>1.0208033738690059E-2</v>
      </c>
      <c r="E124">
        <v>6251.18</v>
      </c>
      <c r="F124">
        <v>7.8108000000000004</v>
      </c>
      <c r="G124" s="43">
        <f t="shared" si="3"/>
        <v>800.3251907615097</v>
      </c>
      <c r="H124">
        <f t="shared" si="5"/>
        <v>-3.770081586776608E-3</v>
      </c>
      <c r="I124"/>
      <c r="K124" s="38"/>
    </row>
    <row r="125" spans="1:11" x14ac:dyDescent="0.3">
      <c r="A125" s="16">
        <v>123</v>
      </c>
      <c r="B125" s="3">
        <v>45484</v>
      </c>
      <c r="C125" s="40">
        <v>5584.54</v>
      </c>
      <c r="D125" s="46">
        <f t="shared" si="4"/>
        <v>-8.763008283767415E-3</v>
      </c>
      <c r="E125">
        <v>6371.78</v>
      </c>
      <c r="F125">
        <v>7.8074000000000003</v>
      </c>
      <c r="G125" s="43">
        <f t="shared" si="3"/>
        <v>816.12060352998435</v>
      </c>
      <c r="H125">
        <f t="shared" si="5"/>
        <v>1.9736243405565235E-2</v>
      </c>
      <c r="I125"/>
      <c r="K125" s="38"/>
    </row>
    <row r="126" spans="1:11" x14ac:dyDescent="0.3">
      <c r="A126" s="16">
        <v>124</v>
      </c>
      <c r="B126" s="3">
        <v>45485</v>
      </c>
      <c r="C126" s="40">
        <v>5615.35</v>
      </c>
      <c r="D126" s="46">
        <f t="shared" si="4"/>
        <v>5.5170166208855509E-3</v>
      </c>
      <c r="E126">
        <v>6532.63</v>
      </c>
      <c r="F126">
        <v>7.8072999999999997</v>
      </c>
      <c r="G126" s="43">
        <f t="shared" si="3"/>
        <v>836.73356986410158</v>
      </c>
      <c r="H126">
        <f t="shared" si="5"/>
        <v>2.5257255171551307E-2</v>
      </c>
      <c r="I126"/>
      <c r="K126" s="38"/>
    </row>
    <row r="127" spans="1:11" x14ac:dyDescent="0.3">
      <c r="A127" s="16">
        <v>125</v>
      </c>
      <c r="B127" s="3">
        <v>45488</v>
      </c>
      <c r="C127" s="40">
        <v>5631.22</v>
      </c>
      <c r="D127" s="46">
        <f t="shared" si="4"/>
        <v>2.826181805230199E-3</v>
      </c>
      <c r="E127">
        <v>6421.67</v>
      </c>
      <c r="F127">
        <v>7.8064</v>
      </c>
      <c r="G127" s="43">
        <f t="shared" si="3"/>
        <v>822.61605861856935</v>
      </c>
      <c r="H127">
        <f t="shared" si="5"/>
        <v>-1.6872170251069463E-2</v>
      </c>
      <c r="I127"/>
      <c r="K127" s="38"/>
    </row>
    <row r="128" spans="1:11" x14ac:dyDescent="0.3">
      <c r="A128" s="16">
        <v>126</v>
      </c>
      <c r="B128" s="3">
        <v>45489</v>
      </c>
      <c r="C128" s="40">
        <v>5667.2</v>
      </c>
      <c r="D128" s="46">
        <f t="shared" si="4"/>
        <v>6.3893792108991043E-3</v>
      </c>
      <c r="E128">
        <v>6316.53</v>
      </c>
      <c r="F128">
        <v>7.8075999999999999</v>
      </c>
      <c r="G128" s="43">
        <f t="shared" si="3"/>
        <v>809.02325938828835</v>
      </c>
      <c r="H128">
        <f t="shared" si="5"/>
        <v>-1.6523868076569692E-2</v>
      </c>
      <c r="I128"/>
      <c r="K128" s="38"/>
    </row>
    <row r="129" spans="1:11" x14ac:dyDescent="0.3">
      <c r="A129" s="16">
        <v>127</v>
      </c>
      <c r="B129" s="3">
        <v>45490</v>
      </c>
      <c r="C129" s="40">
        <v>5588.27</v>
      </c>
      <c r="D129" s="46">
        <f t="shared" si="4"/>
        <v>-1.3927512704686507E-2</v>
      </c>
      <c r="E129">
        <v>6297.49</v>
      </c>
      <c r="F129">
        <v>7.8071000000000002</v>
      </c>
      <c r="G129" s="43">
        <f t="shared" si="3"/>
        <v>806.63626698774192</v>
      </c>
      <c r="H129">
        <f t="shared" si="5"/>
        <v>-2.9504620205249577E-3</v>
      </c>
      <c r="I129"/>
      <c r="K129" s="38"/>
    </row>
    <row r="130" spans="1:11" x14ac:dyDescent="0.3">
      <c r="A130" s="16">
        <v>128</v>
      </c>
      <c r="B130" s="3">
        <v>45491</v>
      </c>
      <c r="C130" s="40">
        <v>5544.59</v>
      </c>
      <c r="D130" s="46">
        <f t="shared" si="4"/>
        <v>-7.8163725088444824E-3</v>
      </c>
      <c r="E130">
        <v>6306.8</v>
      </c>
      <c r="F130">
        <v>7.8101000000000003</v>
      </c>
      <c r="G130" s="43">
        <f t="shared" si="3"/>
        <v>807.51846967388383</v>
      </c>
      <c r="H130">
        <f t="shared" si="5"/>
        <v>1.0936809095336564E-3</v>
      </c>
      <c r="I130"/>
      <c r="K130" s="38"/>
    </row>
    <row r="131" spans="1:11" x14ac:dyDescent="0.3">
      <c r="A131" s="16">
        <v>129</v>
      </c>
      <c r="B131" s="3">
        <v>45492</v>
      </c>
      <c r="C131" s="40">
        <v>5505</v>
      </c>
      <c r="D131" s="46">
        <f t="shared" si="4"/>
        <v>-7.1402935113327182E-3</v>
      </c>
      <c r="E131">
        <v>6165.04</v>
      </c>
      <c r="F131">
        <v>7.8101000000000003</v>
      </c>
      <c r="G131" s="43">
        <f t="shared" ref="G131:G194" si="6">E131/F131</f>
        <v>789.36761373093816</v>
      </c>
      <c r="H131">
        <f t="shared" si="5"/>
        <v>-2.2477326060759806E-2</v>
      </c>
      <c r="I131"/>
      <c r="K131" s="38"/>
    </row>
    <row r="132" spans="1:11" x14ac:dyDescent="0.3">
      <c r="A132" s="16">
        <v>130</v>
      </c>
      <c r="B132" s="3">
        <v>45495</v>
      </c>
      <c r="C132" s="40">
        <v>5564.41</v>
      </c>
      <c r="D132" s="46">
        <f t="shared" ref="D132:D195" si="7">$C132/$C131-1</f>
        <v>1.0792007266121617E-2</v>
      </c>
      <c r="E132">
        <v>6253.94</v>
      </c>
      <c r="F132">
        <v>7.8071000000000002</v>
      </c>
      <c r="G132" s="43">
        <f t="shared" si="6"/>
        <v>801.05801129740871</v>
      </c>
      <c r="H132">
        <f t="shared" ref="H132:H195" si="8">$G132/$G131-1</f>
        <v>1.4809826705729723E-2</v>
      </c>
      <c r="I132"/>
      <c r="K132" s="38"/>
    </row>
    <row r="133" spans="1:11" x14ac:dyDescent="0.3">
      <c r="A133" s="16">
        <v>131</v>
      </c>
      <c r="B133" s="3">
        <v>45496</v>
      </c>
      <c r="C133" s="40">
        <v>5555.74</v>
      </c>
      <c r="D133" s="46">
        <f t="shared" si="7"/>
        <v>-1.558116673645582E-3</v>
      </c>
      <c r="E133">
        <v>6194.69</v>
      </c>
      <c r="F133">
        <v>7.8093000000000004</v>
      </c>
      <c r="G133" s="43">
        <f t="shared" si="6"/>
        <v>793.24523324753807</v>
      </c>
      <c r="H133">
        <f t="shared" si="8"/>
        <v>-9.753073984263505E-3</v>
      </c>
      <c r="I133"/>
      <c r="K133" s="38"/>
    </row>
    <row r="134" spans="1:11" x14ac:dyDescent="0.3">
      <c r="A134" s="16">
        <v>132</v>
      </c>
      <c r="B134" s="3">
        <v>45497</v>
      </c>
      <c r="C134" s="40">
        <v>5427.13</v>
      </c>
      <c r="D134" s="46">
        <f t="shared" si="7"/>
        <v>-2.3149031452155744E-2</v>
      </c>
      <c r="E134">
        <v>6142.32</v>
      </c>
      <c r="F134">
        <v>7.8083999999999998</v>
      </c>
      <c r="G134" s="43">
        <f t="shared" si="6"/>
        <v>786.62978331028125</v>
      </c>
      <c r="H134">
        <f t="shared" si="8"/>
        <v>-8.3397285731844351E-3</v>
      </c>
      <c r="I134"/>
      <c r="K134" s="38"/>
    </row>
    <row r="135" spans="1:11" x14ac:dyDescent="0.3">
      <c r="A135" s="16">
        <v>133</v>
      </c>
      <c r="B135" s="3">
        <v>45498</v>
      </c>
      <c r="C135" s="40">
        <v>5399.22</v>
      </c>
      <c r="D135" s="46">
        <f t="shared" si="7"/>
        <v>-5.1426813066942634E-3</v>
      </c>
      <c r="E135">
        <v>6016.51</v>
      </c>
      <c r="F135">
        <v>7.8064</v>
      </c>
      <c r="G135" s="43">
        <f t="shared" si="6"/>
        <v>770.71505431440869</v>
      </c>
      <c r="H135">
        <f t="shared" si="8"/>
        <v>-2.0231536274790574E-2</v>
      </c>
      <c r="I135"/>
      <c r="K135" s="38"/>
    </row>
    <row r="136" spans="1:11" x14ac:dyDescent="0.3">
      <c r="A136" s="16">
        <v>134</v>
      </c>
      <c r="B136" s="3">
        <v>45499</v>
      </c>
      <c r="C136" s="40">
        <v>5459.1</v>
      </c>
      <c r="D136" s="46">
        <f t="shared" si="7"/>
        <v>1.1090490848678192E-2</v>
      </c>
      <c r="E136">
        <v>6010.64</v>
      </c>
      <c r="F136">
        <v>7.8066000000000004</v>
      </c>
      <c r="G136" s="43">
        <f t="shared" si="6"/>
        <v>769.94338124151363</v>
      </c>
      <c r="H136">
        <f t="shared" si="8"/>
        <v>-1.001243025649079E-3</v>
      </c>
      <c r="I136"/>
      <c r="K136" s="38"/>
    </row>
    <row r="137" spans="1:11" x14ac:dyDescent="0.3">
      <c r="A137" s="16">
        <v>135</v>
      </c>
      <c r="B137" s="3">
        <v>45502</v>
      </c>
      <c r="C137" s="40">
        <v>5463.54</v>
      </c>
      <c r="D137" s="46">
        <f t="shared" si="7"/>
        <v>8.1332087706753597E-4</v>
      </c>
      <c r="E137">
        <v>6080.56</v>
      </c>
      <c r="F137">
        <v>7.8098000000000001</v>
      </c>
      <c r="G137" s="43">
        <f t="shared" si="6"/>
        <v>778.58075750979538</v>
      </c>
      <c r="H137">
        <f t="shared" si="8"/>
        <v>1.1218196660583324E-2</v>
      </c>
      <c r="I137"/>
      <c r="K137" s="38"/>
    </row>
    <row r="138" spans="1:11" x14ac:dyDescent="0.3">
      <c r="A138" s="16">
        <v>136</v>
      </c>
      <c r="B138" s="3">
        <v>45503</v>
      </c>
      <c r="C138" s="40">
        <v>5436.44</v>
      </c>
      <c r="D138" s="46">
        <f t="shared" si="7"/>
        <v>-4.9601540393225951E-3</v>
      </c>
      <c r="E138">
        <v>5986.69</v>
      </c>
      <c r="F138">
        <v>7.8132000000000001</v>
      </c>
      <c r="G138" s="43">
        <f t="shared" si="6"/>
        <v>766.22766600112618</v>
      </c>
      <c r="H138">
        <f t="shared" si="8"/>
        <v>-1.5866165955833789E-2</v>
      </c>
      <c r="I138"/>
      <c r="K138" s="38"/>
    </row>
    <row r="139" spans="1:11" x14ac:dyDescent="0.3">
      <c r="A139" s="16">
        <v>137</v>
      </c>
      <c r="B139" s="3">
        <v>45504</v>
      </c>
      <c r="C139" s="40">
        <v>5522.3</v>
      </c>
      <c r="D139" s="46">
        <f t="shared" si="7"/>
        <v>1.579342363752767E-2</v>
      </c>
      <c r="E139">
        <v>6107.16</v>
      </c>
      <c r="F139">
        <v>7.8120000000000003</v>
      </c>
      <c r="G139" s="43">
        <f t="shared" si="6"/>
        <v>781.76651305683561</v>
      </c>
      <c r="H139">
        <f t="shared" si="8"/>
        <v>2.0279673712129576E-2</v>
      </c>
      <c r="I139"/>
      <c r="K139" s="38"/>
    </row>
    <row r="140" spans="1:11" x14ac:dyDescent="0.3">
      <c r="A140" s="16">
        <v>138</v>
      </c>
      <c r="B140" s="3">
        <v>45505</v>
      </c>
      <c r="C140" s="40">
        <v>5446.68</v>
      </c>
      <c r="D140" s="46">
        <f t="shared" si="7"/>
        <v>-1.3693569708273734E-2</v>
      </c>
      <c r="E140">
        <v>6086.4</v>
      </c>
      <c r="F140">
        <v>7.8147000000000002</v>
      </c>
      <c r="G140" s="43">
        <f t="shared" si="6"/>
        <v>778.83987869016073</v>
      </c>
      <c r="H140">
        <f t="shared" si="8"/>
        <v>-3.7436169467418567E-3</v>
      </c>
      <c r="I140"/>
      <c r="K140" s="38"/>
    </row>
    <row r="141" spans="1:11" x14ac:dyDescent="0.3">
      <c r="A141" s="16">
        <v>139</v>
      </c>
      <c r="B141" s="3">
        <v>45506</v>
      </c>
      <c r="C141" s="40">
        <v>5346.56</v>
      </c>
      <c r="D141" s="46">
        <f t="shared" si="7"/>
        <v>-1.8381839946536194E-2</v>
      </c>
      <c r="E141">
        <v>5974.85</v>
      </c>
      <c r="F141">
        <v>7.8061999999999996</v>
      </c>
      <c r="G141" s="43">
        <f t="shared" si="6"/>
        <v>765.39801696087738</v>
      </c>
      <c r="H141">
        <f t="shared" si="8"/>
        <v>-1.7258825718952209E-2</v>
      </c>
      <c r="I141"/>
      <c r="K141" s="38"/>
    </row>
    <row r="142" spans="1:11" x14ac:dyDescent="0.3">
      <c r="A142" s="16">
        <v>140</v>
      </c>
      <c r="B142" s="3">
        <v>45509</v>
      </c>
      <c r="C142" s="40">
        <v>5186.33</v>
      </c>
      <c r="D142" s="46">
        <f t="shared" si="7"/>
        <v>-2.9968802370122227E-2</v>
      </c>
      <c r="E142">
        <v>5876.64</v>
      </c>
      <c r="F142">
        <v>7.7885</v>
      </c>
      <c r="G142" s="43">
        <f t="shared" si="6"/>
        <v>754.52782949220011</v>
      </c>
      <c r="H142">
        <f t="shared" si="8"/>
        <v>-1.4202006312792559E-2</v>
      </c>
      <c r="I142"/>
      <c r="K142" s="38"/>
    </row>
    <row r="143" spans="1:11" x14ac:dyDescent="0.3">
      <c r="A143" s="16">
        <v>141</v>
      </c>
      <c r="B143" s="3">
        <v>45510</v>
      </c>
      <c r="C143" s="40">
        <v>5240.03</v>
      </c>
      <c r="D143" s="46">
        <f t="shared" si="7"/>
        <v>1.0354142524675369E-2</v>
      </c>
      <c r="E143">
        <v>5852.61</v>
      </c>
      <c r="F143">
        <v>7.7944000000000004</v>
      </c>
      <c r="G143" s="43">
        <f t="shared" si="6"/>
        <v>750.87370419788556</v>
      </c>
      <c r="H143">
        <f t="shared" si="8"/>
        <v>-4.8429297787118131E-3</v>
      </c>
      <c r="I143"/>
      <c r="K143" s="38"/>
    </row>
    <row r="144" spans="1:11" x14ac:dyDescent="0.3">
      <c r="A144" s="16">
        <v>142</v>
      </c>
      <c r="B144" s="3">
        <v>45511</v>
      </c>
      <c r="C144" s="40">
        <v>5199.5</v>
      </c>
      <c r="D144" s="46">
        <f t="shared" si="7"/>
        <v>-7.7346885418594358E-3</v>
      </c>
      <c r="E144">
        <v>5933.17</v>
      </c>
      <c r="F144">
        <v>7.7984</v>
      </c>
      <c r="G144" s="43">
        <f t="shared" si="6"/>
        <v>760.818885925318</v>
      </c>
      <c r="H144">
        <f t="shared" si="8"/>
        <v>1.3244812905062853E-2</v>
      </c>
      <c r="I144"/>
      <c r="K144" s="38"/>
    </row>
    <row r="145" spans="1:11" x14ac:dyDescent="0.3">
      <c r="A145" s="16">
        <v>143</v>
      </c>
      <c r="B145" s="3">
        <v>45512</v>
      </c>
      <c r="C145" s="40">
        <v>5319.31</v>
      </c>
      <c r="D145" s="46">
        <f t="shared" si="7"/>
        <v>2.3042600250024137E-2</v>
      </c>
      <c r="E145">
        <v>5941.47</v>
      </c>
      <c r="F145">
        <v>7.7946</v>
      </c>
      <c r="G145" s="43">
        <f t="shared" si="6"/>
        <v>762.25463782618738</v>
      </c>
      <c r="H145">
        <f t="shared" si="8"/>
        <v>1.8871139076985788E-3</v>
      </c>
      <c r="I145"/>
      <c r="K145" s="38"/>
    </row>
    <row r="146" spans="1:11" x14ac:dyDescent="0.3">
      <c r="A146" s="16">
        <v>144</v>
      </c>
      <c r="B146" s="3">
        <v>45513</v>
      </c>
      <c r="C146" s="40">
        <v>5344.16</v>
      </c>
      <c r="D146" s="46">
        <f t="shared" si="7"/>
        <v>4.6716585421793244E-3</v>
      </c>
      <c r="E146">
        <v>6017.85</v>
      </c>
      <c r="F146">
        <v>7.7975000000000003</v>
      </c>
      <c r="G146" s="43">
        <f t="shared" si="6"/>
        <v>771.76659185636424</v>
      </c>
      <c r="H146">
        <f t="shared" si="8"/>
        <v>1.2478709289724055E-2</v>
      </c>
      <c r="I146"/>
      <c r="K146" s="38"/>
    </row>
    <row r="147" spans="1:11" x14ac:dyDescent="0.3">
      <c r="A147" s="16">
        <v>145</v>
      </c>
      <c r="B147" s="3">
        <v>45516</v>
      </c>
      <c r="C147" s="40">
        <v>5344.39</v>
      </c>
      <c r="D147" s="46">
        <f t="shared" si="7"/>
        <v>4.3037633603804082E-5</v>
      </c>
      <c r="E147">
        <v>6029.66</v>
      </c>
      <c r="F147">
        <v>7.7907999999999999</v>
      </c>
      <c r="G147" s="43">
        <f t="shared" si="6"/>
        <v>773.94619294552547</v>
      </c>
      <c r="H147">
        <f t="shared" si="8"/>
        <v>2.8241713390553258E-3</v>
      </c>
      <c r="I147"/>
      <c r="K147" s="38"/>
    </row>
    <row r="148" spans="1:11" x14ac:dyDescent="0.3">
      <c r="A148" s="16">
        <v>146</v>
      </c>
      <c r="B148" s="3">
        <v>45517</v>
      </c>
      <c r="C148" s="40">
        <v>5434.43</v>
      </c>
      <c r="D148" s="46">
        <f t="shared" si="7"/>
        <v>1.6847572875482442E-2</v>
      </c>
      <c r="E148">
        <v>6049.41</v>
      </c>
      <c r="F148">
        <v>7.7881</v>
      </c>
      <c r="G148" s="43">
        <f t="shared" si="6"/>
        <v>776.75042693339833</v>
      </c>
      <c r="H148">
        <f t="shared" si="8"/>
        <v>3.623293212672074E-3</v>
      </c>
      <c r="I148"/>
      <c r="K148" s="38"/>
    </row>
    <row r="149" spans="1:11" x14ac:dyDescent="0.3">
      <c r="A149" s="16">
        <v>147</v>
      </c>
      <c r="B149" s="3">
        <v>45518</v>
      </c>
      <c r="C149" s="40">
        <v>5455.21</v>
      </c>
      <c r="D149" s="46">
        <f t="shared" si="7"/>
        <v>3.8237680860733203E-3</v>
      </c>
      <c r="E149">
        <v>6025.16</v>
      </c>
      <c r="F149">
        <v>7.7919999999999998</v>
      </c>
      <c r="G149" s="43">
        <f t="shared" si="6"/>
        <v>773.24948665297745</v>
      </c>
      <c r="H149">
        <f t="shared" si="8"/>
        <v>-4.5071623510302139E-3</v>
      </c>
      <c r="I149"/>
      <c r="K149" s="38"/>
    </row>
    <row r="150" spans="1:11" x14ac:dyDescent="0.3">
      <c r="A150" s="16">
        <v>148</v>
      </c>
      <c r="B150" s="3">
        <v>45519</v>
      </c>
      <c r="C150" s="40">
        <v>5543.22</v>
      </c>
      <c r="D150" s="46">
        <f t="shared" si="7"/>
        <v>1.6133201104998829E-2</v>
      </c>
      <c r="E150">
        <v>6035.27</v>
      </c>
      <c r="F150">
        <v>7.7968000000000002</v>
      </c>
      <c r="G150" s="43">
        <f t="shared" si="6"/>
        <v>774.07013133593273</v>
      </c>
      <c r="H150">
        <f t="shared" si="8"/>
        <v>1.061293537364616E-3</v>
      </c>
      <c r="I150"/>
      <c r="K150" s="38"/>
    </row>
    <row r="151" spans="1:11" x14ac:dyDescent="0.3">
      <c r="A151" s="16">
        <v>149</v>
      </c>
      <c r="B151" s="3">
        <v>45520</v>
      </c>
      <c r="C151" s="40">
        <v>5554.25</v>
      </c>
      <c r="D151" s="46">
        <f t="shared" si="7"/>
        <v>1.9898181923141411E-3</v>
      </c>
      <c r="E151">
        <v>6161.9</v>
      </c>
      <c r="F151">
        <v>7.7942999999999998</v>
      </c>
      <c r="G151" s="43">
        <f t="shared" si="6"/>
        <v>790.56489999101905</v>
      </c>
      <c r="H151">
        <f t="shared" si="8"/>
        <v>2.1309139814784883E-2</v>
      </c>
      <c r="I151"/>
      <c r="K151" s="38"/>
    </row>
    <row r="152" spans="1:11" x14ac:dyDescent="0.3">
      <c r="A152" s="16">
        <v>150</v>
      </c>
      <c r="B152" s="3">
        <v>45523</v>
      </c>
      <c r="C152" s="40">
        <v>5608.25</v>
      </c>
      <c r="D152" s="46">
        <f t="shared" si="7"/>
        <v>9.7222847369131671E-3</v>
      </c>
      <c r="E152">
        <v>6225.86</v>
      </c>
      <c r="F152">
        <v>7.7882999999999996</v>
      </c>
      <c r="G152" s="43">
        <f t="shared" si="6"/>
        <v>799.38625887549279</v>
      </c>
      <c r="H152">
        <f t="shared" si="8"/>
        <v>1.1158298179661186E-2</v>
      </c>
      <c r="I152"/>
      <c r="K152" s="38"/>
    </row>
    <row r="153" spans="1:11" x14ac:dyDescent="0.3">
      <c r="A153" s="16">
        <v>151</v>
      </c>
      <c r="B153" s="3">
        <v>45524</v>
      </c>
      <c r="C153" s="40">
        <v>5597.12</v>
      </c>
      <c r="D153" s="46">
        <f t="shared" si="7"/>
        <v>-1.9845762938528466E-3</v>
      </c>
      <c r="E153">
        <v>6195.58</v>
      </c>
      <c r="F153">
        <v>7.7880000000000003</v>
      </c>
      <c r="G153" s="43">
        <f t="shared" si="6"/>
        <v>795.52901900359529</v>
      </c>
      <c r="H153">
        <f t="shared" si="8"/>
        <v>-4.8252516590959749E-3</v>
      </c>
      <c r="I153"/>
      <c r="K153" s="38"/>
    </row>
    <row r="154" spans="1:11" x14ac:dyDescent="0.3">
      <c r="A154" s="16">
        <v>152</v>
      </c>
      <c r="B154" s="3">
        <v>45525</v>
      </c>
      <c r="C154" s="40">
        <v>5620.85</v>
      </c>
      <c r="D154" s="46">
        <f t="shared" si="7"/>
        <v>4.2396804070665706E-3</v>
      </c>
      <c r="E154">
        <v>6141.78</v>
      </c>
      <c r="F154">
        <v>7.7937000000000003</v>
      </c>
      <c r="G154" s="43">
        <f t="shared" si="6"/>
        <v>788.04418953770346</v>
      </c>
      <c r="H154">
        <f t="shared" si="8"/>
        <v>-9.4086190284631277E-3</v>
      </c>
      <c r="I154"/>
      <c r="K154" s="38"/>
    </row>
    <row r="155" spans="1:11" x14ac:dyDescent="0.3">
      <c r="A155" s="16">
        <v>153</v>
      </c>
      <c r="B155" s="3">
        <v>45526</v>
      </c>
      <c r="C155" s="40">
        <v>5570.64</v>
      </c>
      <c r="D155" s="46">
        <f t="shared" si="7"/>
        <v>-8.9328126528905871E-3</v>
      </c>
      <c r="E155">
        <v>6224.24</v>
      </c>
      <c r="F155">
        <v>7.7965</v>
      </c>
      <c r="G155" s="43">
        <f t="shared" si="6"/>
        <v>798.33771564163408</v>
      </c>
      <c r="H155">
        <f t="shared" si="8"/>
        <v>1.3062117887030045E-2</v>
      </c>
      <c r="I155"/>
      <c r="K155" s="38"/>
    </row>
    <row r="156" spans="1:11" x14ac:dyDescent="0.3">
      <c r="A156" s="16">
        <v>154</v>
      </c>
      <c r="B156" s="3">
        <v>45527</v>
      </c>
      <c r="C156" s="40">
        <v>5634.61</v>
      </c>
      <c r="D156" s="46">
        <f t="shared" si="7"/>
        <v>1.1483420217425433E-2</v>
      </c>
      <c r="E156">
        <v>6219.24</v>
      </c>
      <c r="F156">
        <v>7.7953999999999999</v>
      </c>
      <c r="G156" s="43">
        <f t="shared" si="6"/>
        <v>797.80896426097445</v>
      </c>
      <c r="H156">
        <f t="shared" si="8"/>
        <v>-6.6231542153138978E-4</v>
      </c>
      <c r="I156"/>
      <c r="K156" s="38"/>
    </row>
    <row r="157" spans="1:11" x14ac:dyDescent="0.3">
      <c r="A157" s="16">
        <v>155</v>
      </c>
      <c r="B157" s="3">
        <v>45530</v>
      </c>
      <c r="C157" s="40">
        <v>5616.84</v>
      </c>
      <c r="D157" s="46">
        <f t="shared" si="7"/>
        <v>-3.1537231503155905E-3</v>
      </c>
      <c r="E157">
        <v>6278.63</v>
      </c>
      <c r="F157">
        <v>7.7958999999999996</v>
      </c>
      <c r="G157" s="43">
        <f t="shared" si="6"/>
        <v>805.37590271809552</v>
      </c>
      <c r="H157">
        <f t="shared" si="8"/>
        <v>9.4846495791514052E-3</v>
      </c>
      <c r="I157"/>
      <c r="K157" s="38"/>
    </row>
    <row r="158" spans="1:11" x14ac:dyDescent="0.3">
      <c r="A158" s="16">
        <v>156</v>
      </c>
      <c r="B158" s="3">
        <v>45531</v>
      </c>
      <c r="C158" s="40">
        <v>5625.8</v>
      </c>
      <c r="D158" s="46">
        <f t="shared" si="7"/>
        <v>1.5952029967027936E-3</v>
      </c>
      <c r="E158">
        <v>6306.36</v>
      </c>
      <c r="F158">
        <v>7.8010999999999999</v>
      </c>
      <c r="G158" s="43">
        <f t="shared" si="6"/>
        <v>808.39368806963114</v>
      </c>
      <c r="H158">
        <f t="shared" si="8"/>
        <v>3.7470519559261728E-3</v>
      </c>
      <c r="I158"/>
      <c r="K158" s="38"/>
    </row>
    <row r="159" spans="1:11" x14ac:dyDescent="0.3">
      <c r="A159" s="16">
        <v>157</v>
      </c>
      <c r="B159" s="3">
        <v>45532</v>
      </c>
      <c r="C159" s="40">
        <v>5592.18</v>
      </c>
      <c r="D159" s="46">
        <f t="shared" si="7"/>
        <v>-5.9760389633474187E-3</v>
      </c>
      <c r="E159">
        <v>6225.99</v>
      </c>
      <c r="F159">
        <v>7.8007</v>
      </c>
      <c r="G159" s="43">
        <f t="shared" si="6"/>
        <v>798.13221890343175</v>
      </c>
      <c r="H159">
        <f t="shared" si="8"/>
        <v>-1.2693653250438919E-2</v>
      </c>
      <c r="I159"/>
      <c r="K159" s="38"/>
    </row>
    <row r="160" spans="1:11" x14ac:dyDescent="0.3">
      <c r="A160" s="16">
        <v>158</v>
      </c>
      <c r="B160" s="3">
        <v>45533</v>
      </c>
      <c r="C160" s="40">
        <v>5591.96</v>
      </c>
      <c r="D160" s="46">
        <f t="shared" si="7"/>
        <v>-3.9340650694441592E-5</v>
      </c>
      <c r="E160">
        <v>6247.13</v>
      </c>
      <c r="F160">
        <v>7.7975000000000003</v>
      </c>
      <c r="G160" s="43">
        <f t="shared" si="6"/>
        <v>801.17088810516191</v>
      </c>
      <c r="H160">
        <f t="shared" si="8"/>
        <v>3.80722533154354E-3</v>
      </c>
      <c r="I160"/>
      <c r="K160" s="38"/>
    </row>
    <row r="161" spans="1:11" x14ac:dyDescent="0.3">
      <c r="A161" s="16">
        <v>159</v>
      </c>
      <c r="B161" s="3">
        <v>45534</v>
      </c>
      <c r="C161" s="40">
        <v>5648.4</v>
      </c>
      <c r="D161" s="46">
        <f t="shared" si="7"/>
        <v>1.0093062182132906E-2</v>
      </c>
      <c r="E161">
        <v>6331.14</v>
      </c>
      <c r="F161">
        <v>7.7972999999999999</v>
      </c>
      <c r="G161" s="43">
        <f t="shared" si="6"/>
        <v>811.96568042784043</v>
      </c>
      <c r="H161">
        <f t="shared" si="8"/>
        <v>1.3473770056983803E-2</v>
      </c>
      <c r="I161"/>
      <c r="K161" s="38"/>
    </row>
    <row r="162" spans="1:11" x14ac:dyDescent="0.3">
      <c r="A162" s="16">
        <v>160</v>
      </c>
      <c r="B162" s="3">
        <v>45538</v>
      </c>
      <c r="C162" s="40">
        <v>5528.93</v>
      </c>
      <c r="D162" s="46">
        <f t="shared" si="7"/>
        <v>-2.1151122441753323E-2</v>
      </c>
      <c r="E162">
        <v>6203.55</v>
      </c>
      <c r="F162">
        <v>7.7986000000000004</v>
      </c>
      <c r="G162" s="43">
        <f t="shared" si="6"/>
        <v>795.4696996896879</v>
      </c>
      <c r="H162">
        <f t="shared" si="8"/>
        <v>-2.0316105884500502E-2</v>
      </c>
      <c r="I162"/>
      <c r="K162" s="38"/>
    </row>
    <row r="163" spans="1:11" x14ac:dyDescent="0.3">
      <c r="A163" s="16">
        <v>161</v>
      </c>
      <c r="B163" s="3">
        <v>45539</v>
      </c>
      <c r="C163" s="40">
        <v>5520.07</v>
      </c>
      <c r="D163" s="46">
        <f t="shared" si="7"/>
        <v>-1.6024800458679378E-3</v>
      </c>
      <c r="E163">
        <v>6133.98</v>
      </c>
      <c r="F163">
        <v>7.7967000000000004</v>
      </c>
      <c r="G163" s="43">
        <f t="shared" si="6"/>
        <v>786.74054407633992</v>
      </c>
      <c r="H163">
        <f t="shared" si="8"/>
        <v>-1.0973586569989036E-2</v>
      </c>
      <c r="I163"/>
      <c r="K163" s="38"/>
    </row>
    <row r="164" spans="1:11" x14ac:dyDescent="0.3">
      <c r="A164" s="16">
        <v>162</v>
      </c>
      <c r="B164" s="3">
        <v>45540</v>
      </c>
      <c r="C164" s="40">
        <v>5503.41</v>
      </c>
      <c r="D164" s="46">
        <f t="shared" si="7"/>
        <v>-3.0180776693048417E-3</v>
      </c>
      <c r="E164">
        <v>6105.54</v>
      </c>
      <c r="F164">
        <v>7.7930000000000001</v>
      </c>
      <c r="G164" s="43">
        <f t="shared" si="6"/>
        <v>783.46464776081098</v>
      </c>
      <c r="H164">
        <f t="shared" si="8"/>
        <v>-4.1638839388593585E-3</v>
      </c>
      <c r="I164"/>
      <c r="K164" s="38"/>
    </row>
    <row r="165" spans="1:11" x14ac:dyDescent="0.3">
      <c r="A165" s="16">
        <v>163</v>
      </c>
      <c r="B165" s="3">
        <v>45541</v>
      </c>
      <c r="C165" s="40">
        <v>5408.42</v>
      </c>
      <c r="D165" s="46">
        <f t="shared" si="7"/>
        <v>-1.726020776209658E-2</v>
      </c>
      <c r="E165">
        <v>6002.91</v>
      </c>
      <c r="F165">
        <v>7.7953999999999999</v>
      </c>
      <c r="G165" s="43">
        <f t="shared" si="6"/>
        <v>770.05798291299993</v>
      </c>
      <c r="H165">
        <f t="shared" si="8"/>
        <v>-1.7112022713632435E-2</v>
      </c>
      <c r="I165"/>
      <c r="K165" s="38"/>
    </row>
    <row r="166" spans="1:11" x14ac:dyDescent="0.3">
      <c r="A166" s="16">
        <v>164</v>
      </c>
      <c r="B166" s="3">
        <v>45544</v>
      </c>
      <c r="C166" s="40">
        <v>5471.05</v>
      </c>
      <c r="D166" s="46">
        <f t="shared" si="7"/>
        <v>1.1580091782812829E-2</v>
      </c>
      <c r="E166">
        <v>6026.34</v>
      </c>
      <c r="F166">
        <v>7.7965</v>
      </c>
      <c r="G166" s="43">
        <f t="shared" si="6"/>
        <v>772.95453087924068</v>
      </c>
      <c r="H166">
        <f t="shared" si="8"/>
        <v>3.7614673576704671E-3</v>
      </c>
      <c r="I166"/>
      <c r="K166" s="38"/>
    </row>
    <row r="167" spans="1:11" x14ac:dyDescent="0.3">
      <c r="A167" s="16">
        <v>165</v>
      </c>
      <c r="B167" s="3">
        <v>45545</v>
      </c>
      <c r="C167" s="40">
        <v>5495.52</v>
      </c>
      <c r="D167" s="46">
        <f t="shared" si="7"/>
        <v>4.4726332239699573E-3</v>
      </c>
      <c r="E167">
        <v>5982.55</v>
      </c>
      <c r="F167">
        <v>7.7972999999999999</v>
      </c>
      <c r="G167" s="43">
        <f t="shared" si="6"/>
        <v>767.25917945955655</v>
      </c>
      <c r="H167">
        <f t="shared" si="8"/>
        <v>-7.3682877739336128E-3</v>
      </c>
      <c r="I167"/>
      <c r="K167" s="38"/>
    </row>
    <row r="168" spans="1:11" x14ac:dyDescent="0.3">
      <c r="A168" s="16">
        <v>166</v>
      </c>
      <c r="B168" s="3">
        <v>45546</v>
      </c>
      <c r="C168" s="40">
        <v>5554.13</v>
      </c>
      <c r="D168" s="46">
        <f t="shared" si="7"/>
        <v>1.0665050805019227E-2</v>
      </c>
      <c r="E168">
        <v>6017.53</v>
      </c>
      <c r="F168">
        <v>7.7984999999999998</v>
      </c>
      <c r="G168" s="43">
        <f t="shared" si="6"/>
        <v>771.62659485798554</v>
      </c>
      <c r="H168">
        <f t="shared" si="8"/>
        <v>5.6922295820629465E-3</v>
      </c>
      <c r="I168"/>
      <c r="K168" s="38"/>
    </row>
    <row r="169" spans="1:11" x14ac:dyDescent="0.3">
      <c r="A169" s="16">
        <v>167</v>
      </c>
      <c r="B169" s="3">
        <v>45547</v>
      </c>
      <c r="C169" s="40">
        <v>5595.76</v>
      </c>
      <c r="D169" s="46">
        <f t="shared" si="7"/>
        <v>7.4953232999588337E-3</v>
      </c>
      <c r="E169">
        <v>6071.52</v>
      </c>
      <c r="F169">
        <v>7.8029999999999999</v>
      </c>
      <c r="G169" s="43">
        <f t="shared" si="6"/>
        <v>778.10073048827383</v>
      </c>
      <c r="H169">
        <f t="shared" si="8"/>
        <v>8.3902442884045136E-3</v>
      </c>
      <c r="I169"/>
      <c r="K169" s="38"/>
    </row>
    <row r="170" spans="1:11" x14ac:dyDescent="0.3">
      <c r="A170" s="16">
        <v>168</v>
      </c>
      <c r="B170" s="3">
        <v>45548</v>
      </c>
      <c r="C170" s="40">
        <v>5626.02</v>
      </c>
      <c r="D170" s="46">
        <f t="shared" si="7"/>
        <v>5.4076658041088965E-3</v>
      </c>
      <c r="E170">
        <v>6090.16</v>
      </c>
      <c r="F170">
        <v>7.7987000000000002</v>
      </c>
      <c r="G170" s="43">
        <f t="shared" si="6"/>
        <v>780.91989690589457</v>
      </c>
      <c r="H170">
        <f t="shared" si="8"/>
        <v>3.6231381197286971E-3</v>
      </c>
      <c r="I170"/>
      <c r="K170" s="38"/>
    </row>
    <row r="171" spans="1:11" x14ac:dyDescent="0.3">
      <c r="A171" s="16">
        <v>169</v>
      </c>
      <c r="B171" s="3">
        <v>45551</v>
      </c>
      <c r="C171" s="40">
        <v>5633.09</v>
      </c>
      <c r="D171" s="46">
        <f t="shared" si="7"/>
        <v>1.2566610143582846E-3</v>
      </c>
      <c r="E171">
        <v>6176.03</v>
      </c>
      <c r="F171">
        <v>7.7927</v>
      </c>
      <c r="G171" s="43">
        <f t="shared" si="6"/>
        <v>792.5404545279556</v>
      </c>
      <c r="H171">
        <f t="shared" si="8"/>
        <v>1.4880601285872208E-2</v>
      </c>
      <c r="I171"/>
      <c r="K171" s="38"/>
    </row>
    <row r="172" spans="1:11" x14ac:dyDescent="0.3">
      <c r="A172" s="16">
        <v>170</v>
      </c>
      <c r="B172" s="3">
        <v>45552</v>
      </c>
      <c r="C172" s="40">
        <v>5634.58</v>
      </c>
      <c r="D172" s="46">
        <f t="shared" si="7"/>
        <v>2.6450846693371055E-4</v>
      </c>
      <c r="E172">
        <v>6305.51</v>
      </c>
      <c r="F172">
        <v>7.7942</v>
      </c>
      <c r="G172" s="43">
        <f t="shared" si="6"/>
        <v>809.00028226116854</v>
      </c>
      <c r="H172">
        <f t="shared" si="8"/>
        <v>2.0768438556258317E-2</v>
      </c>
      <c r="I172"/>
      <c r="K172" s="38"/>
    </row>
    <row r="173" spans="1:11" x14ac:dyDescent="0.3">
      <c r="A173" s="16">
        <v>171</v>
      </c>
      <c r="B173" s="3">
        <v>45554</v>
      </c>
      <c r="C173" s="40">
        <v>5713.64</v>
      </c>
      <c r="D173" s="46">
        <f t="shared" si="7"/>
        <v>1.4031214393974478E-2</v>
      </c>
      <c r="E173">
        <v>6381.5</v>
      </c>
      <c r="F173">
        <v>7.7946</v>
      </c>
      <c r="G173" s="43">
        <f t="shared" si="6"/>
        <v>818.70782336489367</v>
      </c>
      <c r="H173">
        <f t="shared" si="8"/>
        <v>1.1999428574477555E-2</v>
      </c>
      <c r="I173"/>
      <c r="K173" s="38"/>
    </row>
    <row r="174" spans="1:11" x14ac:dyDescent="0.3">
      <c r="A174" s="16">
        <v>172</v>
      </c>
      <c r="B174" s="3">
        <v>45555</v>
      </c>
      <c r="C174" s="40">
        <v>5702.55</v>
      </c>
      <c r="D174" s="46">
        <f t="shared" si="7"/>
        <v>-1.9409693295342478E-3</v>
      </c>
      <c r="E174">
        <v>6389.08</v>
      </c>
      <c r="F174">
        <v>7.7897999999999996</v>
      </c>
      <c r="G174" s="43">
        <f t="shared" si="6"/>
        <v>820.18537061285269</v>
      </c>
      <c r="H174">
        <f t="shared" si="8"/>
        <v>1.8047308280093599E-3</v>
      </c>
      <c r="I174"/>
      <c r="K174" s="38"/>
    </row>
    <row r="175" spans="1:11" x14ac:dyDescent="0.3">
      <c r="A175" s="16">
        <v>173</v>
      </c>
      <c r="B175" s="3">
        <v>45558</v>
      </c>
      <c r="C175" s="40">
        <v>5718.57</v>
      </c>
      <c r="D175" s="46">
        <f t="shared" si="7"/>
        <v>2.8092695373120868E-3</v>
      </c>
      <c r="E175">
        <v>6714.47</v>
      </c>
      <c r="F175">
        <v>7.7858000000000001</v>
      </c>
      <c r="G175" s="43">
        <f t="shared" si="6"/>
        <v>862.39949651930442</v>
      </c>
      <c r="H175">
        <f t="shared" si="8"/>
        <v>5.1469006177114363E-2</v>
      </c>
      <c r="I175"/>
      <c r="K175" s="38"/>
    </row>
    <row r="176" spans="1:11" x14ac:dyDescent="0.3">
      <c r="A176" s="16">
        <v>174</v>
      </c>
      <c r="B176" s="3">
        <v>45559</v>
      </c>
      <c r="C176" s="40">
        <v>5732.93</v>
      </c>
      <c r="D176" s="46">
        <f t="shared" si="7"/>
        <v>2.5111172898120149E-3</v>
      </c>
      <c r="E176">
        <v>6765.6</v>
      </c>
      <c r="F176">
        <v>7.7845000000000004</v>
      </c>
      <c r="G176" s="43">
        <f t="shared" si="6"/>
        <v>869.11169631960945</v>
      </c>
      <c r="H176">
        <f t="shared" si="8"/>
        <v>7.7831675776665055E-3</v>
      </c>
      <c r="I176"/>
      <c r="K176" s="38"/>
    </row>
    <row r="177" spans="1:11" x14ac:dyDescent="0.3">
      <c r="A177" s="16">
        <v>175</v>
      </c>
      <c r="B177" s="3">
        <v>45560</v>
      </c>
      <c r="C177" s="40">
        <v>5722.26</v>
      </c>
      <c r="D177" s="46">
        <f t="shared" si="7"/>
        <v>-1.8611774432969463E-3</v>
      </c>
      <c r="E177">
        <v>7086.7</v>
      </c>
      <c r="F177">
        <v>7.7845000000000004</v>
      </c>
      <c r="G177" s="43">
        <f t="shared" si="6"/>
        <v>910.36033142783731</v>
      </c>
      <c r="H177">
        <f t="shared" si="8"/>
        <v>4.7460683457490882E-2</v>
      </c>
      <c r="I177"/>
      <c r="K177" s="38"/>
    </row>
    <row r="178" spans="1:11" x14ac:dyDescent="0.3">
      <c r="A178" s="16">
        <v>176</v>
      </c>
      <c r="B178" s="3">
        <v>45561</v>
      </c>
      <c r="C178" s="40">
        <v>5745.37</v>
      </c>
      <c r="D178" s="46">
        <f t="shared" si="7"/>
        <v>4.0386141140038578E-3</v>
      </c>
      <c r="E178">
        <v>7299.9</v>
      </c>
      <c r="F178">
        <v>7.7789000000000001</v>
      </c>
      <c r="G178" s="43">
        <f t="shared" si="6"/>
        <v>938.42317037113207</v>
      </c>
      <c r="H178">
        <f t="shared" si="8"/>
        <v>3.0826078393903833E-2</v>
      </c>
      <c r="I178"/>
      <c r="K178" s="38"/>
    </row>
    <row r="179" spans="1:11" x14ac:dyDescent="0.3">
      <c r="A179" s="16">
        <v>177</v>
      </c>
      <c r="B179" s="3">
        <v>45562</v>
      </c>
      <c r="C179" s="40">
        <v>5738.17</v>
      </c>
      <c r="D179" s="46">
        <f t="shared" si="7"/>
        <v>-1.2531829977877607E-3</v>
      </c>
      <c r="E179">
        <v>7509.79</v>
      </c>
      <c r="F179">
        <v>7.7721</v>
      </c>
      <c r="G179" s="43">
        <f t="shared" si="6"/>
        <v>966.24979091879925</v>
      </c>
      <c r="H179">
        <f t="shared" si="8"/>
        <v>2.9652529291942065E-2</v>
      </c>
      <c r="I179"/>
      <c r="K179" s="38"/>
    </row>
    <row r="180" spans="1:11" x14ac:dyDescent="0.3">
      <c r="A180" s="16">
        <v>178</v>
      </c>
      <c r="B180" s="3">
        <v>45565</v>
      </c>
      <c r="C180" s="40">
        <v>5762.48</v>
      </c>
      <c r="D180" s="46">
        <f t="shared" si="7"/>
        <v>4.2365423122701085E-3</v>
      </c>
      <c r="E180">
        <v>8041.27</v>
      </c>
      <c r="F180">
        <v>7.7727000000000004</v>
      </c>
      <c r="G180" s="43">
        <f t="shared" si="6"/>
        <v>1034.5529867356261</v>
      </c>
      <c r="H180">
        <f t="shared" si="8"/>
        <v>7.068896310122641E-2</v>
      </c>
      <c r="I180"/>
      <c r="K180" s="38"/>
    </row>
    <row r="181" spans="1:11" x14ac:dyDescent="0.3">
      <c r="A181" s="16">
        <v>179</v>
      </c>
      <c r="B181" s="3">
        <v>45567</v>
      </c>
      <c r="C181" s="40">
        <v>5709.54</v>
      </c>
      <c r="D181" s="46">
        <f t="shared" si="7"/>
        <v>-9.1870167011425252E-3</v>
      </c>
      <c r="E181">
        <v>7914.16</v>
      </c>
      <c r="F181">
        <v>7.7625999999999999</v>
      </c>
      <c r="G181" s="43">
        <f t="shared" si="6"/>
        <v>1019.5243861592766</v>
      </c>
      <c r="H181">
        <f t="shared" si="8"/>
        <v>-1.4526661049783396E-2</v>
      </c>
      <c r="I181"/>
      <c r="K181" s="38"/>
    </row>
    <row r="182" spans="1:11" x14ac:dyDescent="0.3">
      <c r="A182" s="16">
        <v>180</v>
      </c>
      <c r="B182" s="3">
        <v>45568</v>
      </c>
      <c r="C182" s="40">
        <v>5699.94</v>
      </c>
      <c r="D182" s="46">
        <f t="shared" si="7"/>
        <v>-1.681396399709989E-3</v>
      </c>
      <c r="E182">
        <v>8156.5</v>
      </c>
      <c r="F182">
        <v>7.7637999999999998</v>
      </c>
      <c r="G182" s="43">
        <f t="shared" si="6"/>
        <v>1050.580901105129</v>
      </c>
      <c r="H182">
        <f t="shared" si="8"/>
        <v>3.046176763152042E-2</v>
      </c>
      <c r="I182"/>
      <c r="K182" s="38"/>
    </row>
    <row r="183" spans="1:11" x14ac:dyDescent="0.3">
      <c r="A183" s="16">
        <v>181</v>
      </c>
      <c r="B183" s="3">
        <v>45569</v>
      </c>
      <c r="C183" s="40">
        <v>5751.07</v>
      </c>
      <c r="D183" s="46">
        <f t="shared" si="7"/>
        <v>8.9702698624898325E-3</v>
      </c>
      <c r="E183">
        <v>8330.85</v>
      </c>
      <c r="F183">
        <v>7.7662000000000004</v>
      </c>
      <c r="G183" s="43">
        <f t="shared" si="6"/>
        <v>1072.7060853441837</v>
      </c>
      <c r="H183">
        <f t="shared" si="8"/>
        <v>2.1059952846830488E-2</v>
      </c>
      <c r="I183"/>
      <c r="K183" s="38"/>
    </row>
    <row r="184" spans="1:11" x14ac:dyDescent="0.3">
      <c r="A184" s="16">
        <v>182</v>
      </c>
      <c r="B184" s="3">
        <v>45572</v>
      </c>
      <c r="C184" s="40">
        <v>5695.94</v>
      </c>
      <c r="D184" s="46">
        <f t="shared" si="7"/>
        <v>-9.5860422495291919E-3</v>
      </c>
      <c r="E184">
        <v>7483.67</v>
      </c>
      <c r="F184">
        <v>7.7656999999999998</v>
      </c>
      <c r="G184" s="43">
        <f t="shared" si="6"/>
        <v>963.68260427263488</v>
      </c>
      <c r="H184">
        <f t="shared" si="8"/>
        <v>-0.10163406599541014</v>
      </c>
      <c r="I184"/>
      <c r="K184" s="38"/>
    </row>
    <row r="185" spans="1:11" x14ac:dyDescent="0.3">
      <c r="A185" s="16">
        <v>183</v>
      </c>
      <c r="B185" s="3">
        <v>45573</v>
      </c>
      <c r="C185" s="40">
        <v>5751.13</v>
      </c>
      <c r="D185" s="46">
        <f t="shared" si="7"/>
        <v>9.68935768284096E-3</v>
      </c>
      <c r="E185">
        <v>7365.59</v>
      </c>
      <c r="F185">
        <v>7.7747999999999999</v>
      </c>
      <c r="G185" s="43">
        <f t="shared" si="6"/>
        <v>947.36713484591246</v>
      </c>
      <c r="H185">
        <f t="shared" si="8"/>
        <v>-1.6930335106585148E-2</v>
      </c>
      <c r="I185"/>
      <c r="K185" s="38"/>
    </row>
    <row r="186" spans="1:11" x14ac:dyDescent="0.3">
      <c r="A186" s="16">
        <v>184</v>
      </c>
      <c r="B186" s="3">
        <v>45574</v>
      </c>
      <c r="C186" s="40">
        <v>5792.04</v>
      </c>
      <c r="D186" s="46">
        <f t="shared" si="7"/>
        <v>7.1133846739683815E-3</v>
      </c>
      <c r="E186">
        <v>7620.74</v>
      </c>
      <c r="F186">
        <v>7.7708000000000004</v>
      </c>
      <c r="G186" s="43">
        <f t="shared" si="6"/>
        <v>980.6892469243835</v>
      </c>
      <c r="H186">
        <f t="shared" si="8"/>
        <v>3.5173388280870466E-2</v>
      </c>
      <c r="I186"/>
      <c r="K186" s="38"/>
    </row>
    <row r="187" spans="1:11" x14ac:dyDescent="0.3">
      <c r="A187" s="16">
        <v>185</v>
      </c>
      <c r="B187" s="3">
        <v>45575</v>
      </c>
      <c r="C187" s="40">
        <v>5780.05</v>
      </c>
      <c r="D187" s="46">
        <f t="shared" si="7"/>
        <v>-2.0700823889336917E-3</v>
      </c>
      <c r="E187">
        <v>7579.94</v>
      </c>
      <c r="F187">
        <v>7.7698</v>
      </c>
      <c r="G187" s="43">
        <f t="shared" si="6"/>
        <v>975.5643645911091</v>
      </c>
      <c r="H187">
        <f t="shared" si="8"/>
        <v>-5.2257963971227284E-3</v>
      </c>
      <c r="I187"/>
      <c r="K187" s="38"/>
    </row>
    <row r="188" spans="1:11" x14ac:dyDescent="0.3">
      <c r="A188" s="16">
        <v>186</v>
      </c>
      <c r="B188" s="3">
        <v>45579</v>
      </c>
      <c r="C188" s="40">
        <v>5859.85</v>
      </c>
      <c r="D188" s="46">
        <f t="shared" si="7"/>
        <v>1.3806108943694273E-2</v>
      </c>
      <c r="E188">
        <v>7277.83</v>
      </c>
      <c r="F188">
        <v>7.7638999999999996</v>
      </c>
      <c r="G188" s="43">
        <f t="shared" si="6"/>
        <v>937.39357796983484</v>
      </c>
      <c r="H188">
        <f t="shared" si="8"/>
        <v>-3.9126876715379955E-2</v>
      </c>
      <c r="I188"/>
      <c r="K188" s="38"/>
    </row>
    <row r="189" spans="1:11" x14ac:dyDescent="0.3">
      <c r="A189" s="16">
        <v>187</v>
      </c>
      <c r="B189" s="3">
        <v>45580</v>
      </c>
      <c r="C189" s="40">
        <v>5815.26</v>
      </c>
      <c r="D189" s="46">
        <f t="shared" si="7"/>
        <v>-7.6094097971791674E-3</v>
      </c>
      <c r="E189">
        <v>7267.98</v>
      </c>
      <c r="F189">
        <v>7.7671999999999999</v>
      </c>
      <c r="G189" s="43">
        <f t="shared" si="6"/>
        <v>935.72716036667009</v>
      </c>
      <c r="H189">
        <f t="shared" si="8"/>
        <v>-1.7777139104940831E-3</v>
      </c>
      <c r="I189"/>
      <c r="K189" s="38"/>
    </row>
    <row r="190" spans="1:11" x14ac:dyDescent="0.3">
      <c r="A190" s="16">
        <v>188</v>
      </c>
      <c r="B190" s="3">
        <v>45581</v>
      </c>
      <c r="C190" s="40">
        <v>5842.47</v>
      </c>
      <c r="D190" s="46">
        <f t="shared" si="7"/>
        <v>4.6790685197222182E-3</v>
      </c>
      <c r="E190">
        <v>7179.44</v>
      </c>
      <c r="F190">
        <v>7.7705000000000002</v>
      </c>
      <c r="G190" s="43">
        <f t="shared" si="6"/>
        <v>923.93539669261941</v>
      </c>
      <c r="H190">
        <f t="shared" si="8"/>
        <v>-1.260171145340061E-2</v>
      </c>
      <c r="I190"/>
      <c r="K190" s="38"/>
    </row>
    <row r="191" spans="1:11" x14ac:dyDescent="0.3">
      <c r="A191" s="16">
        <v>189</v>
      </c>
      <c r="B191" s="3">
        <v>45582</v>
      </c>
      <c r="C191" s="40">
        <v>5841.47</v>
      </c>
      <c r="D191" s="46">
        <f t="shared" si="7"/>
        <v>-1.7116048520571248E-4</v>
      </c>
      <c r="E191">
        <v>7471.95</v>
      </c>
      <c r="F191">
        <v>7.7736000000000001</v>
      </c>
      <c r="G191" s="43">
        <f t="shared" si="6"/>
        <v>961.19558505711632</v>
      </c>
      <c r="H191">
        <f t="shared" si="8"/>
        <v>4.0327698774044185E-2</v>
      </c>
      <c r="I191"/>
      <c r="K191" s="38"/>
    </row>
    <row r="192" spans="1:11" x14ac:dyDescent="0.3">
      <c r="A192" s="16">
        <v>190</v>
      </c>
      <c r="B192" s="3">
        <v>45583</v>
      </c>
      <c r="C192" s="40">
        <v>5864.67</v>
      </c>
      <c r="D192" s="46">
        <f t="shared" si="7"/>
        <v>3.9716030382763723E-3</v>
      </c>
      <c r="E192">
        <v>7340.56</v>
      </c>
      <c r="F192">
        <v>7.77</v>
      </c>
      <c r="G192" s="43">
        <f t="shared" si="6"/>
        <v>944.73101673101678</v>
      </c>
      <c r="H192">
        <f t="shared" si="8"/>
        <v>-1.7129259208073844E-2</v>
      </c>
      <c r="I192"/>
      <c r="K192" s="38"/>
    </row>
    <row r="193" spans="1:11" x14ac:dyDescent="0.3">
      <c r="A193" s="16">
        <v>191</v>
      </c>
      <c r="B193" s="3">
        <v>45586</v>
      </c>
      <c r="C193" s="40">
        <v>5853.98</v>
      </c>
      <c r="D193" s="46">
        <f t="shared" si="7"/>
        <v>-1.8227794573267841E-3</v>
      </c>
      <c r="E193">
        <v>7363</v>
      </c>
      <c r="F193">
        <v>7.7728999999999999</v>
      </c>
      <c r="G193" s="43">
        <f t="shared" si="6"/>
        <v>947.26549936317201</v>
      </c>
      <c r="H193">
        <f t="shared" si="8"/>
        <v>2.682755818608662E-3</v>
      </c>
      <c r="I193"/>
      <c r="K193" s="38"/>
    </row>
    <row r="194" spans="1:11" x14ac:dyDescent="0.3">
      <c r="A194" s="16">
        <v>192</v>
      </c>
      <c r="B194" s="3">
        <v>45587</v>
      </c>
      <c r="C194" s="40">
        <v>5851.2</v>
      </c>
      <c r="D194" s="46">
        <f t="shared" si="7"/>
        <v>-4.7489058725858069E-4</v>
      </c>
      <c r="E194">
        <v>7478.23</v>
      </c>
      <c r="F194">
        <v>7.7721</v>
      </c>
      <c r="G194" s="43">
        <f t="shared" si="6"/>
        <v>962.18911233772076</v>
      </c>
      <c r="H194">
        <f t="shared" si="8"/>
        <v>1.5754414136883055E-2</v>
      </c>
      <c r="I194"/>
      <c r="K194" s="38"/>
    </row>
    <row r="195" spans="1:11" x14ac:dyDescent="0.3">
      <c r="A195" s="16">
        <v>193</v>
      </c>
      <c r="B195" s="3">
        <v>45588</v>
      </c>
      <c r="C195" s="40">
        <v>5797.42</v>
      </c>
      <c r="D195" s="46">
        <f t="shared" si="7"/>
        <v>-9.1912770030079249E-3</v>
      </c>
      <c r="E195">
        <v>7359.14</v>
      </c>
      <c r="F195">
        <v>7.7686000000000002</v>
      </c>
      <c r="G195" s="43">
        <f t="shared" ref="G195:G258" si="9">E195/F195</f>
        <v>947.29294853641579</v>
      </c>
      <c r="H195">
        <f t="shared" si="8"/>
        <v>-1.5481534357745352E-2</v>
      </c>
      <c r="I195"/>
      <c r="K195" s="38"/>
    </row>
    <row r="196" spans="1:11" x14ac:dyDescent="0.3">
      <c r="A196" s="16">
        <v>194</v>
      </c>
      <c r="B196" s="3">
        <v>45589</v>
      </c>
      <c r="C196" s="40">
        <v>5809.86</v>
      </c>
      <c r="D196" s="46">
        <f t="shared" ref="D196:D259" si="10">$C196/$C195-1</f>
        <v>2.1457820892740731E-3</v>
      </c>
      <c r="E196">
        <v>7385.26</v>
      </c>
      <c r="F196">
        <v>7.7701000000000002</v>
      </c>
      <c r="G196" s="43">
        <f t="shared" si="9"/>
        <v>950.47167990115952</v>
      </c>
      <c r="H196">
        <f t="shared" ref="H196:H259" si="11">$G196/$G195-1</f>
        <v>3.3555948765953136E-3</v>
      </c>
      <c r="I196"/>
      <c r="K196" s="38"/>
    </row>
    <row r="197" spans="1:11" x14ac:dyDescent="0.3">
      <c r="A197" s="16">
        <v>195</v>
      </c>
      <c r="B197" s="3">
        <v>45590</v>
      </c>
      <c r="C197" s="40">
        <v>5808.12</v>
      </c>
      <c r="D197" s="46">
        <f t="shared" si="10"/>
        <v>-2.994908655286066E-4</v>
      </c>
      <c r="E197">
        <v>7391.22</v>
      </c>
      <c r="F197">
        <v>7.7701000000000002</v>
      </c>
      <c r="G197" s="43">
        <f t="shared" si="9"/>
        <v>951.23872279636043</v>
      </c>
      <c r="H197">
        <f t="shared" si="11"/>
        <v>8.0701288783346925E-4</v>
      </c>
      <c r="I197"/>
      <c r="K197" s="38"/>
    </row>
    <row r="198" spans="1:11" x14ac:dyDescent="0.3">
      <c r="A198" s="16">
        <v>196</v>
      </c>
      <c r="B198" s="3">
        <v>45593</v>
      </c>
      <c r="C198" s="40">
        <v>5823.52</v>
      </c>
      <c r="D198" s="46">
        <f t="shared" si="10"/>
        <v>2.6514603692762151E-3</v>
      </c>
      <c r="E198">
        <v>7417.53</v>
      </c>
      <c r="F198">
        <v>7.7713999999999999</v>
      </c>
      <c r="G198" s="43">
        <f t="shared" si="9"/>
        <v>954.46508994518365</v>
      </c>
      <c r="H198">
        <f t="shared" si="11"/>
        <v>3.3917533753657914E-3</v>
      </c>
      <c r="I198"/>
      <c r="K198" s="38"/>
    </row>
    <row r="199" spans="1:11" x14ac:dyDescent="0.3">
      <c r="A199" s="16">
        <v>197</v>
      </c>
      <c r="B199" s="3">
        <v>45594</v>
      </c>
      <c r="C199" s="40">
        <v>5832.92</v>
      </c>
      <c r="D199" s="46">
        <f t="shared" si="10"/>
        <v>1.6141440228589765E-3</v>
      </c>
      <c r="E199">
        <v>7286.5</v>
      </c>
      <c r="F199">
        <v>7.7709999999999999</v>
      </c>
      <c r="G199" s="43">
        <f t="shared" si="9"/>
        <v>937.65281173594133</v>
      </c>
      <c r="H199">
        <f t="shared" si="11"/>
        <v>-1.7614345863826042E-2</v>
      </c>
      <c r="I199"/>
      <c r="K199" s="38"/>
    </row>
    <row r="200" spans="1:11" x14ac:dyDescent="0.3">
      <c r="A200" s="16">
        <v>198</v>
      </c>
      <c r="B200" s="3">
        <v>45595</v>
      </c>
      <c r="C200" s="40">
        <v>5813.67</v>
      </c>
      <c r="D200" s="46">
        <f t="shared" si="10"/>
        <v>-3.3002338451409985E-3</v>
      </c>
      <c r="E200">
        <v>7264.11</v>
      </c>
      <c r="F200">
        <v>7.7718999999999996</v>
      </c>
      <c r="G200" s="43">
        <f t="shared" si="9"/>
        <v>934.66333843719042</v>
      </c>
      <c r="H200">
        <f t="shared" si="11"/>
        <v>-3.1882518362167378E-3</v>
      </c>
      <c r="I200"/>
      <c r="K200" s="38"/>
    </row>
    <row r="201" spans="1:11" x14ac:dyDescent="0.3">
      <c r="A201" s="16">
        <v>199</v>
      </c>
      <c r="B201" s="3">
        <v>45596</v>
      </c>
      <c r="C201" s="40">
        <v>5705.45</v>
      </c>
      <c r="D201" s="46">
        <f t="shared" si="10"/>
        <v>-1.8614747655095742E-2</v>
      </c>
      <c r="E201">
        <v>7342.66</v>
      </c>
      <c r="F201">
        <v>7.7728999999999999</v>
      </c>
      <c r="G201" s="43">
        <f t="shared" si="9"/>
        <v>944.64871540866341</v>
      </c>
      <c r="H201">
        <f t="shared" si="11"/>
        <v>1.0683394288438786E-2</v>
      </c>
      <c r="I201"/>
      <c r="K201" s="38"/>
    </row>
    <row r="202" spans="1:11" x14ac:dyDescent="0.3">
      <c r="A202" s="16">
        <v>200</v>
      </c>
      <c r="B202" s="3">
        <v>45597</v>
      </c>
      <c r="C202" s="40">
        <v>5728.8</v>
      </c>
      <c r="D202" s="46">
        <f t="shared" si="10"/>
        <v>4.0925781489629109E-3</v>
      </c>
      <c r="E202">
        <v>7367.65</v>
      </c>
      <c r="F202">
        <v>7.7769000000000004</v>
      </c>
      <c r="G202" s="43">
        <f t="shared" si="9"/>
        <v>947.37620388586697</v>
      </c>
      <c r="H202">
        <f t="shared" si="11"/>
        <v>2.8873044897157474E-3</v>
      </c>
      <c r="I202"/>
      <c r="K202" s="38"/>
    </row>
    <row r="203" spans="1:11" x14ac:dyDescent="0.3">
      <c r="A203" s="16">
        <v>201</v>
      </c>
      <c r="B203" s="3">
        <v>45600</v>
      </c>
      <c r="C203" s="40">
        <v>5712.69</v>
      </c>
      <c r="D203" s="46">
        <f t="shared" si="10"/>
        <v>-2.8121072475911779E-3</v>
      </c>
      <c r="E203">
        <v>7556.62</v>
      </c>
      <c r="F203">
        <v>7.7721</v>
      </c>
      <c r="G203" s="43">
        <f t="shared" si="9"/>
        <v>972.27518945973418</v>
      </c>
      <c r="H203">
        <f t="shared" si="11"/>
        <v>2.628204663758571E-2</v>
      </c>
      <c r="I203"/>
      <c r="K203" s="38"/>
    </row>
    <row r="204" spans="1:11" x14ac:dyDescent="0.3">
      <c r="A204" s="16">
        <v>202</v>
      </c>
      <c r="B204" s="3">
        <v>45601</v>
      </c>
      <c r="C204" s="40">
        <v>5782.76</v>
      </c>
      <c r="D204" s="46">
        <f t="shared" si="10"/>
        <v>1.2265675189796932E-2</v>
      </c>
      <c r="E204">
        <v>7363.47</v>
      </c>
      <c r="F204">
        <v>7.7727000000000004</v>
      </c>
      <c r="G204" s="43">
        <f t="shared" si="9"/>
        <v>947.35034158014594</v>
      </c>
      <c r="H204">
        <f t="shared" si="11"/>
        <v>-2.5635589748452037E-2</v>
      </c>
      <c r="I204"/>
      <c r="K204" s="38"/>
    </row>
    <row r="205" spans="1:11" x14ac:dyDescent="0.3">
      <c r="A205" s="16">
        <v>203</v>
      </c>
      <c r="B205" s="3">
        <v>45602</v>
      </c>
      <c r="C205" s="40">
        <v>5929.04</v>
      </c>
      <c r="D205" s="46">
        <f t="shared" si="10"/>
        <v>2.5295879476236127E-2</v>
      </c>
      <c r="E205">
        <v>7546.95</v>
      </c>
      <c r="F205">
        <v>7.7759</v>
      </c>
      <c r="G205" s="43">
        <f t="shared" si="9"/>
        <v>970.55646291747576</v>
      </c>
      <c r="H205">
        <f t="shared" si="11"/>
        <v>2.4495817775948447E-2</v>
      </c>
      <c r="I205"/>
      <c r="K205" s="38"/>
    </row>
    <row r="206" spans="1:11" x14ac:dyDescent="0.3">
      <c r="A206" s="16">
        <v>204</v>
      </c>
      <c r="B206" s="3">
        <v>45603</v>
      </c>
      <c r="C206" s="40">
        <v>5973.1</v>
      </c>
      <c r="D206" s="46">
        <f t="shared" si="10"/>
        <v>7.4312198939459062E-3</v>
      </c>
      <c r="E206">
        <v>7461.44</v>
      </c>
      <c r="F206">
        <v>7.7706</v>
      </c>
      <c r="G206" s="43">
        <f t="shared" si="9"/>
        <v>960.2141404782127</v>
      </c>
      <c r="H206">
        <f t="shared" si="11"/>
        <v>-1.0656074978032892E-2</v>
      </c>
      <c r="I206"/>
      <c r="K206" s="38"/>
    </row>
    <row r="207" spans="1:11" x14ac:dyDescent="0.3">
      <c r="A207" s="16">
        <v>205</v>
      </c>
      <c r="B207" s="3">
        <v>45604</v>
      </c>
      <c r="C207" s="40">
        <v>5995.54</v>
      </c>
      <c r="D207" s="46">
        <f t="shared" si="10"/>
        <v>3.7568431802581514E-3</v>
      </c>
      <c r="E207">
        <v>7355.57</v>
      </c>
      <c r="F207">
        <v>7.7744999999999997</v>
      </c>
      <c r="G207" s="43">
        <f t="shared" si="9"/>
        <v>946.11486269213458</v>
      </c>
      <c r="H207">
        <f t="shared" si="11"/>
        <v>-1.4683472354464877E-2</v>
      </c>
      <c r="I207"/>
      <c r="K207" s="38"/>
    </row>
    <row r="208" spans="1:11" x14ac:dyDescent="0.3">
      <c r="A208" s="16">
        <v>206</v>
      </c>
      <c r="B208" s="3">
        <v>45607</v>
      </c>
      <c r="C208" s="40">
        <v>6001.35</v>
      </c>
      <c r="D208" s="46">
        <f t="shared" si="10"/>
        <v>9.6905366322297404E-4</v>
      </c>
      <c r="E208">
        <v>7127.14</v>
      </c>
      <c r="F208">
        <v>7.7755999999999998</v>
      </c>
      <c r="G208" s="43">
        <f t="shared" si="9"/>
        <v>916.60322033026398</v>
      </c>
      <c r="H208">
        <f t="shared" si="11"/>
        <v>-3.1192451916352226E-2</v>
      </c>
      <c r="I208"/>
      <c r="K208" s="38"/>
    </row>
    <row r="209" spans="1:11" x14ac:dyDescent="0.3">
      <c r="A209" s="16">
        <v>207</v>
      </c>
      <c r="B209" s="3">
        <v>45608</v>
      </c>
      <c r="C209" s="40">
        <v>5983.99</v>
      </c>
      <c r="D209" s="46">
        <f t="shared" si="10"/>
        <v>-2.8926824797754769E-3</v>
      </c>
      <c r="E209">
        <v>7130.93</v>
      </c>
      <c r="F209">
        <v>7.7778999999999998</v>
      </c>
      <c r="G209" s="43">
        <f t="shared" si="9"/>
        <v>916.81944998007179</v>
      </c>
      <c r="H209">
        <f t="shared" si="11"/>
        <v>2.3590321854838336E-4</v>
      </c>
      <c r="I209"/>
      <c r="K209" s="38"/>
    </row>
    <row r="210" spans="1:11" x14ac:dyDescent="0.3">
      <c r="A210" s="16">
        <v>208</v>
      </c>
      <c r="B210" s="3">
        <v>45609</v>
      </c>
      <c r="C210" s="40">
        <v>5985.38</v>
      </c>
      <c r="D210" s="46">
        <f t="shared" si="10"/>
        <v>2.3228648443596178E-4</v>
      </c>
      <c r="E210">
        <v>6973.08</v>
      </c>
      <c r="F210">
        <v>7.7805999999999997</v>
      </c>
      <c r="G210" s="43">
        <f t="shared" si="9"/>
        <v>896.21365961493973</v>
      </c>
      <c r="H210">
        <f t="shared" si="11"/>
        <v>-2.2475298015961598E-2</v>
      </c>
      <c r="I210"/>
      <c r="K210" s="38"/>
    </row>
    <row r="211" spans="1:11" x14ac:dyDescent="0.3">
      <c r="A211" s="16">
        <v>209</v>
      </c>
      <c r="B211" s="3">
        <v>45610</v>
      </c>
      <c r="C211" s="40">
        <v>5949.17</v>
      </c>
      <c r="D211" s="46">
        <f t="shared" si="10"/>
        <v>-6.0497412027306074E-3</v>
      </c>
      <c r="E211">
        <v>6980.06</v>
      </c>
      <c r="F211">
        <v>7.7812000000000001</v>
      </c>
      <c r="G211" s="43">
        <f t="shared" si="9"/>
        <v>897.04158741582285</v>
      </c>
      <c r="H211">
        <f t="shared" si="11"/>
        <v>9.2380627320376441E-4</v>
      </c>
      <c r="I211"/>
      <c r="K211" s="38"/>
    </row>
    <row r="212" spans="1:11" x14ac:dyDescent="0.3">
      <c r="A212" s="16">
        <v>210</v>
      </c>
      <c r="B212" s="3">
        <v>45611</v>
      </c>
      <c r="C212" s="40">
        <v>5870.62</v>
      </c>
      <c r="D212" s="46">
        <f t="shared" si="10"/>
        <v>-1.3203522508181798E-2</v>
      </c>
      <c r="E212">
        <v>7057.1</v>
      </c>
      <c r="F212">
        <v>7.7850999999999999</v>
      </c>
      <c r="G212" s="43">
        <f t="shared" si="9"/>
        <v>906.48803483577615</v>
      </c>
      <c r="H212">
        <f t="shared" si="11"/>
        <v>1.053066831290006E-2</v>
      </c>
      <c r="I212"/>
      <c r="K212" s="38"/>
    </row>
    <row r="213" spans="1:11" x14ac:dyDescent="0.3">
      <c r="A213" s="16">
        <v>211</v>
      </c>
      <c r="B213" s="3">
        <v>45614</v>
      </c>
      <c r="C213" s="40">
        <v>5893.62</v>
      </c>
      <c r="D213" s="46">
        <f t="shared" si="10"/>
        <v>3.9178144727474162E-3</v>
      </c>
      <c r="E213">
        <v>7082.21</v>
      </c>
      <c r="F213">
        <v>7.7835999999999999</v>
      </c>
      <c r="G213" s="43">
        <f t="shared" si="9"/>
        <v>909.88874042859345</v>
      </c>
      <c r="H213">
        <f t="shared" si="11"/>
        <v>3.7515173528279711E-3</v>
      </c>
      <c r="I213"/>
      <c r="K213" s="38"/>
    </row>
    <row r="214" spans="1:11" x14ac:dyDescent="0.3">
      <c r="A214" s="16">
        <v>212</v>
      </c>
      <c r="B214" s="3">
        <v>45615</v>
      </c>
      <c r="C214" s="40">
        <v>5916.98</v>
      </c>
      <c r="D214" s="46">
        <f t="shared" si="10"/>
        <v>3.9636081050355987E-3</v>
      </c>
      <c r="E214">
        <v>7090.86</v>
      </c>
      <c r="F214">
        <v>7.7831000000000001</v>
      </c>
      <c r="G214" s="43">
        <f t="shared" si="9"/>
        <v>911.05857563181758</v>
      </c>
      <c r="H214">
        <f t="shared" si="11"/>
        <v>1.2856903830604782E-3</v>
      </c>
      <c r="I214"/>
      <c r="K214" s="38"/>
    </row>
    <row r="215" spans="1:11" x14ac:dyDescent="0.3">
      <c r="A215" s="16">
        <v>213</v>
      </c>
      <c r="B215" s="3">
        <v>45616</v>
      </c>
      <c r="C215" s="40">
        <v>5917.11</v>
      </c>
      <c r="D215" s="46">
        <f t="shared" si="10"/>
        <v>2.1970667468895755E-5</v>
      </c>
      <c r="E215">
        <v>7034.89</v>
      </c>
      <c r="F215">
        <v>7.7835000000000001</v>
      </c>
      <c r="G215" s="43">
        <f t="shared" si="9"/>
        <v>903.82090319265114</v>
      </c>
      <c r="H215">
        <f t="shared" si="11"/>
        <v>-7.9442448957215417E-3</v>
      </c>
      <c r="I215"/>
      <c r="K215" s="38"/>
    </row>
    <row r="216" spans="1:11" x14ac:dyDescent="0.3">
      <c r="A216" s="16">
        <v>214</v>
      </c>
      <c r="B216" s="3">
        <v>45617</v>
      </c>
      <c r="C216" s="40">
        <v>5948.71</v>
      </c>
      <c r="D216" s="46">
        <f t="shared" si="10"/>
        <v>5.3404449131417842E-3</v>
      </c>
      <c r="E216">
        <v>6887.05</v>
      </c>
      <c r="F216">
        <v>7.7826000000000004</v>
      </c>
      <c r="G216" s="43">
        <f t="shared" si="9"/>
        <v>884.92920103821348</v>
      </c>
      <c r="H216">
        <f t="shared" si="11"/>
        <v>-2.0902041640887825E-2</v>
      </c>
      <c r="I216"/>
      <c r="K216" s="38"/>
    </row>
    <row r="217" spans="1:11" x14ac:dyDescent="0.3">
      <c r="A217" s="16">
        <v>215</v>
      </c>
      <c r="B217" s="3">
        <v>45618</v>
      </c>
      <c r="C217" s="40">
        <v>5969.34</v>
      </c>
      <c r="D217" s="46">
        <f t="shared" si="10"/>
        <v>3.4679787718681077E-3</v>
      </c>
      <c r="E217">
        <v>6862.2</v>
      </c>
      <c r="F217">
        <v>7.7840999999999996</v>
      </c>
      <c r="G217" s="43">
        <f t="shared" si="9"/>
        <v>881.56626970362663</v>
      </c>
      <c r="H217">
        <f t="shared" si="11"/>
        <v>-3.8002264256185025E-3</v>
      </c>
      <c r="I217"/>
      <c r="K217" s="38"/>
    </row>
    <row r="218" spans="1:11" x14ac:dyDescent="0.3">
      <c r="A218" s="16">
        <v>216</v>
      </c>
      <c r="B218" s="3">
        <v>45621</v>
      </c>
      <c r="C218" s="40">
        <v>5987.37</v>
      </c>
      <c r="D218" s="46">
        <f t="shared" si="10"/>
        <v>3.0204344198856425E-3</v>
      </c>
      <c r="E218">
        <v>6851.56</v>
      </c>
      <c r="F218">
        <v>7.7821999999999996</v>
      </c>
      <c r="G218" s="43">
        <f t="shared" si="9"/>
        <v>880.41427873866007</v>
      </c>
      <c r="H218">
        <f t="shared" si="11"/>
        <v>-1.3067548119256589E-3</v>
      </c>
      <c r="I218"/>
      <c r="K218" s="38"/>
    </row>
    <row r="219" spans="1:11" x14ac:dyDescent="0.3">
      <c r="A219" s="16">
        <v>217</v>
      </c>
      <c r="B219" s="3">
        <v>45622</v>
      </c>
      <c r="C219" s="40">
        <v>6021.63</v>
      </c>
      <c r="D219" s="46">
        <f t="shared" si="10"/>
        <v>5.722044904524104E-3</v>
      </c>
      <c r="E219">
        <v>7027.4</v>
      </c>
      <c r="F219">
        <v>7.7828999999999997</v>
      </c>
      <c r="G219" s="43">
        <f t="shared" si="9"/>
        <v>902.92821441878993</v>
      </c>
      <c r="H219">
        <f t="shared" si="11"/>
        <v>2.5571979264562561E-2</v>
      </c>
      <c r="I219"/>
      <c r="K219" s="38"/>
    </row>
    <row r="220" spans="1:11" x14ac:dyDescent="0.3">
      <c r="A220" s="16">
        <v>218</v>
      </c>
      <c r="B220" s="3">
        <v>45623</v>
      </c>
      <c r="C220" s="40">
        <v>5998.74</v>
      </c>
      <c r="D220" s="46">
        <f t="shared" si="10"/>
        <v>-3.8012963267421984E-3</v>
      </c>
      <c r="E220">
        <v>6946.68</v>
      </c>
      <c r="F220">
        <v>7.7816000000000001</v>
      </c>
      <c r="G220" s="43">
        <f t="shared" si="9"/>
        <v>892.70587025804468</v>
      </c>
      <c r="H220">
        <f t="shared" si="11"/>
        <v>-1.1321325435959873E-2</v>
      </c>
      <c r="I220"/>
      <c r="K220" s="38"/>
    </row>
    <row r="221" spans="1:11" x14ac:dyDescent="0.3">
      <c r="A221" s="16">
        <v>219</v>
      </c>
      <c r="B221" s="3">
        <v>45625</v>
      </c>
      <c r="C221" s="40">
        <v>6032.38</v>
      </c>
      <c r="D221" s="46">
        <f t="shared" si="10"/>
        <v>5.6078443139726541E-3</v>
      </c>
      <c r="E221">
        <v>7009.05</v>
      </c>
      <c r="F221">
        <v>7.7817999999999996</v>
      </c>
      <c r="G221" s="43">
        <f t="shared" si="9"/>
        <v>900.69778200416363</v>
      </c>
      <c r="H221">
        <f t="shared" si="11"/>
        <v>8.9524579286219819E-3</v>
      </c>
      <c r="I221"/>
      <c r="K221" s="38"/>
    </row>
    <row r="222" spans="1:11" x14ac:dyDescent="0.3">
      <c r="A222" s="16">
        <v>220</v>
      </c>
      <c r="B222" s="3">
        <v>45628</v>
      </c>
      <c r="C222" s="40">
        <v>6047.15</v>
      </c>
      <c r="D222" s="46">
        <f t="shared" si="10"/>
        <v>2.4484531809998433E-3</v>
      </c>
      <c r="E222">
        <v>7072.13</v>
      </c>
      <c r="F222">
        <v>7.7815000000000003</v>
      </c>
      <c r="G222" s="43">
        <f t="shared" si="9"/>
        <v>908.83891280601426</v>
      </c>
      <c r="H222">
        <f t="shared" si="11"/>
        <v>9.0386930716490621E-3</v>
      </c>
      <c r="I222"/>
      <c r="K222" s="38"/>
    </row>
    <row r="223" spans="1:11" x14ac:dyDescent="0.3">
      <c r="A223" s="16">
        <v>221</v>
      </c>
      <c r="B223" s="3">
        <v>45629</v>
      </c>
      <c r="C223" s="40">
        <v>6049.88</v>
      </c>
      <c r="D223" s="46">
        <f t="shared" si="10"/>
        <v>4.5145233705135013E-4</v>
      </c>
      <c r="E223">
        <v>7085</v>
      </c>
      <c r="F223">
        <v>7.7827000000000002</v>
      </c>
      <c r="G223" s="43">
        <f t="shared" si="9"/>
        <v>910.35244837909715</v>
      </c>
      <c r="H223">
        <f t="shared" si="11"/>
        <v>1.6653507588157979E-3</v>
      </c>
      <c r="I223"/>
      <c r="K223" s="38"/>
    </row>
    <row r="224" spans="1:11" x14ac:dyDescent="0.3">
      <c r="A224" s="16">
        <v>222</v>
      </c>
      <c r="B224" s="3">
        <v>45630</v>
      </c>
      <c r="C224" s="40">
        <v>6086.49</v>
      </c>
      <c r="D224" s="46">
        <f t="shared" si="10"/>
        <v>6.0513596963907013E-3</v>
      </c>
      <c r="E224">
        <v>7014.13</v>
      </c>
      <c r="F224">
        <v>7.7843999999999998</v>
      </c>
      <c r="G224" s="43">
        <f t="shared" si="9"/>
        <v>901.04953496737073</v>
      </c>
      <c r="H224">
        <f t="shared" si="11"/>
        <v>-1.0219023882772515E-2</v>
      </c>
      <c r="I224"/>
      <c r="K224" s="38"/>
    </row>
    <row r="225" spans="1:11" x14ac:dyDescent="0.3">
      <c r="A225" s="16">
        <v>223</v>
      </c>
      <c r="B225" s="3">
        <v>45631</v>
      </c>
      <c r="C225" s="40">
        <v>6075.11</v>
      </c>
      <c r="D225" s="46">
        <f t="shared" si="10"/>
        <v>-1.8697147288503357E-3</v>
      </c>
      <c r="E225">
        <v>7136.55</v>
      </c>
      <c r="F225">
        <v>7.7820999999999998</v>
      </c>
      <c r="G225" s="43">
        <f t="shared" si="9"/>
        <v>917.04681255702189</v>
      </c>
      <c r="H225">
        <f t="shared" si="11"/>
        <v>1.7754048993799731E-2</v>
      </c>
      <c r="I225"/>
      <c r="K225" s="38"/>
    </row>
    <row r="226" spans="1:11" x14ac:dyDescent="0.3">
      <c r="A226" s="16">
        <v>224</v>
      </c>
      <c r="B226" s="3">
        <v>45632</v>
      </c>
      <c r="C226" s="40">
        <v>6090.27</v>
      </c>
      <c r="D226" s="46">
        <f t="shared" si="10"/>
        <v>2.4954280663231909E-3</v>
      </c>
      <c r="E226">
        <v>7360.67</v>
      </c>
      <c r="F226">
        <v>7.7790999999999997</v>
      </c>
      <c r="G226" s="43">
        <f t="shared" si="9"/>
        <v>946.21100127264083</v>
      </c>
      <c r="H226">
        <f t="shared" si="11"/>
        <v>3.1802290042642234E-2</v>
      </c>
      <c r="I226"/>
      <c r="K226" s="38"/>
    </row>
    <row r="227" spans="1:11" x14ac:dyDescent="0.3">
      <c r="A227" s="16">
        <v>225</v>
      </c>
      <c r="B227" s="3">
        <v>45635</v>
      </c>
      <c r="C227" s="40">
        <v>6052.85</v>
      </c>
      <c r="D227" s="46">
        <f t="shared" si="10"/>
        <v>-6.1442267748391677E-3</v>
      </c>
      <c r="E227">
        <v>7306.16</v>
      </c>
      <c r="F227">
        <v>7.7742000000000004</v>
      </c>
      <c r="G227" s="43">
        <f t="shared" si="9"/>
        <v>939.79573460934876</v>
      </c>
      <c r="H227">
        <f t="shared" si="11"/>
        <v>-6.7799535776519315E-3</v>
      </c>
      <c r="I227"/>
      <c r="K227" s="38"/>
    </row>
    <row r="228" spans="1:11" x14ac:dyDescent="0.3">
      <c r="A228" s="16">
        <v>226</v>
      </c>
      <c r="B228" s="3">
        <v>45636</v>
      </c>
      <c r="C228" s="40">
        <v>6034.91</v>
      </c>
      <c r="D228" s="46">
        <f t="shared" si="10"/>
        <v>-2.9638930421207466E-3</v>
      </c>
      <c r="E228">
        <v>7249.38</v>
      </c>
      <c r="F228">
        <v>7.7740999999999998</v>
      </c>
      <c r="G228" s="43">
        <f t="shared" si="9"/>
        <v>932.50408407404075</v>
      </c>
      <c r="H228">
        <f t="shared" si="11"/>
        <v>-7.7587610443230481E-3</v>
      </c>
      <c r="I228"/>
      <c r="K228" s="38"/>
    </row>
    <row r="229" spans="1:11" x14ac:dyDescent="0.3">
      <c r="A229" s="16">
        <v>227</v>
      </c>
      <c r="B229" s="3">
        <v>45637</v>
      </c>
      <c r="C229" s="40">
        <v>6084.19</v>
      </c>
      <c r="D229" s="46">
        <f t="shared" si="10"/>
        <v>8.1658218598121834E-3</v>
      </c>
      <c r="E229">
        <v>7360.1</v>
      </c>
      <c r="F229">
        <v>7.7746000000000004</v>
      </c>
      <c r="G229" s="43">
        <f t="shared" si="9"/>
        <v>946.68536001852181</v>
      </c>
      <c r="H229">
        <f t="shared" si="11"/>
        <v>1.5207736016044082E-2</v>
      </c>
      <c r="I229"/>
      <c r="K229" s="38"/>
    </row>
    <row r="230" spans="1:11" x14ac:dyDescent="0.3">
      <c r="A230" s="16">
        <v>228</v>
      </c>
      <c r="B230" s="3">
        <v>45638</v>
      </c>
      <c r="C230" s="40">
        <v>6051.25</v>
      </c>
      <c r="D230" s="46">
        <f t="shared" si="10"/>
        <v>-5.4140321061636465E-3</v>
      </c>
      <c r="E230">
        <v>7186.59</v>
      </c>
      <c r="F230">
        <v>7.7746000000000004</v>
      </c>
      <c r="G230" s="43">
        <f t="shared" si="9"/>
        <v>924.36781313508084</v>
      </c>
      <c r="H230">
        <f t="shared" si="11"/>
        <v>-2.3574407956413634E-2</v>
      </c>
      <c r="I230"/>
      <c r="K230" s="38"/>
    </row>
    <row r="231" spans="1:11" x14ac:dyDescent="0.3">
      <c r="A231" s="16">
        <v>229</v>
      </c>
      <c r="B231" s="3">
        <v>45639</v>
      </c>
      <c r="C231" s="40">
        <v>6051.09</v>
      </c>
      <c r="D231" s="46">
        <f t="shared" si="10"/>
        <v>-2.6440818012729572E-5</v>
      </c>
      <c r="E231">
        <v>7132.69</v>
      </c>
      <c r="F231">
        <v>7.7751000000000001</v>
      </c>
      <c r="G231" s="43">
        <f t="shared" si="9"/>
        <v>917.37598230247841</v>
      </c>
      <c r="H231">
        <f t="shared" si="11"/>
        <v>-7.5639055506367958E-3</v>
      </c>
      <c r="I231"/>
      <c r="K231" s="38"/>
    </row>
    <row r="232" spans="1:11" x14ac:dyDescent="0.3">
      <c r="A232" s="16">
        <v>230</v>
      </c>
      <c r="B232" s="3">
        <v>45642</v>
      </c>
      <c r="C232" s="40">
        <v>6074.08</v>
      </c>
      <c r="D232" s="46">
        <f t="shared" si="10"/>
        <v>3.7993154952247199E-3</v>
      </c>
      <c r="E232">
        <v>7105.44</v>
      </c>
      <c r="F232">
        <v>7.774</v>
      </c>
      <c r="G232" s="43">
        <f t="shared" si="9"/>
        <v>914.00051453563151</v>
      </c>
      <c r="H232">
        <f t="shared" si="11"/>
        <v>-3.6794812944360711E-3</v>
      </c>
      <c r="I232"/>
      <c r="K232" s="38"/>
    </row>
    <row r="233" spans="1:11" x14ac:dyDescent="0.3">
      <c r="A233" s="16">
        <v>231</v>
      </c>
      <c r="B233" s="3">
        <v>45643</v>
      </c>
      <c r="C233" s="40">
        <v>6050.61</v>
      </c>
      <c r="D233" s="46">
        <f t="shared" si="10"/>
        <v>-3.8639596449174807E-3</v>
      </c>
      <c r="E233">
        <v>7180.79</v>
      </c>
      <c r="F233">
        <v>7.7691999999999997</v>
      </c>
      <c r="G233" s="43">
        <f t="shared" si="9"/>
        <v>924.26375946043356</v>
      </c>
      <c r="H233">
        <f t="shared" si="11"/>
        <v>1.1228926856804211E-2</v>
      </c>
      <c r="I233"/>
      <c r="K233" s="38"/>
    </row>
    <row r="234" spans="1:11" x14ac:dyDescent="0.3">
      <c r="A234" s="16">
        <v>232</v>
      </c>
      <c r="B234" s="3">
        <v>45644</v>
      </c>
      <c r="C234" s="40">
        <v>5872.16</v>
      </c>
      <c r="D234" s="46">
        <f t="shared" si="10"/>
        <v>-2.9492894104891865E-2</v>
      </c>
      <c r="E234">
        <v>7152.13</v>
      </c>
      <c r="F234">
        <v>7.7704000000000004</v>
      </c>
      <c r="G234" s="43">
        <f t="shared" si="9"/>
        <v>920.4326675589416</v>
      </c>
      <c r="H234">
        <f t="shared" si="11"/>
        <v>-4.1450201441723955E-3</v>
      </c>
      <c r="I234"/>
      <c r="K234" s="38"/>
    </row>
    <row r="235" spans="1:11" x14ac:dyDescent="0.3">
      <c r="A235" s="16">
        <v>233</v>
      </c>
      <c r="B235" s="3">
        <v>45645</v>
      </c>
      <c r="C235" s="40">
        <v>5867.08</v>
      </c>
      <c r="D235" s="46">
        <f t="shared" si="10"/>
        <v>-8.6509904362275236E-4</v>
      </c>
      <c r="E235">
        <v>7143.88</v>
      </c>
      <c r="F235">
        <v>7.7694999999999999</v>
      </c>
      <c r="G235" s="43">
        <f t="shared" si="9"/>
        <v>919.47744385095564</v>
      </c>
      <c r="H235">
        <f t="shared" si="11"/>
        <v>-1.0377985719686178E-3</v>
      </c>
      <c r="I235"/>
      <c r="K235" s="38"/>
    </row>
    <row r="236" spans="1:11" x14ac:dyDescent="0.3">
      <c r="A236" s="16">
        <v>234</v>
      </c>
      <c r="B236" s="3">
        <v>45646</v>
      </c>
      <c r="C236" s="40">
        <v>5930.85</v>
      </c>
      <c r="D236" s="46">
        <f t="shared" si="10"/>
        <v>1.0869120584686254E-2</v>
      </c>
      <c r="E236">
        <v>7213.85</v>
      </c>
      <c r="F236">
        <v>7.7750000000000004</v>
      </c>
      <c r="G236" s="43">
        <f t="shared" si="9"/>
        <v>927.82636655948556</v>
      </c>
      <c r="H236">
        <f t="shared" si="11"/>
        <v>9.0800734312339593E-3</v>
      </c>
      <c r="I236"/>
      <c r="K236" s="38"/>
    </row>
    <row r="237" spans="1:11" x14ac:dyDescent="0.3">
      <c r="A237" s="16">
        <v>235</v>
      </c>
      <c r="B237" s="3">
        <v>45649</v>
      </c>
      <c r="C237" s="40">
        <v>5974.07</v>
      </c>
      <c r="D237" s="46">
        <f t="shared" si="10"/>
        <v>7.2873196927927264E-3</v>
      </c>
      <c r="E237">
        <v>7303.92</v>
      </c>
      <c r="F237">
        <v>7.7698999999999998</v>
      </c>
      <c r="G237" s="43">
        <f t="shared" si="9"/>
        <v>940.02754218201005</v>
      </c>
      <c r="H237">
        <f t="shared" si="11"/>
        <v>1.3150279041722168E-2</v>
      </c>
      <c r="I237"/>
      <c r="K237" s="38"/>
    </row>
    <row r="238" spans="1:11" x14ac:dyDescent="0.3">
      <c r="A238" s="16">
        <v>236</v>
      </c>
      <c r="B238" s="3">
        <v>45650</v>
      </c>
      <c r="C238" s="40">
        <v>6040.04</v>
      </c>
      <c r="D238" s="46">
        <f t="shared" si="10"/>
        <v>1.1042722967758989E-2</v>
      </c>
      <c r="E238">
        <v>7305.36</v>
      </c>
      <c r="F238">
        <v>7.7672999999999996</v>
      </c>
      <c r="G238" s="43">
        <f t="shared" si="9"/>
        <v>940.52759646209108</v>
      </c>
      <c r="H238">
        <f t="shared" si="11"/>
        <v>5.3195705193953557E-4</v>
      </c>
      <c r="I238"/>
      <c r="K238" s="38"/>
    </row>
    <row r="239" spans="1:11" x14ac:dyDescent="0.3">
      <c r="A239" s="16">
        <v>237</v>
      </c>
      <c r="B239" s="3">
        <v>45652</v>
      </c>
      <c r="C239" s="40">
        <v>6037.59</v>
      </c>
      <c r="D239" s="46">
        <f t="shared" si="10"/>
        <v>-4.0562645280495246E-4</v>
      </c>
      <c r="E239">
        <v>7280.48</v>
      </c>
      <c r="F239">
        <v>7.7618</v>
      </c>
      <c r="G239" s="43">
        <f t="shared" si="9"/>
        <v>937.98861088922672</v>
      </c>
      <c r="H239">
        <f t="shared" si="11"/>
        <v>-2.699533307066182E-3</v>
      </c>
      <c r="I239"/>
      <c r="K239" s="38"/>
    </row>
    <row r="240" spans="1:11" x14ac:dyDescent="0.3">
      <c r="A240" s="16">
        <v>238</v>
      </c>
      <c r="B240" s="3">
        <v>45653</v>
      </c>
      <c r="C240" s="40">
        <v>5970.84</v>
      </c>
      <c r="D240" s="46">
        <f t="shared" si="10"/>
        <v>-1.1055735815118317E-2</v>
      </c>
      <c r="E240">
        <v>7289.89</v>
      </c>
      <c r="F240">
        <v>7.7663000000000002</v>
      </c>
      <c r="G240" s="43">
        <f t="shared" si="9"/>
        <v>938.65676061960005</v>
      </c>
      <c r="H240">
        <f t="shared" si="11"/>
        <v>7.123217943338922E-4</v>
      </c>
      <c r="I240"/>
      <c r="K240" s="38"/>
    </row>
    <row r="241" spans="1:11" x14ac:dyDescent="0.3">
      <c r="A241" s="16">
        <v>239</v>
      </c>
      <c r="B241" s="3">
        <v>45656</v>
      </c>
      <c r="C241" s="40">
        <v>5906.94</v>
      </c>
      <c r="D241" s="46">
        <f t="shared" si="10"/>
        <v>-1.0702011777237508E-2</v>
      </c>
      <c r="E241">
        <v>7090.56</v>
      </c>
      <c r="F241">
        <v>7.7676999999999996</v>
      </c>
      <c r="G241" s="43">
        <f t="shared" si="9"/>
        <v>912.82619050684252</v>
      </c>
      <c r="H241">
        <f t="shared" si="11"/>
        <v>-2.7518653459340126E-2</v>
      </c>
      <c r="I241"/>
      <c r="K241" s="38"/>
    </row>
    <row r="242" spans="1:11" x14ac:dyDescent="0.3">
      <c r="A242" s="16">
        <v>240</v>
      </c>
      <c r="B242" s="3">
        <v>45657</v>
      </c>
      <c r="C242" s="40">
        <v>5881.63</v>
      </c>
      <c r="D242" s="46">
        <f t="shared" si="10"/>
        <v>-4.2847904329482711E-3</v>
      </c>
      <c r="E242">
        <v>7159.28</v>
      </c>
      <c r="F242">
        <v>7.7766999999999999</v>
      </c>
      <c r="G242" s="43">
        <f t="shared" si="9"/>
        <v>920.60642689058341</v>
      </c>
      <c r="H242">
        <f t="shared" si="11"/>
        <v>8.5232396535652732E-3</v>
      </c>
      <c r="I242"/>
      <c r="K242" s="38"/>
    </row>
    <row r="243" spans="1:11" x14ac:dyDescent="0.3">
      <c r="A243" s="16">
        <v>241</v>
      </c>
      <c r="B243" s="3">
        <v>45659</v>
      </c>
      <c r="C243" s="40">
        <v>5868.55</v>
      </c>
      <c r="D243" s="46">
        <f t="shared" si="10"/>
        <v>-2.2238733140302891E-3</v>
      </c>
      <c r="E243">
        <v>7135.48</v>
      </c>
      <c r="F243">
        <v>7.7778999999999998</v>
      </c>
      <c r="G243" s="43">
        <f t="shared" si="9"/>
        <v>917.40444078735902</v>
      </c>
      <c r="H243">
        <f t="shared" si="11"/>
        <v>-3.4781270363702932E-3</v>
      </c>
      <c r="I243"/>
      <c r="K243" s="38"/>
    </row>
    <row r="244" spans="1:11" x14ac:dyDescent="0.3">
      <c r="A244" s="16">
        <v>242</v>
      </c>
      <c r="B244" s="3">
        <v>45660</v>
      </c>
      <c r="C244" s="40">
        <v>5942.47</v>
      </c>
      <c r="D244" s="46">
        <f t="shared" si="10"/>
        <v>1.2595956411720177E-2</v>
      </c>
      <c r="E244">
        <v>7049.71</v>
      </c>
      <c r="F244">
        <v>7.7752999999999997</v>
      </c>
      <c r="G244" s="43">
        <f t="shared" si="9"/>
        <v>906.6801280979513</v>
      </c>
      <c r="H244">
        <f t="shared" si="11"/>
        <v>-1.168984170188192E-2</v>
      </c>
      <c r="I244"/>
      <c r="K244" s="38"/>
    </row>
    <row r="245" spans="1:11" x14ac:dyDescent="0.3">
      <c r="A245" s="16">
        <v>243</v>
      </c>
      <c r="B245" s="3">
        <v>45663</v>
      </c>
      <c r="C245" s="40">
        <v>5975.38</v>
      </c>
      <c r="D245" s="46">
        <f t="shared" si="10"/>
        <v>5.5381011599553442E-3</v>
      </c>
      <c r="E245">
        <v>6990.65</v>
      </c>
      <c r="F245">
        <v>7.7766999999999999</v>
      </c>
      <c r="G245" s="43">
        <f t="shared" si="9"/>
        <v>898.92242210706331</v>
      </c>
      <c r="H245">
        <f t="shared" si="11"/>
        <v>-8.5561663374736918E-3</v>
      </c>
      <c r="I245"/>
      <c r="K245" s="38"/>
    </row>
    <row r="246" spans="1:11" x14ac:dyDescent="0.3">
      <c r="A246" s="16">
        <v>244</v>
      </c>
      <c r="B246" s="3">
        <v>45664</v>
      </c>
      <c r="C246" s="40">
        <v>5909.03</v>
      </c>
      <c r="D246" s="46">
        <f t="shared" si="10"/>
        <v>-1.1103896321238205E-2</v>
      </c>
      <c r="E246">
        <v>6978.97</v>
      </c>
      <c r="F246">
        <v>7.7781000000000002</v>
      </c>
      <c r="G246" s="43">
        <f t="shared" si="9"/>
        <v>897.25897069978532</v>
      </c>
      <c r="H246">
        <f t="shared" si="11"/>
        <v>-1.8504949552585748E-3</v>
      </c>
      <c r="I246"/>
      <c r="K246" s="38"/>
    </row>
    <row r="247" spans="1:11" x14ac:dyDescent="0.3">
      <c r="A247" s="16">
        <v>245</v>
      </c>
      <c r="B247" s="3">
        <v>45665</v>
      </c>
      <c r="C247" s="40">
        <v>5918.25</v>
      </c>
      <c r="D247" s="46">
        <f t="shared" si="10"/>
        <v>1.5603237756451893E-3</v>
      </c>
      <c r="E247">
        <v>6898.15</v>
      </c>
      <c r="F247">
        <v>7.7824999999999998</v>
      </c>
      <c r="G247" s="43">
        <f t="shared" si="9"/>
        <v>886.36684869900421</v>
      </c>
      <c r="H247">
        <f t="shared" si="11"/>
        <v>-1.2139329175261615E-2</v>
      </c>
      <c r="I247"/>
      <c r="K247" s="38"/>
    </row>
    <row r="248" spans="1:11" x14ac:dyDescent="0.3">
      <c r="A248" s="16">
        <v>246</v>
      </c>
      <c r="B248" s="3">
        <v>45667</v>
      </c>
      <c r="C248" s="40">
        <v>5827.04</v>
      </c>
      <c r="D248" s="46">
        <f t="shared" si="10"/>
        <v>-1.5411650403413191E-2</v>
      </c>
      <c r="E248">
        <v>6843.71</v>
      </c>
      <c r="F248">
        <v>7.7873000000000001</v>
      </c>
      <c r="G248" s="43">
        <f t="shared" si="9"/>
        <v>878.82963286376537</v>
      </c>
      <c r="H248">
        <f t="shared" si="11"/>
        <v>-8.5034947395673521E-3</v>
      </c>
      <c r="I248"/>
      <c r="K248" s="38"/>
    </row>
    <row r="249" spans="1:11" x14ac:dyDescent="0.3">
      <c r="A249" s="16">
        <v>247</v>
      </c>
      <c r="B249" s="3">
        <v>45670</v>
      </c>
      <c r="C249" s="40">
        <v>5836.22</v>
      </c>
      <c r="D249" s="46">
        <f t="shared" si="10"/>
        <v>1.5754139322881056E-3</v>
      </c>
      <c r="E249">
        <v>6987.36</v>
      </c>
      <c r="F249">
        <v>7.7858000000000001</v>
      </c>
      <c r="G249" s="43">
        <f t="shared" si="9"/>
        <v>897.44920239410203</v>
      </c>
      <c r="H249">
        <f t="shared" si="11"/>
        <v>2.1186779364349206E-2</v>
      </c>
      <c r="I249"/>
      <c r="K249" s="38"/>
    </row>
    <row r="250" spans="1:11" x14ac:dyDescent="0.3">
      <c r="A250" s="16">
        <v>248</v>
      </c>
      <c r="B250" s="3">
        <v>45671</v>
      </c>
      <c r="C250" s="40">
        <v>5842.91</v>
      </c>
      <c r="D250" s="46">
        <f t="shared" si="10"/>
        <v>1.146289893115604E-3</v>
      </c>
      <c r="E250">
        <v>7011.6</v>
      </c>
      <c r="F250">
        <v>7.7866</v>
      </c>
      <c r="G250" s="43">
        <f t="shared" si="9"/>
        <v>900.47003827087565</v>
      </c>
      <c r="H250">
        <f t="shared" si="11"/>
        <v>3.3660243596127515E-3</v>
      </c>
      <c r="I250"/>
      <c r="K250" s="38"/>
    </row>
    <row r="251" spans="1:11" x14ac:dyDescent="0.3">
      <c r="A251" s="16">
        <v>249</v>
      </c>
      <c r="B251" s="3">
        <v>45672</v>
      </c>
      <c r="C251" s="40">
        <v>5949.91</v>
      </c>
      <c r="D251" s="46">
        <f t="shared" si="10"/>
        <v>1.8312792769356268E-2</v>
      </c>
      <c r="E251">
        <v>7098.76</v>
      </c>
      <c r="F251">
        <v>7.7866999999999997</v>
      </c>
      <c r="G251" s="43">
        <f t="shared" si="9"/>
        <v>911.65191929829075</v>
      </c>
      <c r="H251">
        <f t="shared" si="11"/>
        <v>1.2417826859500103E-2</v>
      </c>
      <c r="I251"/>
      <c r="K251" s="38"/>
    </row>
    <row r="252" spans="1:11" x14ac:dyDescent="0.3">
      <c r="A252" s="16">
        <v>250</v>
      </c>
      <c r="B252" s="3">
        <v>45673</v>
      </c>
      <c r="C252" s="40">
        <v>5937.34</v>
      </c>
      <c r="D252" s="46">
        <f t="shared" si="10"/>
        <v>-2.112636997870454E-3</v>
      </c>
      <c r="E252">
        <v>7108.81</v>
      </c>
      <c r="F252">
        <v>7.7869999999999999</v>
      </c>
      <c r="G252" s="43">
        <f t="shared" si="9"/>
        <v>912.90740978554004</v>
      </c>
      <c r="H252">
        <f t="shared" si="11"/>
        <v>1.37715992329146E-3</v>
      </c>
      <c r="I252"/>
      <c r="K252" s="38"/>
    </row>
    <row r="253" spans="1:11" x14ac:dyDescent="0.3">
      <c r="A253" s="16">
        <v>251</v>
      </c>
      <c r="B253" s="3">
        <v>45674</v>
      </c>
      <c r="C253" s="40">
        <v>5996.66</v>
      </c>
      <c r="D253" s="46">
        <f t="shared" si="10"/>
        <v>9.9910060734267336E-3</v>
      </c>
      <c r="E253">
        <v>7320.88</v>
      </c>
      <c r="F253">
        <v>7.7858999999999998</v>
      </c>
      <c r="G253" s="43">
        <f t="shared" si="9"/>
        <v>940.27408520530707</v>
      </c>
      <c r="H253">
        <f t="shared" si="11"/>
        <v>2.997749292690699E-2</v>
      </c>
      <c r="I253"/>
      <c r="K253" s="38"/>
    </row>
    <row r="254" spans="1:11" x14ac:dyDescent="0.3">
      <c r="A254" s="16">
        <v>252</v>
      </c>
      <c r="B254" s="3">
        <v>45678</v>
      </c>
      <c r="C254" s="40">
        <v>6049.24</v>
      </c>
      <c r="D254" s="46">
        <f t="shared" si="10"/>
        <v>8.7682143059637507E-3</v>
      </c>
      <c r="E254">
        <v>7177.14</v>
      </c>
      <c r="F254">
        <v>7.7850999999999999</v>
      </c>
      <c r="G254" s="43">
        <f t="shared" si="9"/>
        <v>921.90723304774508</v>
      </c>
      <c r="H254">
        <f t="shared" si="11"/>
        <v>-1.9533508842319747E-2</v>
      </c>
      <c r="I254"/>
      <c r="K254" s="38"/>
    </row>
    <row r="255" spans="1:11" x14ac:dyDescent="0.3">
      <c r="A255" s="16">
        <v>253</v>
      </c>
      <c r="B255" s="3">
        <v>45679</v>
      </c>
      <c r="C255" s="40">
        <v>6086.37</v>
      </c>
      <c r="D255" s="46">
        <f t="shared" si="10"/>
        <v>6.1379611323075789E-3</v>
      </c>
      <c r="E255">
        <v>7164.22</v>
      </c>
      <c r="F255">
        <v>7.7884000000000002</v>
      </c>
      <c r="G255" s="43">
        <f t="shared" si="9"/>
        <v>919.85773714755283</v>
      </c>
      <c r="H255">
        <f t="shared" si="11"/>
        <v>-2.2231042633398257E-3</v>
      </c>
      <c r="I255"/>
      <c r="K255" s="38"/>
    </row>
    <row r="256" spans="1:11" x14ac:dyDescent="0.3">
      <c r="A256" s="16">
        <v>254</v>
      </c>
      <c r="B256" s="3">
        <v>45680</v>
      </c>
      <c r="C256" s="40">
        <v>6118.71</v>
      </c>
      <c r="D256" s="46">
        <f t="shared" si="10"/>
        <v>5.31351199483443E-3</v>
      </c>
      <c r="E256">
        <v>7312.16</v>
      </c>
      <c r="F256">
        <v>7.7892000000000001</v>
      </c>
      <c r="G256" s="43">
        <f t="shared" si="9"/>
        <v>938.75622657012275</v>
      </c>
      <c r="H256">
        <f t="shared" si="11"/>
        <v>2.0545013276915602E-2</v>
      </c>
      <c r="I256"/>
      <c r="K256" s="38"/>
    </row>
    <row r="257" spans="1:11" x14ac:dyDescent="0.3">
      <c r="A257" s="16">
        <v>255</v>
      </c>
      <c r="B257" s="3">
        <v>45681</v>
      </c>
      <c r="C257" s="40">
        <v>6101.24</v>
      </c>
      <c r="D257" s="46">
        <f t="shared" si="10"/>
        <v>-2.8551769899211044E-3</v>
      </c>
      <c r="E257">
        <v>7382.81</v>
      </c>
      <c r="F257">
        <v>7.7869000000000002</v>
      </c>
      <c r="G257" s="43">
        <f t="shared" si="9"/>
        <v>948.10643516675441</v>
      </c>
      <c r="H257">
        <f t="shared" si="11"/>
        <v>9.9602094047290812E-3</v>
      </c>
      <c r="I257"/>
      <c r="K257" s="38"/>
    </row>
    <row r="258" spans="1:11" x14ac:dyDescent="0.3">
      <c r="A258" s="16">
        <v>256</v>
      </c>
      <c r="B258" s="3">
        <v>45684</v>
      </c>
      <c r="C258" s="40">
        <v>6012.28</v>
      </c>
      <c r="D258" s="46">
        <f t="shared" si="10"/>
        <v>-1.45806426234667E-2</v>
      </c>
      <c r="E258">
        <v>7382.13</v>
      </c>
      <c r="F258">
        <v>7.7881</v>
      </c>
      <c r="G258" s="43">
        <f t="shared" si="9"/>
        <v>947.87303706937507</v>
      </c>
      <c r="H258">
        <f t="shared" si="11"/>
        <v>-2.4617288599915188E-4</v>
      </c>
      <c r="I258"/>
      <c r="K258" s="38"/>
    </row>
    <row r="259" spans="1:11" x14ac:dyDescent="0.3">
      <c r="A259" s="16">
        <v>257</v>
      </c>
      <c r="B259" s="3">
        <v>45691</v>
      </c>
      <c r="C259" s="40">
        <v>5994.57</v>
      </c>
      <c r="D259" s="46">
        <f t="shared" si="10"/>
        <v>-2.945637927707967E-3</v>
      </c>
      <c r="E259">
        <v>7384.11</v>
      </c>
      <c r="F259">
        <v>7.7927</v>
      </c>
      <c r="G259" s="43">
        <f t="shared" ref="G259:G317" si="12">E259/F259</f>
        <v>947.56759531356261</v>
      </c>
      <c r="H259">
        <f t="shared" si="11"/>
        <v>-3.222391015117454E-4</v>
      </c>
      <c r="I259"/>
      <c r="K259" s="38"/>
    </row>
    <row r="260" spans="1:11" x14ac:dyDescent="0.3">
      <c r="A260" s="16">
        <v>258</v>
      </c>
      <c r="B260" s="3">
        <v>45692</v>
      </c>
      <c r="C260" s="40">
        <v>6037.88</v>
      </c>
      <c r="D260" s="46">
        <f t="shared" ref="D260:D317" si="13">$C260/$C259-1</f>
        <v>7.2248718423506553E-3</v>
      </c>
      <c r="E260">
        <v>7643.63</v>
      </c>
      <c r="F260">
        <v>7.7869000000000002</v>
      </c>
      <c r="G260" s="43">
        <f t="shared" si="12"/>
        <v>981.60115065045136</v>
      </c>
      <c r="H260">
        <f t="shared" ref="H260:H317" si="14">$G260/$G259-1</f>
        <v>3.5916757290150425E-2</v>
      </c>
      <c r="I260"/>
      <c r="K260" s="38"/>
    </row>
    <row r="261" spans="1:11" x14ac:dyDescent="0.3">
      <c r="A261" s="16">
        <v>259</v>
      </c>
      <c r="B261" s="3">
        <v>45693</v>
      </c>
      <c r="C261" s="40">
        <v>6061.48</v>
      </c>
      <c r="D261" s="46">
        <f t="shared" si="13"/>
        <v>3.9086566808217427E-3</v>
      </c>
      <c r="E261">
        <v>7566.27</v>
      </c>
      <c r="F261">
        <v>7.7864000000000004</v>
      </c>
      <c r="G261" s="43">
        <f t="shared" si="12"/>
        <v>971.72891194903934</v>
      </c>
      <c r="H261">
        <f t="shared" si="14"/>
        <v>-1.005728110126014E-2</v>
      </c>
      <c r="I261"/>
      <c r="K261" s="38"/>
    </row>
    <row r="262" spans="1:11" x14ac:dyDescent="0.3">
      <c r="A262" s="16">
        <v>260</v>
      </c>
      <c r="B262" s="3">
        <v>45694</v>
      </c>
      <c r="C262" s="40">
        <v>6083.57</v>
      </c>
      <c r="D262" s="46">
        <f t="shared" si="13"/>
        <v>3.64432448840879E-3</v>
      </c>
      <c r="E262">
        <v>7690.35</v>
      </c>
      <c r="F262">
        <v>7.7862999999999998</v>
      </c>
      <c r="G262" s="43">
        <f t="shared" si="12"/>
        <v>987.67707383481252</v>
      </c>
      <c r="H262">
        <f t="shared" si="14"/>
        <v>1.641215125912554E-2</v>
      </c>
      <c r="I262"/>
      <c r="K262" s="38"/>
    </row>
    <row r="263" spans="1:11" x14ac:dyDescent="0.3">
      <c r="A263" s="16">
        <v>261</v>
      </c>
      <c r="B263" s="3">
        <v>45695</v>
      </c>
      <c r="C263" s="40">
        <v>6025.99</v>
      </c>
      <c r="D263" s="46">
        <f t="shared" si="13"/>
        <v>-9.464837258386094E-3</v>
      </c>
      <c r="E263">
        <v>7784.07</v>
      </c>
      <c r="F263">
        <v>7.7906000000000004</v>
      </c>
      <c r="G263" s="43">
        <f t="shared" si="12"/>
        <v>999.16181038687637</v>
      </c>
      <c r="H263">
        <f t="shared" si="14"/>
        <v>1.1628027881089187E-2</v>
      </c>
      <c r="I263"/>
      <c r="K263" s="38"/>
    </row>
    <row r="264" spans="1:11" x14ac:dyDescent="0.3">
      <c r="A264" s="16">
        <v>262</v>
      </c>
      <c r="B264" s="3">
        <v>45698</v>
      </c>
      <c r="C264" s="40">
        <v>6066.44</v>
      </c>
      <c r="D264" s="46">
        <f t="shared" si="13"/>
        <v>6.712589964470439E-3</v>
      </c>
      <c r="E264">
        <v>7946.81</v>
      </c>
      <c r="F264">
        <v>7.7885999999999997</v>
      </c>
      <c r="G264" s="43">
        <f t="shared" si="12"/>
        <v>1020.3130215956655</v>
      </c>
      <c r="H264">
        <f t="shared" si="14"/>
        <v>2.116895480682901E-2</v>
      </c>
      <c r="I264"/>
      <c r="K264" s="38"/>
    </row>
    <row r="265" spans="1:11" x14ac:dyDescent="0.3">
      <c r="A265" s="16">
        <v>263</v>
      </c>
      <c r="B265" s="3">
        <v>45699</v>
      </c>
      <c r="C265" s="40">
        <v>6068.5</v>
      </c>
      <c r="D265" s="46">
        <f t="shared" si="13"/>
        <v>3.3957312690802155E-4</v>
      </c>
      <c r="E265">
        <v>7842.72</v>
      </c>
      <c r="F265">
        <v>7.7916999999999996</v>
      </c>
      <c r="G265" s="43">
        <f t="shared" si="12"/>
        <v>1006.5479933775686</v>
      </c>
      <c r="H265">
        <f t="shared" si="14"/>
        <v>-1.3490985537526368E-2</v>
      </c>
      <c r="I265"/>
      <c r="K265" s="38"/>
    </row>
    <row r="266" spans="1:11" x14ac:dyDescent="0.3">
      <c r="A266" s="16">
        <v>264</v>
      </c>
      <c r="B266" s="3">
        <v>45700</v>
      </c>
      <c r="C266" s="40">
        <v>6051.97</v>
      </c>
      <c r="D266" s="46">
        <f t="shared" si="13"/>
        <v>-2.7239021174919609E-3</v>
      </c>
      <c r="E266">
        <v>8058.08</v>
      </c>
      <c r="F266">
        <v>7.7896999999999998</v>
      </c>
      <c r="G266" s="43">
        <f t="shared" si="12"/>
        <v>1034.4531881843973</v>
      </c>
      <c r="H266">
        <f t="shared" si="14"/>
        <v>2.7723660461723476E-2</v>
      </c>
      <c r="I266"/>
      <c r="K266" s="38"/>
    </row>
    <row r="267" spans="1:11" x14ac:dyDescent="0.3">
      <c r="A267" s="16">
        <v>265</v>
      </c>
      <c r="B267" s="3">
        <v>45701</v>
      </c>
      <c r="C267" s="40">
        <v>6115.07</v>
      </c>
      <c r="D267" s="46">
        <f t="shared" si="13"/>
        <v>1.0426357037460532E-2</v>
      </c>
      <c r="E267">
        <v>8002.63</v>
      </c>
      <c r="F267">
        <v>7.7881999999999998</v>
      </c>
      <c r="G267" s="43">
        <f t="shared" si="12"/>
        <v>1027.5326776405332</v>
      </c>
      <c r="H267">
        <f t="shared" si="14"/>
        <v>-6.6900180915973051E-3</v>
      </c>
      <c r="I267"/>
      <c r="K267" s="38"/>
    </row>
    <row r="268" spans="1:11" x14ac:dyDescent="0.3">
      <c r="A268" s="16">
        <v>266</v>
      </c>
      <c r="B268" s="3">
        <v>45702</v>
      </c>
      <c r="C268" s="40">
        <v>6114.63</v>
      </c>
      <c r="D268" s="46">
        <f t="shared" si="13"/>
        <v>-7.195338728738232E-5</v>
      </c>
      <c r="E268">
        <v>8331.4</v>
      </c>
      <c r="F268">
        <v>7.7842000000000002</v>
      </c>
      <c r="G268" s="43">
        <f t="shared" si="12"/>
        <v>1070.2962411037743</v>
      </c>
      <c r="H268">
        <f t="shared" si="14"/>
        <v>4.1617716296319385E-2</v>
      </c>
      <c r="I268"/>
      <c r="K268" s="38"/>
    </row>
    <row r="269" spans="1:11" x14ac:dyDescent="0.3">
      <c r="A269" s="16">
        <v>267</v>
      </c>
      <c r="B269" s="3">
        <v>45706</v>
      </c>
      <c r="C269" s="40">
        <v>6129.58</v>
      </c>
      <c r="D269" s="46">
        <f t="shared" si="13"/>
        <v>2.4449557863681637E-3</v>
      </c>
      <c r="E269">
        <v>8475.4</v>
      </c>
      <c r="F269">
        <v>7.7744999999999997</v>
      </c>
      <c r="G269" s="43">
        <f t="shared" si="12"/>
        <v>1090.1537076339314</v>
      </c>
      <c r="H269">
        <f t="shared" si="14"/>
        <v>1.8553243268124131E-2</v>
      </c>
      <c r="I269"/>
      <c r="K269" s="38"/>
    </row>
    <row r="270" spans="1:11" x14ac:dyDescent="0.3">
      <c r="A270" s="16">
        <v>268</v>
      </c>
      <c r="B270" s="3">
        <v>45707</v>
      </c>
      <c r="C270" s="40">
        <v>6144.15</v>
      </c>
      <c r="D270" s="46">
        <f t="shared" si="13"/>
        <v>2.3769980977488281E-3</v>
      </c>
      <c r="E270">
        <v>8463.1</v>
      </c>
      <c r="F270">
        <v>7.7770000000000001</v>
      </c>
      <c r="G270" s="43">
        <f t="shared" si="12"/>
        <v>1088.2216793107882</v>
      </c>
      <c r="H270">
        <f t="shared" si="14"/>
        <v>-1.7722531323921542E-3</v>
      </c>
      <c r="I270"/>
      <c r="K270" s="38"/>
    </row>
    <row r="271" spans="1:11" x14ac:dyDescent="0.3">
      <c r="A271" s="16">
        <v>269</v>
      </c>
      <c r="B271" s="3">
        <v>45708</v>
      </c>
      <c r="C271" s="40">
        <v>6117.52</v>
      </c>
      <c r="D271" s="46">
        <f t="shared" si="13"/>
        <v>-4.3342040803039383E-3</v>
      </c>
      <c r="E271">
        <v>8322.56</v>
      </c>
      <c r="F271">
        <v>7.7763</v>
      </c>
      <c r="G271" s="43">
        <f t="shared" si="12"/>
        <v>1070.2467754587656</v>
      </c>
      <c r="H271">
        <f t="shared" si="14"/>
        <v>-1.6517685866547671E-2</v>
      </c>
      <c r="I271"/>
      <c r="K271" s="38"/>
    </row>
    <row r="272" spans="1:11" x14ac:dyDescent="0.3">
      <c r="A272" s="16">
        <v>270</v>
      </c>
      <c r="B272" s="3">
        <v>45709</v>
      </c>
      <c r="C272" s="40">
        <v>6013.13</v>
      </c>
      <c r="D272" s="46">
        <f t="shared" si="13"/>
        <v>-1.70641044083224E-2</v>
      </c>
      <c r="E272">
        <v>8666.7199999999993</v>
      </c>
      <c r="F272">
        <v>7.7694999999999999</v>
      </c>
      <c r="G272" s="43">
        <f t="shared" si="12"/>
        <v>1115.4797606023553</v>
      </c>
      <c r="H272">
        <f t="shared" si="14"/>
        <v>4.2264070474961724E-2</v>
      </c>
      <c r="I272"/>
      <c r="K272" s="38"/>
    </row>
    <row r="273" spans="1:11" x14ac:dyDescent="0.3">
      <c r="A273" s="16">
        <v>271</v>
      </c>
      <c r="B273" s="3">
        <v>45712</v>
      </c>
      <c r="C273" s="40">
        <v>5983.25</v>
      </c>
      <c r="D273" s="46">
        <f t="shared" si="13"/>
        <v>-4.9691258961639395E-3</v>
      </c>
      <c r="E273">
        <v>8618.8799999999992</v>
      </c>
      <c r="F273">
        <v>7.7748999999999997</v>
      </c>
      <c r="G273" s="43">
        <f t="shared" si="12"/>
        <v>1108.5518784807521</v>
      </c>
      <c r="H273">
        <f t="shared" si="14"/>
        <v>-6.2106748739773066E-3</v>
      </c>
      <c r="I273"/>
      <c r="K273" s="38"/>
    </row>
    <row r="274" spans="1:11" x14ac:dyDescent="0.3">
      <c r="A274" s="16">
        <v>272</v>
      </c>
      <c r="B274" s="3">
        <v>45713</v>
      </c>
      <c r="C274" s="40">
        <v>5955.25</v>
      </c>
      <c r="D274" s="46">
        <f t="shared" si="13"/>
        <v>-4.6797309154723576E-3</v>
      </c>
      <c r="E274">
        <v>8499.19</v>
      </c>
      <c r="F274">
        <v>7.7736999999999998</v>
      </c>
      <c r="G274" s="43">
        <f t="shared" si="12"/>
        <v>1093.3262153157441</v>
      </c>
      <c r="H274">
        <f t="shared" si="14"/>
        <v>-1.3734732185808451E-2</v>
      </c>
      <c r="I274"/>
      <c r="K274" s="38"/>
    </row>
    <row r="275" spans="1:11" x14ac:dyDescent="0.3">
      <c r="A275" s="16">
        <v>273</v>
      </c>
      <c r="B275" s="3">
        <v>45714</v>
      </c>
      <c r="C275" s="40">
        <v>5956.06</v>
      </c>
      <c r="D275" s="46">
        <f t="shared" si="13"/>
        <v>1.3601444103938931E-4</v>
      </c>
      <c r="E275">
        <v>8792.89</v>
      </c>
      <c r="F275">
        <v>7.7739000000000003</v>
      </c>
      <c r="G275" s="43">
        <f t="shared" si="12"/>
        <v>1131.078351921172</v>
      </c>
      <c r="H275">
        <f t="shared" si="14"/>
        <v>3.4529618037673515E-2</v>
      </c>
      <c r="I275"/>
      <c r="K275" s="38"/>
    </row>
    <row r="276" spans="1:11" x14ac:dyDescent="0.3">
      <c r="A276" s="16">
        <v>274</v>
      </c>
      <c r="B276" s="3">
        <v>45715</v>
      </c>
      <c r="C276" s="40">
        <v>5861.57</v>
      </c>
      <c r="D276" s="46">
        <f t="shared" si="13"/>
        <v>-1.586451446090209E-2</v>
      </c>
      <c r="E276">
        <v>8734.58</v>
      </c>
      <c r="F276">
        <v>7.7774000000000001</v>
      </c>
      <c r="G276" s="43">
        <f t="shared" si="12"/>
        <v>1123.0719777817781</v>
      </c>
      <c r="H276">
        <f t="shared" si="14"/>
        <v>-7.0785318504195116E-3</v>
      </c>
      <c r="I276"/>
      <c r="K276" s="38"/>
    </row>
    <row r="277" spans="1:11" x14ac:dyDescent="0.3">
      <c r="A277" s="16">
        <v>275</v>
      </c>
      <c r="B277" s="3">
        <v>45716</v>
      </c>
      <c r="C277" s="40">
        <v>5954.5</v>
      </c>
      <c r="D277" s="46">
        <f t="shared" si="13"/>
        <v>1.5854114170776867E-2</v>
      </c>
      <c r="E277">
        <v>8417.43</v>
      </c>
      <c r="F277">
        <v>7.7782999999999998</v>
      </c>
      <c r="G277" s="43">
        <f t="shared" si="12"/>
        <v>1082.1683401257344</v>
      </c>
      <c r="H277">
        <f t="shared" si="14"/>
        <v>-3.6421207603126171E-2</v>
      </c>
      <c r="I277"/>
      <c r="K277" s="38"/>
    </row>
    <row r="278" spans="1:11" x14ac:dyDescent="0.3">
      <c r="A278" s="16">
        <v>276</v>
      </c>
      <c r="B278" s="3">
        <v>45719</v>
      </c>
      <c r="C278" s="40">
        <v>5849.72</v>
      </c>
      <c r="D278" s="46">
        <f t="shared" si="13"/>
        <v>-1.7596775547904953E-2</v>
      </c>
      <c r="E278">
        <v>8419.69</v>
      </c>
      <c r="F278">
        <v>7.7767999999999997</v>
      </c>
      <c r="G278" s="43">
        <f t="shared" si="12"/>
        <v>1082.6676782224051</v>
      </c>
      <c r="H278">
        <f t="shared" si="14"/>
        <v>4.6142367888224456E-4</v>
      </c>
      <c r="I278"/>
      <c r="K278" s="38"/>
    </row>
    <row r="279" spans="1:11" x14ac:dyDescent="0.3">
      <c r="A279" s="16">
        <v>277</v>
      </c>
      <c r="B279" s="3">
        <v>45720</v>
      </c>
      <c r="C279" s="40">
        <v>5778.15</v>
      </c>
      <c r="D279" s="46">
        <f t="shared" si="13"/>
        <v>-1.2234773630190987E-2</v>
      </c>
      <c r="E279">
        <v>8367.4699999999993</v>
      </c>
      <c r="F279">
        <v>7.7713999999999999</v>
      </c>
      <c r="G279" s="43">
        <f t="shared" si="12"/>
        <v>1076.7004658105361</v>
      </c>
      <c r="H279">
        <f t="shared" si="14"/>
        <v>-5.5115826692696546E-3</v>
      </c>
      <c r="I279"/>
      <c r="K279" s="38"/>
    </row>
    <row r="280" spans="1:11" x14ac:dyDescent="0.3">
      <c r="A280" s="16">
        <v>278</v>
      </c>
      <c r="B280" s="3">
        <v>45721</v>
      </c>
      <c r="C280" s="40">
        <v>5842.63</v>
      </c>
      <c r="D280" s="46">
        <f t="shared" si="13"/>
        <v>1.1159281084776262E-2</v>
      </c>
      <c r="E280">
        <v>8630.4</v>
      </c>
      <c r="F280">
        <v>7.7706999999999997</v>
      </c>
      <c r="G280" s="43">
        <f t="shared" si="12"/>
        <v>1110.6335336584864</v>
      </c>
      <c r="H280">
        <f t="shared" si="14"/>
        <v>3.1515791926778336E-2</v>
      </c>
      <c r="I280"/>
      <c r="K280" s="38"/>
    </row>
    <row r="281" spans="1:11" x14ac:dyDescent="0.3">
      <c r="A281" s="16">
        <v>279</v>
      </c>
      <c r="B281" s="3">
        <v>45722</v>
      </c>
      <c r="C281" s="40">
        <v>5738.52</v>
      </c>
      <c r="D281" s="46">
        <f t="shared" si="13"/>
        <v>-1.7819030128555013E-2</v>
      </c>
      <c r="E281">
        <v>8938.09</v>
      </c>
      <c r="F281">
        <v>7.7718999999999996</v>
      </c>
      <c r="G281" s="43">
        <f t="shared" si="12"/>
        <v>1150.0521108094547</v>
      </c>
      <c r="H281">
        <f t="shared" si="14"/>
        <v>3.549197458600184E-2</v>
      </c>
      <c r="I281"/>
      <c r="K281" s="38"/>
    </row>
    <row r="282" spans="1:11" x14ac:dyDescent="0.3">
      <c r="A282" s="16">
        <v>280</v>
      </c>
      <c r="B282" s="3">
        <v>45723</v>
      </c>
      <c r="C282" s="40">
        <v>5770.2</v>
      </c>
      <c r="D282" s="46">
        <f t="shared" si="13"/>
        <v>5.5205871897281433E-3</v>
      </c>
      <c r="E282">
        <v>8914.0300000000007</v>
      </c>
      <c r="F282">
        <v>7.7701000000000002</v>
      </c>
      <c r="G282" s="43">
        <f t="shared" si="12"/>
        <v>1147.222043474344</v>
      </c>
      <c r="H282">
        <f t="shared" si="14"/>
        <v>-2.4608166086654837E-3</v>
      </c>
      <c r="I282"/>
      <c r="K282" s="38"/>
    </row>
    <row r="283" spans="1:11" x14ac:dyDescent="0.3">
      <c r="A283" s="16">
        <v>281</v>
      </c>
      <c r="B283" s="3">
        <v>45726</v>
      </c>
      <c r="C283" s="40">
        <v>5614.56</v>
      </c>
      <c r="D283" s="46">
        <f t="shared" si="13"/>
        <v>-2.6973068524487775E-2</v>
      </c>
      <c r="E283">
        <v>8725.01</v>
      </c>
      <c r="F283">
        <v>7.7683999999999997</v>
      </c>
      <c r="G283" s="43">
        <f t="shared" si="12"/>
        <v>1123.1411873744917</v>
      </c>
      <c r="H283">
        <f t="shared" si="14"/>
        <v>-2.0990580016161275E-2</v>
      </c>
      <c r="I283"/>
      <c r="K283" s="38"/>
    </row>
    <row r="284" spans="1:11" x14ac:dyDescent="0.3">
      <c r="A284" s="16">
        <v>282</v>
      </c>
      <c r="B284" s="3">
        <v>45727</v>
      </c>
      <c r="C284" s="40">
        <v>5572.07</v>
      </c>
      <c r="D284" s="46">
        <f t="shared" si="13"/>
        <v>-7.5678236584880709E-3</v>
      </c>
      <c r="E284">
        <v>8755.3700000000008</v>
      </c>
      <c r="F284">
        <v>7.7704000000000004</v>
      </c>
      <c r="G284" s="43">
        <f t="shared" si="12"/>
        <v>1126.7592401935551</v>
      </c>
      <c r="H284">
        <f t="shared" si="14"/>
        <v>3.2213695479561544E-3</v>
      </c>
      <c r="I284"/>
      <c r="K284" s="38"/>
    </row>
    <row r="285" spans="1:11" x14ac:dyDescent="0.3">
      <c r="A285" s="16">
        <v>283</v>
      </c>
      <c r="B285" s="3">
        <v>45728</v>
      </c>
      <c r="C285" s="40">
        <v>5599.3</v>
      </c>
      <c r="D285" s="46">
        <f t="shared" si="13"/>
        <v>4.8868732804865367E-3</v>
      </c>
      <c r="E285">
        <v>8682.1299999999992</v>
      </c>
      <c r="F285">
        <v>7.7690999999999999</v>
      </c>
      <c r="G285" s="43">
        <f t="shared" si="12"/>
        <v>1117.5206909423227</v>
      </c>
      <c r="H285">
        <f t="shared" si="14"/>
        <v>-8.1992220890465539E-3</v>
      </c>
      <c r="I285"/>
      <c r="K285" s="38"/>
    </row>
    <row r="286" spans="1:11" x14ac:dyDescent="0.3">
      <c r="A286" s="16">
        <v>284</v>
      </c>
      <c r="B286" s="3">
        <v>45729</v>
      </c>
      <c r="C286" s="40">
        <v>5521.52</v>
      </c>
      <c r="D286" s="46">
        <f t="shared" si="13"/>
        <v>-1.3891022092047178E-2</v>
      </c>
      <c r="E286">
        <v>8640.61</v>
      </c>
      <c r="F286">
        <v>7.7717000000000001</v>
      </c>
      <c r="G286" s="43">
        <f t="shared" si="12"/>
        <v>1111.8043671268836</v>
      </c>
      <c r="H286">
        <f t="shared" si="14"/>
        <v>-5.1151838724516896E-3</v>
      </c>
      <c r="I286"/>
      <c r="K286" s="38"/>
    </row>
    <row r="287" spans="1:11" x14ac:dyDescent="0.3">
      <c r="A287" s="16">
        <v>285</v>
      </c>
      <c r="B287" s="3">
        <v>45730</v>
      </c>
      <c r="C287" s="40">
        <v>5638.94</v>
      </c>
      <c r="D287" s="46">
        <f t="shared" si="13"/>
        <v>2.1265883307494793E-2</v>
      </c>
      <c r="E287">
        <v>8877.99</v>
      </c>
      <c r="F287">
        <v>7.7728000000000002</v>
      </c>
      <c r="G287" s="43">
        <f t="shared" si="12"/>
        <v>1142.1868567311651</v>
      </c>
      <c r="H287">
        <f t="shared" si="14"/>
        <v>2.7327190378641619E-2</v>
      </c>
      <c r="I287"/>
      <c r="K287" s="38"/>
    </row>
    <row r="288" spans="1:11" x14ac:dyDescent="0.3">
      <c r="A288" s="16">
        <v>286</v>
      </c>
      <c r="B288" s="3">
        <v>45733</v>
      </c>
      <c r="C288" s="40">
        <v>5675.12</v>
      </c>
      <c r="D288" s="46">
        <f t="shared" si="13"/>
        <v>6.4160994796895743E-3</v>
      </c>
      <c r="E288">
        <v>8928.4500000000007</v>
      </c>
      <c r="F288">
        <v>7.7694999999999999</v>
      </c>
      <c r="G288" s="43">
        <f t="shared" si="12"/>
        <v>1149.1666130381623</v>
      </c>
      <c r="H288">
        <f t="shared" si="14"/>
        <v>6.1108707965460418E-3</v>
      </c>
      <c r="I288"/>
      <c r="K288" s="38"/>
    </row>
    <row r="289" spans="1:11" x14ac:dyDescent="0.3">
      <c r="A289" s="16">
        <v>287</v>
      </c>
      <c r="B289" s="3">
        <v>45734</v>
      </c>
      <c r="C289" s="40">
        <v>5614.66</v>
      </c>
      <c r="D289" s="46">
        <f t="shared" si="13"/>
        <v>-1.0653519220738983E-2</v>
      </c>
      <c r="E289">
        <v>9177.7999999999993</v>
      </c>
      <c r="F289">
        <v>7.7690999999999999</v>
      </c>
      <c r="G289" s="43">
        <f t="shared" si="12"/>
        <v>1181.3208737176762</v>
      </c>
      <c r="H289">
        <f t="shared" si="14"/>
        <v>2.7980503709992721E-2</v>
      </c>
      <c r="I289"/>
      <c r="K289" s="38"/>
    </row>
    <row r="290" spans="1:11" x14ac:dyDescent="0.3">
      <c r="A290" s="16">
        <v>288</v>
      </c>
      <c r="B290" s="3">
        <v>45735</v>
      </c>
      <c r="C290" s="40">
        <v>5675.29</v>
      </c>
      <c r="D290" s="46">
        <f t="shared" si="13"/>
        <v>1.0798516740105457E-2</v>
      </c>
      <c r="E290">
        <v>9163.67</v>
      </c>
      <c r="F290">
        <v>7.7706999999999997</v>
      </c>
      <c r="G290" s="43">
        <f t="shared" si="12"/>
        <v>1179.2592687917434</v>
      </c>
      <c r="H290">
        <f t="shared" si="14"/>
        <v>-1.745169303108085E-3</v>
      </c>
      <c r="I290"/>
      <c r="K290" s="38"/>
    </row>
    <row r="291" spans="1:11" x14ac:dyDescent="0.3">
      <c r="A291" s="16">
        <v>289</v>
      </c>
      <c r="B291" s="3">
        <v>45736</v>
      </c>
      <c r="C291" s="40">
        <v>5662.89</v>
      </c>
      <c r="D291" s="46">
        <f t="shared" si="13"/>
        <v>-2.1849103746239829E-3</v>
      </c>
      <c r="E291">
        <v>8950.18</v>
      </c>
      <c r="F291">
        <v>7.7725999999999997</v>
      </c>
      <c r="G291" s="43">
        <f t="shared" si="12"/>
        <v>1151.504001235108</v>
      </c>
      <c r="H291">
        <f t="shared" si="14"/>
        <v>-2.3536187750360482E-2</v>
      </c>
      <c r="I291"/>
      <c r="K291" s="38"/>
    </row>
    <row r="292" spans="1:11" x14ac:dyDescent="0.3">
      <c r="A292" s="16">
        <v>290</v>
      </c>
      <c r="B292" s="3">
        <v>45737</v>
      </c>
      <c r="C292" s="40">
        <v>5667.56</v>
      </c>
      <c r="D292" s="46">
        <f t="shared" si="13"/>
        <v>8.2466726353502828E-4</v>
      </c>
      <c r="E292">
        <v>8742.44</v>
      </c>
      <c r="F292">
        <v>7.7732999999999999</v>
      </c>
      <c r="G292" s="43">
        <f t="shared" si="12"/>
        <v>1124.6754917473918</v>
      </c>
      <c r="H292">
        <f t="shared" si="14"/>
        <v>-2.3298668054075211E-2</v>
      </c>
      <c r="I292"/>
      <c r="K292" s="38"/>
    </row>
    <row r="293" spans="1:11" x14ac:dyDescent="0.3">
      <c r="A293" s="16">
        <v>291</v>
      </c>
      <c r="B293" s="3">
        <v>45740</v>
      </c>
      <c r="C293" s="40">
        <v>5767.57</v>
      </c>
      <c r="D293" s="46">
        <f t="shared" si="13"/>
        <v>1.7646041682840563E-2</v>
      </c>
      <c r="E293">
        <v>8850.69</v>
      </c>
      <c r="F293">
        <v>7.7742000000000004</v>
      </c>
      <c r="G293" s="43">
        <f t="shared" si="12"/>
        <v>1138.4695531373004</v>
      </c>
      <c r="H293">
        <f t="shared" si="14"/>
        <v>1.2264925741803934E-2</v>
      </c>
      <c r="I293"/>
      <c r="K293" s="38"/>
    </row>
    <row r="294" spans="1:11" x14ac:dyDescent="0.3">
      <c r="A294" s="16">
        <v>292</v>
      </c>
      <c r="B294" s="3">
        <v>45741</v>
      </c>
      <c r="C294" s="40">
        <v>5776.65</v>
      </c>
      <c r="D294" s="46">
        <f t="shared" si="13"/>
        <v>1.5743198608773046E-3</v>
      </c>
      <c r="E294">
        <v>8616.0499999999993</v>
      </c>
      <c r="F294">
        <v>7.7747000000000002</v>
      </c>
      <c r="G294" s="43">
        <f t="shared" si="12"/>
        <v>1108.2163942017055</v>
      </c>
      <c r="H294">
        <f t="shared" si="14"/>
        <v>-2.6573533611176314E-2</v>
      </c>
      <c r="I294"/>
      <c r="K294" s="38"/>
    </row>
    <row r="295" spans="1:11" x14ac:dyDescent="0.3">
      <c r="A295" s="16">
        <v>293</v>
      </c>
      <c r="B295" s="3">
        <v>45742</v>
      </c>
      <c r="C295" s="40">
        <v>5712.2</v>
      </c>
      <c r="D295" s="46">
        <f t="shared" si="13"/>
        <v>-1.115698545004451E-2</v>
      </c>
      <c r="E295">
        <v>8654.26</v>
      </c>
      <c r="F295">
        <v>7.7760999999999996</v>
      </c>
      <c r="G295" s="43">
        <f t="shared" si="12"/>
        <v>1112.930646468024</v>
      </c>
      <c r="H295">
        <f t="shared" si="14"/>
        <v>4.2539095171159058E-3</v>
      </c>
      <c r="I295"/>
      <c r="K295" s="38"/>
    </row>
    <row r="296" spans="1:11" x14ac:dyDescent="0.3">
      <c r="A296" s="16">
        <v>294</v>
      </c>
      <c r="B296" s="3">
        <v>45743</v>
      </c>
      <c r="C296" s="40">
        <v>5693.31</v>
      </c>
      <c r="D296" s="46">
        <f t="shared" si="13"/>
        <v>-3.3069570393192693E-3</v>
      </c>
      <c r="E296">
        <v>8677.68</v>
      </c>
      <c r="F296">
        <v>7.7754000000000003</v>
      </c>
      <c r="G296" s="43">
        <f t="shared" si="12"/>
        <v>1116.0429045451037</v>
      </c>
      <c r="H296">
        <f t="shared" si="14"/>
        <v>2.7964528490223017E-3</v>
      </c>
      <c r="I296"/>
      <c r="K296" s="38"/>
    </row>
    <row r="297" spans="1:11" x14ac:dyDescent="0.3">
      <c r="A297" s="16">
        <v>295</v>
      </c>
      <c r="B297" s="3">
        <v>45744</v>
      </c>
      <c r="C297" s="40">
        <v>5580.94</v>
      </c>
      <c r="D297" s="46">
        <f t="shared" si="13"/>
        <v>-1.9737200328104554E-2</v>
      </c>
      <c r="E297">
        <v>8606.51</v>
      </c>
      <c r="F297">
        <v>7.7778</v>
      </c>
      <c r="G297" s="43">
        <f t="shared" si="12"/>
        <v>1106.5481241482166</v>
      </c>
      <c r="H297">
        <f t="shared" si="14"/>
        <v>-8.5075406673161824E-3</v>
      </c>
      <c r="I297"/>
      <c r="K297" s="38"/>
    </row>
    <row r="298" spans="1:11" x14ac:dyDescent="0.3">
      <c r="A298" s="16">
        <v>296</v>
      </c>
      <c r="B298" s="3">
        <v>45747</v>
      </c>
      <c r="C298" s="40">
        <v>5611.85</v>
      </c>
      <c r="D298" s="46">
        <f t="shared" si="13"/>
        <v>5.5384935154294546E-3</v>
      </c>
      <c r="E298">
        <v>8516.5499999999993</v>
      </c>
      <c r="F298">
        <v>7.7801999999999998</v>
      </c>
      <c r="G298" s="43">
        <f t="shared" si="12"/>
        <v>1094.6440965527877</v>
      </c>
      <c r="H298">
        <f t="shared" si="14"/>
        <v>-1.0757803782453945E-2</v>
      </c>
      <c r="I298"/>
      <c r="K298" s="38"/>
    </row>
    <row r="299" spans="1:11" x14ac:dyDescent="0.3">
      <c r="A299" s="16">
        <v>297</v>
      </c>
      <c r="B299" s="3">
        <v>45748</v>
      </c>
      <c r="C299" s="40">
        <v>5633.07</v>
      </c>
      <c r="D299" s="46">
        <f t="shared" si="13"/>
        <v>3.7812842467277452E-3</v>
      </c>
      <c r="E299">
        <v>8537.34</v>
      </c>
      <c r="F299">
        <v>7.7808999999999999</v>
      </c>
      <c r="G299" s="43">
        <f t="shared" si="12"/>
        <v>1097.2175455281522</v>
      </c>
      <c r="H299">
        <f t="shared" si="14"/>
        <v>2.3509458311323783E-3</v>
      </c>
      <c r="I299"/>
      <c r="K299" s="38"/>
    </row>
    <row r="300" spans="1:11" x14ac:dyDescent="0.3">
      <c r="A300" s="16">
        <v>298</v>
      </c>
      <c r="B300" s="3">
        <v>45749</v>
      </c>
      <c r="C300" s="40">
        <v>5670.97</v>
      </c>
      <c r="D300" s="46">
        <f t="shared" si="13"/>
        <v>6.7281251608803938E-3</v>
      </c>
      <c r="E300">
        <v>8531.51</v>
      </c>
      <c r="F300">
        <v>7.7820999999999998</v>
      </c>
      <c r="G300" s="43">
        <f t="shared" si="12"/>
        <v>1096.2991994448801</v>
      </c>
      <c r="H300">
        <f t="shared" si="14"/>
        <v>-8.3697721296471794E-4</v>
      </c>
      <c r="I300"/>
      <c r="K300" s="38"/>
    </row>
    <row r="301" spans="1:11" x14ac:dyDescent="0.3">
      <c r="A301" s="16">
        <v>299</v>
      </c>
      <c r="B301" s="3">
        <v>45750</v>
      </c>
      <c r="C301" s="40">
        <v>5396.52</v>
      </c>
      <c r="D301" s="46">
        <f t="shared" si="13"/>
        <v>-4.839560075260485E-2</v>
      </c>
      <c r="E301">
        <v>8420.14</v>
      </c>
      <c r="F301">
        <v>7.7779999999999996</v>
      </c>
      <c r="G301" s="43">
        <f t="shared" si="12"/>
        <v>1082.5584983286192</v>
      </c>
      <c r="H301">
        <f t="shared" si="14"/>
        <v>-1.253371444877327E-2</v>
      </c>
      <c r="I301"/>
      <c r="K301" s="38"/>
    </row>
    <row r="302" spans="1:11" x14ac:dyDescent="0.3">
      <c r="A302" s="16">
        <v>300</v>
      </c>
      <c r="B302" s="3">
        <v>45754</v>
      </c>
      <c r="C302" s="40">
        <v>5062.25</v>
      </c>
      <c r="D302" s="46">
        <f t="shared" si="13"/>
        <v>-6.1941769881331044E-2</v>
      </c>
      <c r="E302">
        <v>7262.72</v>
      </c>
      <c r="F302">
        <v>7.7675999999999998</v>
      </c>
      <c r="G302" s="43">
        <f t="shared" si="12"/>
        <v>935.00180235851496</v>
      </c>
      <c r="H302">
        <f t="shared" si="14"/>
        <v>-0.1363036696842892</v>
      </c>
      <c r="I302"/>
      <c r="K302" s="38"/>
    </row>
    <row r="303" spans="1:11" x14ac:dyDescent="0.3">
      <c r="A303" s="16">
        <v>301</v>
      </c>
      <c r="B303" s="3">
        <v>45755</v>
      </c>
      <c r="C303" s="40">
        <v>4982.7700000000004</v>
      </c>
      <c r="D303" s="46">
        <f t="shared" si="13"/>
        <v>-1.5700528421156545E-2</v>
      </c>
      <c r="E303">
        <v>7430.62</v>
      </c>
      <c r="F303">
        <v>7.7708000000000004</v>
      </c>
      <c r="G303" s="43">
        <f t="shared" si="12"/>
        <v>956.22329747258959</v>
      </c>
      <c r="H303">
        <f t="shared" si="14"/>
        <v>2.2696742466746134E-2</v>
      </c>
      <c r="I303"/>
      <c r="K303" s="38"/>
    </row>
    <row r="304" spans="1:11" x14ac:dyDescent="0.3">
      <c r="A304" s="16">
        <v>302</v>
      </c>
      <c r="B304" s="3">
        <v>45756</v>
      </c>
      <c r="C304" s="40">
        <v>5456.9</v>
      </c>
      <c r="D304" s="46">
        <f t="shared" si="13"/>
        <v>9.5153900340573472E-2</v>
      </c>
      <c r="E304">
        <v>7535.68</v>
      </c>
      <c r="F304">
        <v>7.7607999999999997</v>
      </c>
      <c r="G304" s="43">
        <f t="shared" si="12"/>
        <v>970.99268116689007</v>
      </c>
      <c r="H304">
        <f t="shared" si="14"/>
        <v>1.5445538435779227E-2</v>
      </c>
      <c r="I304"/>
      <c r="K304" s="38"/>
    </row>
    <row r="305" spans="1:11" x14ac:dyDescent="0.3">
      <c r="A305" s="16">
        <v>303</v>
      </c>
      <c r="B305" s="3">
        <v>45757</v>
      </c>
      <c r="C305" s="40">
        <v>5268.05</v>
      </c>
      <c r="D305" s="46">
        <f t="shared" si="13"/>
        <v>-3.4607561069471604E-2</v>
      </c>
      <c r="E305">
        <v>7668.38</v>
      </c>
      <c r="F305">
        <v>7.7586000000000004</v>
      </c>
      <c r="G305" s="43">
        <f t="shared" si="12"/>
        <v>988.37161343541356</v>
      </c>
      <c r="H305">
        <f t="shared" si="14"/>
        <v>1.7898108405552948E-2</v>
      </c>
      <c r="I305"/>
      <c r="K305" s="38"/>
    </row>
    <row r="306" spans="1:11" x14ac:dyDescent="0.3">
      <c r="A306" s="16">
        <v>304</v>
      </c>
      <c r="B306" s="3">
        <v>45758</v>
      </c>
      <c r="C306" s="40">
        <v>5363.36</v>
      </c>
      <c r="D306" s="46">
        <f t="shared" si="13"/>
        <v>1.8092083408471682E-2</v>
      </c>
      <c r="E306">
        <v>7801.51</v>
      </c>
      <c r="F306">
        <v>7.7534000000000001</v>
      </c>
      <c r="G306" s="43">
        <f t="shared" si="12"/>
        <v>1006.2050197332783</v>
      </c>
      <c r="H306">
        <f t="shared" si="14"/>
        <v>1.8043219832952095E-2</v>
      </c>
      <c r="I306"/>
      <c r="K306" s="38"/>
    </row>
    <row r="307" spans="1:11" x14ac:dyDescent="0.3">
      <c r="A307" s="16">
        <v>305</v>
      </c>
      <c r="B307" s="3">
        <v>45761</v>
      </c>
      <c r="C307" s="40">
        <v>5405.97</v>
      </c>
      <c r="D307" s="46">
        <f t="shared" si="13"/>
        <v>7.9446466394201831E-3</v>
      </c>
      <c r="E307">
        <v>7965.81</v>
      </c>
      <c r="F307">
        <v>7.7561</v>
      </c>
      <c r="G307" s="43">
        <f t="shared" si="12"/>
        <v>1027.0380732584676</v>
      </c>
      <c r="H307">
        <f t="shared" si="14"/>
        <v>2.0704581190334137E-2</v>
      </c>
      <c r="I307"/>
      <c r="K307" s="38"/>
    </row>
    <row r="308" spans="1:11" x14ac:dyDescent="0.3">
      <c r="A308" s="16">
        <v>306</v>
      </c>
      <c r="B308" s="3">
        <v>45762</v>
      </c>
      <c r="C308" s="40">
        <v>5396.63</v>
      </c>
      <c r="D308" s="46">
        <f t="shared" si="13"/>
        <v>-1.7277195396940837E-3</v>
      </c>
      <c r="E308">
        <v>7982.88</v>
      </c>
      <c r="F308">
        <v>7.7573999999999996</v>
      </c>
      <c r="G308" s="43">
        <f t="shared" si="12"/>
        <v>1029.0664397865264</v>
      </c>
      <c r="H308">
        <f t="shared" si="14"/>
        <v>1.974967219689816E-3</v>
      </c>
      <c r="I308"/>
      <c r="K308" s="38"/>
    </row>
    <row r="309" spans="1:11" x14ac:dyDescent="0.3">
      <c r="A309" s="16">
        <v>307</v>
      </c>
      <c r="B309" s="3">
        <v>45763</v>
      </c>
      <c r="C309" s="40">
        <v>5275.7</v>
      </c>
      <c r="D309" s="46">
        <f t="shared" si="13"/>
        <v>-2.2408428964001637E-2</v>
      </c>
      <c r="E309">
        <v>7779.01</v>
      </c>
      <c r="F309">
        <v>7.7622999999999998</v>
      </c>
      <c r="G309" s="43">
        <f t="shared" si="12"/>
        <v>1002.1527124692424</v>
      </c>
      <c r="H309">
        <f t="shared" si="14"/>
        <v>-2.6153537105793823E-2</v>
      </c>
      <c r="I309"/>
      <c r="K309" s="38"/>
    </row>
    <row r="310" spans="1:11" x14ac:dyDescent="0.3">
      <c r="A310" s="16">
        <v>308</v>
      </c>
      <c r="B310" s="3">
        <v>45764</v>
      </c>
      <c r="C310" s="40">
        <v>5282.7</v>
      </c>
      <c r="D310" s="46">
        <f t="shared" si="13"/>
        <v>1.3268381447011368E-3</v>
      </c>
      <c r="E310">
        <v>7897.44</v>
      </c>
      <c r="F310">
        <v>7.7638999999999996</v>
      </c>
      <c r="G310" s="43">
        <f t="shared" si="12"/>
        <v>1017.2001184971471</v>
      </c>
      <c r="H310">
        <f t="shared" si="14"/>
        <v>1.5015082871779883E-2</v>
      </c>
      <c r="I310"/>
      <c r="K310" s="38"/>
    </row>
    <row r="311" spans="1:11" x14ac:dyDescent="0.3">
      <c r="A311" s="16">
        <v>309</v>
      </c>
      <c r="B311" s="3">
        <v>45769</v>
      </c>
      <c r="C311" s="40">
        <v>5287.76</v>
      </c>
      <c r="D311" s="46">
        <f t="shared" si="13"/>
        <v>9.5784352698435882E-4</v>
      </c>
      <c r="E311">
        <v>7950.79</v>
      </c>
      <c r="F311">
        <v>7.7580999999999998</v>
      </c>
      <c r="G311" s="43">
        <f t="shared" si="12"/>
        <v>1024.8372668565758</v>
      </c>
      <c r="H311">
        <f t="shared" si="14"/>
        <v>7.5080097028616954E-3</v>
      </c>
      <c r="I311"/>
      <c r="K311" s="38"/>
    </row>
    <row r="312" spans="1:11" x14ac:dyDescent="0.3">
      <c r="A312" s="16">
        <v>310</v>
      </c>
      <c r="B312" s="3">
        <v>45770</v>
      </c>
      <c r="C312" s="40">
        <v>5375.86</v>
      </c>
      <c r="D312" s="46">
        <f t="shared" si="13"/>
        <v>1.6661119264111734E-2</v>
      </c>
      <c r="E312">
        <v>8116.28</v>
      </c>
      <c r="F312">
        <v>7.7601000000000004</v>
      </c>
      <c r="G312" s="43">
        <f t="shared" si="12"/>
        <v>1045.8988930555017</v>
      </c>
      <c r="H312">
        <f t="shared" si="14"/>
        <v>2.0551190789077189E-2</v>
      </c>
      <c r="I312"/>
      <c r="K312" s="38"/>
    </row>
    <row r="313" spans="1:11" x14ac:dyDescent="0.3">
      <c r="A313" s="16">
        <v>311</v>
      </c>
      <c r="B313" s="3">
        <v>45771</v>
      </c>
      <c r="C313" s="40">
        <v>5484.77</v>
      </c>
      <c r="D313" s="46">
        <f t="shared" si="13"/>
        <v>2.025908412793509E-2</v>
      </c>
      <c r="E313">
        <v>8056.85</v>
      </c>
      <c r="F313">
        <v>7.7587999999999999</v>
      </c>
      <c r="G313" s="43">
        <f t="shared" si="12"/>
        <v>1038.4144455328144</v>
      </c>
      <c r="H313">
        <f t="shared" si="14"/>
        <v>-7.1559952614752564E-3</v>
      </c>
      <c r="I313"/>
      <c r="K313" s="38"/>
    </row>
    <row r="314" spans="1:11" x14ac:dyDescent="0.3">
      <c r="A314" s="16">
        <v>312</v>
      </c>
      <c r="B314" s="3">
        <v>45772</v>
      </c>
      <c r="C314" s="40">
        <v>5525.21</v>
      </c>
      <c r="D314" s="46">
        <f t="shared" si="13"/>
        <v>7.3731441792452834E-3</v>
      </c>
      <c r="E314">
        <v>8080.54</v>
      </c>
      <c r="F314">
        <v>7.7573999999999996</v>
      </c>
      <c r="G314" s="43">
        <f t="shared" si="12"/>
        <v>1041.6557093871659</v>
      </c>
      <c r="H314">
        <f t="shared" si="14"/>
        <v>3.1213585946296973E-3</v>
      </c>
      <c r="I314"/>
      <c r="K314" s="38"/>
    </row>
    <row r="315" spans="1:11" x14ac:dyDescent="0.3">
      <c r="A315" s="16">
        <v>313</v>
      </c>
      <c r="B315" s="3">
        <v>45775</v>
      </c>
      <c r="C315" s="40">
        <v>5528.75</v>
      </c>
      <c r="D315" s="46">
        <f t="shared" si="13"/>
        <v>6.4069962951629478E-4</v>
      </c>
      <c r="E315">
        <v>8080.19</v>
      </c>
      <c r="F315">
        <v>7.7567000000000004</v>
      </c>
      <c r="G315" s="43">
        <f t="shared" si="12"/>
        <v>1041.7045908698285</v>
      </c>
      <c r="H315">
        <f t="shared" si="14"/>
        <v>4.6926716977813143E-5</v>
      </c>
      <c r="I315"/>
      <c r="K315" s="38"/>
    </row>
    <row r="316" spans="1:11" x14ac:dyDescent="0.3">
      <c r="A316" s="16">
        <v>314</v>
      </c>
      <c r="B316" s="3">
        <v>45776</v>
      </c>
      <c r="C316" s="40">
        <v>5560.83</v>
      </c>
      <c r="D316" s="46">
        <f t="shared" si="13"/>
        <v>5.8023965634184105E-3</v>
      </c>
      <c r="E316">
        <v>8067.94</v>
      </c>
      <c r="F316">
        <v>7.7588999999999997</v>
      </c>
      <c r="G316" s="43">
        <f t="shared" si="12"/>
        <v>1039.8303883282424</v>
      </c>
      <c r="H316">
        <f t="shared" si="14"/>
        <v>-1.7991689371562591E-3</v>
      </c>
      <c r="I316"/>
      <c r="K316" s="38"/>
    </row>
    <row r="317" spans="1:11" x14ac:dyDescent="0.3">
      <c r="A317" s="16">
        <v>315</v>
      </c>
      <c r="B317" s="3">
        <v>45777</v>
      </c>
      <c r="C317" s="40">
        <v>5569.06</v>
      </c>
      <c r="D317" s="46">
        <f t="shared" si="13"/>
        <v>1.4799948928487794E-3</v>
      </c>
      <c r="E317">
        <v>8076.26</v>
      </c>
      <c r="F317">
        <v>7.7556000000000003</v>
      </c>
      <c r="G317" s="43">
        <f t="shared" si="12"/>
        <v>1041.3456083346227</v>
      </c>
      <c r="H317">
        <f t="shared" si="14"/>
        <v>1.457179962605526E-3</v>
      </c>
      <c r="I317"/>
      <c r="K317" s="38"/>
    </row>
    <row r="318" spans="1:11" x14ac:dyDescent="0.3">
      <c r="B318" s="3"/>
      <c r="C318" s="40"/>
      <c r="D318" s="19"/>
      <c r="E318"/>
      <c r="F318"/>
      <c r="G318" s="43"/>
      <c r="H318"/>
      <c r="I318"/>
      <c r="K318" s="38"/>
    </row>
    <row r="319" spans="1:11" x14ac:dyDescent="0.3">
      <c r="B319" s="3"/>
      <c r="C319" s="40"/>
      <c r="D319" s="19"/>
      <c r="E319"/>
      <c r="F319"/>
      <c r="G319" s="43"/>
      <c r="H319"/>
      <c r="I319"/>
      <c r="K319" s="38"/>
    </row>
    <row r="320" spans="1:11" x14ac:dyDescent="0.3">
      <c r="B320" s="3"/>
      <c r="C320" s="40"/>
      <c r="D320" s="19"/>
      <c r="E320"/>
      <c r="F320"/>
      <c r="G320" s="43"/>
      <c r="H320"/>
      <c r="I320"/>
      <c r="K320" s="38"/>
    </row>
    <row r="321" spans="2:11" x14ac:dyDescent="0.3">
      <c r="B321" s="3"/>
      <c r="C321" s="40"/>
      <c r="D321" s="19"/>
      <c r="E321"/>
      <c r="F321"/>
      <c r="G321" s="43"/>
      <c r="H321"/>
      <c r="I321"/>
      <c r="K321" s="38"/>
    </row>
    <row r="322" spans="2:11" x14ac:dyDescent="0.3">
      <c r="B322" s="3"/>
      <c r="C322" s="40"/>
      <c r="D322" s="19"/>
      <c r="E322"/>
      <c r="F322"/>
      <c r="G322" s="43"/>
      <c r="H322"/>
      <c r="I322"/>
      <c r="K322" s="38"/>
    </row>
    <row r="323" spans="2:11" x14ac:dyDescent="0.3">
      <c r="B323" s="3"/>
      <c r="C323" s="40"/>
      <c r="D323" s="19"/>
      <c r="E323"/>
      <c r="F323"/>
      <c r="G323" s="43"/>
      <c r="H323"/>
      <c r="I323"/>
      <c r="K323" s="38"/>
    </row>
    <row r="324" spans="2:11" x14ac:dyDescent="0.3">
      <c r="B324" s="3"/>
      <c r="C324" s="40"/>
      <c r="D324" s="19"/>
      <c r="E324"/>
      <c r="F324"/>
      <c r="G324" s="43"/>
      <c r="H324"/>
      <c r="I324"/>
      <c r="K324" s="38"/>
    </row>
    <row r="325" spans="2:11" x14ac:dyDescent="0.3">
      <c r="B325" s="3"/>
      <c r="C325" s="40"/>
      <c r="D325" s="19"/>
      <c r="E325"/>
      <c r="F325"/>
      <c r="G325" s="43"/>
      <c r="H325"/>
      <c r="I325"/>
      <c r="K325" s="38"/>
    </row>
    <row r="326" spans="2:11" x14ac:dyDescent="0.3">
      <c r="B326" s="3"/>
      <c r="C326" s="40"/>
      <c r="D326" s="19"/>
      <c r="E326"/>
      <c r="F326"/>
      <c r="G326" s="43"/>
      <c r="H326"/>
      <c r="I326"/>
      <c r="K326" s="38"/>
    </row>
    <row r="327" spans="2:11" x14ac:dyDescent="0.3">
      <c r="B327" s="3"/>
      <c r="C327" s="40"/>
      <c r="D327" s="19"/>
      <c r="E327"/>
      <c r="F327"/>
      <c r="G327" s="43"/>
      <c r="H327"/>
      <c r="I327"/>
      <c r="K327" s="38"/>
    </row>
    <row r="328" spans="2:11" x14ac:dyDescent="0.3">
      <c r="B328" s="3"/>
      <c r="C328" s="40"/>
      <c r="D328" s="19"/>
      <c r="E328"/>
      <c r="F328"/>
      <c r="G328" s="43"/>
      <c r="H328"/>
      <c r="I328"/>
      <c r="K328" s="38"/>
    </row>
    <row r="329" spans="2:11" x14ac:dyDescent="0.3">
      <c r="B329" s="3"/>
      <c r="C329" s="40"/>
      <c r="D329" s="19"/>
      <c r="E329"/>
      <c r="F329"/>
      <c r="G329" s="43"/>
      <c r="H329"/>
      <c r="I329"/>
      <c r="K329" s="38"/>
    </row>
    <row r="330" spans="2:11" x14ac:dyDescent="0.3">
      <c r="B330" s="3"/>
      <c r="C330" s="40"/>
      <c r="D330" s="19"/>
      <c r="E330"/>
      <c r="F330"/>
      <c r="G330" s="43"/>
      <c r="H330"/>
      <c r="I330"/>
      <c r="K330" s="38"/>
    </row>
    <row r="331" spans="2:11" x14ac:dyDescent="0.3">
      <c r="B331" s="3"/>
      <c r="C331" s="40"/>
      <c r="D331" s="19"/>
      <c r="E331"/>
      <c r="F331"/>
      <c r="G331" s="43"/>
      <c r="H331"/>
      <c r="I331"/>
      <c r="K331" s="38"/>
    </row>
    <row r="332" spans="2:11" x14ac:dyDescent="0.3">
      <c r="B332" s="3"/>
      <c r="C332" s="40"/>
      <c r="D332" s="19"/>
      <c r="E332"/>
      <c r="F332"/>
      <c r="G332" s="43"/>
      <c r="H332"/>
      <c r="I332"/>
      <c r="K332" s="38"/>
    </row>
    <row r="333" spans="2:11" x14ac:dyDescent="0.3">
      <c r="B333" s="3"/>
      <c r="C333" s="40"/>
      <c r="D333" s="19"/>
      <c r="E333"/>
      <c r="F333"/>
      <c r="G333" s="43"/>
      <c r="H333"/>
      <c r="I333"/>
      <c r="K333" s="38"/>
    </row>
    <row r="334" spans="2:11" x14ac:dyDescent="0.3">
      <c r="B334" s="3"/>
      <c r="C334" s="40"/>
      <c r="D334" s="19"/>
      <c r="E334"/>
      <c r="F334"/>
      <c r="G334" s="43"/>
      <c r="H334"/>
      <c r="I334"/>
      <c r="K334" s="38"/>
    </row>
    <row r="335" spans="2:11" x14ac:dyDescent="0.3">
      <c r="B335" s="3"/>
      <c r="C335" s="23"/>
      <c r="D335"/>
      <c r="E335"/>
      <c r="F335"/>
      <c r="G335" s="43"/>
      <c r="H335"/>
      <c r="I335"/>
      <c r="K335" s="38"/>
    </row>
    <row r="336" spans="2:11" x14ac:dyDescent="0.3">
      <c r="B336" s="3"/>
      <c r="C336" s="23"/>
      <c r="D336"/>
      <c r="E336"/>
      <c r="F336"/>
      <c r="G336" s="43"/>
      <c r="H336"/>
      <c r="I336"/>
      <c r="K336" s="38"/>
    </row>
    <row r="337" spans="2:11" x14ac:dyDescent="0.3">
      <c r="B337" s="3"/>
      <c r="C337" s="23"/>
      <c r="D337"/>
      <c r="E337"/>
      <c r="F337"/>
      <c r="G337" s="43"/>
      <c r="H337"/>
      <c r="I337"/>
      <c r="K337" s="38"/>
    </row>
    <row r="338" spans="2:11" x14ac:dyDescent="0.3">
      <c r="B338" s="3"/>
      <c r="C338" s="23"/>
      <c r="D338"/>
      <c r="E338"/>
      <c r="F338"/>
      <c r="G338" s="43"/>
      <c r="H338"/>
      <c r="I338"/>
      <c r="K338" s="38"/>
    </row>
    <row r="339" spans="2:11" x14ac:dyDescent="0.3">
      <c r="B339" s="3"/>
      <c r="C339" s="23"/>
      <c r="D339"/>
      <c r="E339"/>
      <c r="F339"/>
      <c r="G339" s="43"/>
      <c r="H339"/>
      <c r="I339"/>
      <c r="K339" s="38"/>
    </row>
    <row r="340" spans="2:11" x14ac:dyDescent="0.3">
      <c r="B340" s="3"/>
      <c r="C340" s="23"/>
      <c r="D340"/>
      <c r="E340"/>
      <c r="F340"/>
      <c r="G340" s="43"/>
      <c r="H340"/>
      <c r="I340"/>
      <c r="K340" s="38"/>
    </row>
    <row r="341" spans="2:11" x14ac:dyDescent="0.3">
      <c r="B341" s="3"/>
      <c r="C341" s="23"/>
      <c r="D341"/>
      <c r="E341"/>
      <c r="F341"/>
      <c r="G341" s="43"/>
      <c r="H341"/>
      <c r="I341"/>
      <c r="K341" s="38"/>
    </row>
    <row r="342" spans="2:11" x14ac:dyDescent="0.3">
      <c r="B342" s="3"/>
      <c r="C342" s="23"/>
      <c r="D342"/>
      <c r="E342"/>
      <c r="F342"/>
      <c r="G342" s="43"/>
      <c r="H342"/>
      <c r="I342"/>
      <c r="K342" s="38"/>
    </row>
    <row r="343" spans="2:11" x14ac:dyDescent="0.3">
      <c r="B343" s="3"/>
      <c r="C343" s="23"/>
      <c r="D343"/>
      <c r="E343"/>
      <c r="F343"/>
      <c r="G343" s="43"/>
      <c r="H343"/>
      <c r="I343"/>
      <c r="K343" s="38"/>
    </row>
    <row r="344" spans="2:11" x14ac:dyDescent="0.3">
      <c r="B344" s="3"/>
      <c r="C344" s="23"/>
      <c r="D344"/>
      <c r="E344"/>
      <c r="F344"/>
      <c r="G344" s="43"/>
      <c r="H344"/>
      <c r="I344"/>
      <c r="K344" s="38"/>
    </row>
    <row r="345" spans="2:11" x14ac:dyDescent="0.3">
      <c r="B345" s="3"/>
      <c r="C345" s="23"/>
      <c r="D345"/>
      <c r="E345"/>
      <c r="F345"/>
      <c r="G345" s="43"/>
      <c r="H345"/>
      <c r="I345"/>
      <c r="K345" s="38"/>
    </row>
    <row r="346" spans="2:11" x14ac:dyDescent="0.3">
      <c r="B346" s="3"/>
      <c r="C346" s="23"/>
      <c r="D346"/>
      <c r="E346"/>
      <c r="F346"/>
      <c r="G346" s="43"/>
      <c r="H346"/>
      <c r="I346"/>
      <c r="K346" s="38"/>
    </row>
    <row r="347" spans="2:11" x14ac:dyDescent="0.3">
      <c r="B347" s="3"/>
      <c r="C347" s="23"/>
      <c r="D347"/>
      <c r="E347"/>
      <c r="F347"/>
      <c r="G347" s="43"/>
      <c r="H347"/>
      <c r="I347"/>
      <c r="K347" s="38"/>
    </row>
    <row r="348" spans="2:11" x14ac:dyDescent="0.3">
      <c r="B348" s="3"/>
      <c r="C348" s="23"/>
      <c r="D348"/>
      <c r="E348"/>
      <c r="F348"/>
      <c r="G348" s="43"/>
      <c r="H348"/>
      <c r="I348"/>
      <c r="K348" s="38"/>
    </row>
    <row r="349" spans="2:11" x14ac:dyDescent="0.3">
      <c r="B349" s="3"/>
      <c r="C349" s="23"/>
      <c r="D349"/>
      <c r="E349"/>
      <c r="F349"/>
      <c r="G349" s="43"/>
      <c r="H349"/>
      <c r="I349"/>
      <c r="K349" s="38"/>
    </row>
    <row r="350" spans="2:11" x14ac:dyDescent="0.3">
      <c r="B350" s="3"/>
      <c r="C350" s="23"/>
      <c r="D350"/>
      <c r="E350"/>
      <c r="F350" s="11"/>
      <c r="G350" s="43"/>
      <c r="H350"/>
      <c r="I350"/>
      <c r="K350" s="38"/>
    </row>
    <row r="351" spans="2:11" x14ac:dyDescent="0.3">
      <c r="B351" s="3"/>
      <c r="C351" s="23"/>
      <c r="D351"/>
      <c r="E351"/>
      <c r="F351" s="11"/>
      <c r="G351" s="43"/>
      <c r="H351"/>
      <c r="I351"/>
      <c r="K351" s="38"/>
    </row>
    <row r="352" spans="2:11" x14ac:dyDescent="0.3">
      <c r="B352" s="3"/>
      <c r="C352" s="23"/>
      <c r="D352"/>
      <c r="E352"/>
      <c r="F352" s="11"/>
      <c r="G352" s="43"/>
      <c r="H352"/>
      <c r="I352"/>
      <c r="K352" s="38"/>
    </row>
    <row r="353" spans="2:11" x14ac:dyDescent="0.3">
      <c r="B353" s="3"/>
      <c r="C353" s="23"/>
      <c r="D353"/>
      <c r="E353"/>
      <c r="F353" s="11"/>
      <c r="G353" s="43"/>
      <c r="H353"/>
      <c r="I353"/>
      <c r="K353" s="38"/>
    </row>
    <row r="354" spans="2:11" x14ac:dyDescent="0.3">
      <c r="B354" s="3"/>
      <c r="C354" s="23"/>
      <c r="D354"/>
      <c r="E354"/>
      <c r="F354" s="11"/>
      <c r="G354" s="43"/>
      <c r="H354"/>
      <c r="I354"/>
      <c r="K354" s="38"/>
    </row>
    <row r="355" spans="2:11" x14ac:dyDescent="0.3">
      <c r="B355" s="3"/>
      <c r="C355" s="23"/>
      <c r="D355"/>
      <c r="E355"/>
      <c r="F355" s="11"/>
      <c r="G355" s="43"/>
      <c r="H355"/>
      <c r="I355"/>
      <c r="K355" s="38"/>
    </row>
    <row r="356" spans="2:11" x14ac:dyDescent="0.3">
      <c r="B356" s="3"/>
      <c r="C356" s="23"/>
      <c r="D356"/>
      <c r="E356"/>
      <c r="F356" s="11"/>
      <c r="G356" s="43"/>
      <c r="H356"/>
      <c r="I356"/>
      <c r="K356" s="38"/>
    </row>
    <row r="357" spans="2:11" x14ac:dyDescent="0.3">
      <c r="B357" s="3"/>
      <c r="C357" s="23"/>
      <c r="D357"/>
      <c r="E357"/>
      <c r="F357" s="11"/>
      <c r="G357" s="43"/>
      <c r="H357"/>
      <c r="I357"/>
      <c r="K357" s="38"/>
    </row>
    <row r="358" spans="2:11" x14ac:dyDescent="0.3">
      <c r="B358" s="3"/>
      <c r="C358" s="23"/>
      <c r="D358"/>
      <c r="E358"/>
      <c r="F358" s="11"/>
      <c r="G358" s="43"/>
      <c r="H358"/>
      <c r="I358"/>
      <c r="K358" s="38"/>
    </row>
    <row r="359" spans="2:11" x14ac:dyDescent="0.3">
      <c r="B359" s="3"/>
      <c r="C359" s="23"/>
      <c r="D359"/>
      <c r="E359"/>
      <c r="F359" s="11"/>
      <c r="G359" s="43"/>
      <c r="H359"/>
      <c r="I359"/>
      <c r="K359" s="38"/>
    </row>
    <row r="360" spans="2:11" x14ac:dyDescent="0.3">
      <c r="B360" s="3"/>
      <c r="C360" s="23"/>
      <c r="D360"/>
      <c r="E360"/>
      <c r="F360" s="11"/>
      <c r="G360" s="43"/>
      <c r="H360"/>
      <c r="I360"/>
      <c r="K360" s="38"/>
    </row>
    <row r="361" spans="2:11" x14ac:dyDescent="0.3">
      <c r="B361" s="3"/>
      <c r="C361" s="23"/>
      <c r="D361"/>
      <c r="E361"/>
      <c r="F361" s="11"/>
      <c r="G361" s="43"/>
      <c r="H361"/>
      <c r="I361"/>
      <c r="K361" s="38"/>
    </row>
    <row r="362" spans="2:11" x14ac:dyDescent="0.3">
      <c r="B362" s="3"/>
      <c r="C362" s="40"/>
      <c r="D362" s="19"/>
      <c r="E362"/>
      <c r="F362" s="11"/>
      <c r="G362" s="43"/>
      <c r="H362"/>
      <c r="I362"/>
      <c r="K362" s="38"/>
    </row>
    <row r="363" spans="2:11" x14ac:dyDescent="0.3">
      <c r="B363" s="3"/>
      <c r="C363" s="40"/>
      <c r="D363" s="19"/>
      <c r="E363"/>
      <c r="F363" s="11"/>
      <c r="G363" s="43"/>
      <c r="H363"/>
      <c r="I363"/>
      <c r="K363" s="38"/>
    </row>
    <row r="364" spans="2:11" x14ac:dyDescent="0.3">
      <c r="B364" s="3"/>
      <c r="C364" s="40"/>
      <c r="D364" s="19"/>
      <c r="E364"/>
      <c r="F364" s="11"/>
      <c r="G364" s="43"/>
      <c r="H364"/>
      <c r="I364"/>
      <c r="K364" s="38"/>
    </row>
    <row r="365" spans="2:11" x14ac:dyDescent="0.3">
      <c r="C365" s="40"/>
      <c r="D365" s="19"/>
      <c r="E365"/>
      <c r="F365" s="11"/>
      <c r="G365" s="43"/>
      <c r="H365"/>
      <c r="I365"/>
      <c r="K365" s="38"/>
    </row>
    <row r="366" spans="2:11" x14ac:dyDescent="0.3">
      <c r="C366" s="40"/>
      <c r="D366" s="19"/>
      <c r="E366"/>
      <c r="F366" s="11"/>
      <c r="G366" s="43"/>
      <c r="H366"/>
      <c r="I366"/>
      <c r="K366" s="38"/>
    </row>
    <row r="367" spans="2:11" x14ac:dyDescent="0.3">
      <c r="C367" s="40"/>
      <c r="D367" s="19"/>
      <c r="E367"/>
      <c r="F367" s="11"/>
      <c r="G367" s="43"/>
      <c r="H367"/>
      <c r="I367"/>
      <c r="K367" s="38"/>
    </row>
    <row r="368" spans="2:11" x14ac:dyDescent="0.3">
      <c r="C368" s="40"/>
      <c r="D368" s="19"/>
      <c r="E368"/>
      <c r="F368" s="11"/>
      <c r="G368" s="43"/>
      <c r="H368"/>
      <c r="I368"/>
      <c r="K368" s="38"/>
    </row>
    <row r="369" spans="2:11" x14ac:dyDescent="0.3">
      <c r="C369" s="40"/>
      <c r="D369" s="19"/>
      <c r="E369"/>
      <c r="F369" s="11"/>
      <c r="G369" s="43"/>
      <c r="H369"/>
      <c r="I369"/>
      <c r="K369" s="38"/>
    </row>
    <row r="370" spans="2:11" x14ac:dyDescent="0.3">
      <c r="C370" s="40"/>
      <c r="D370" s="19"/>
      <c r="E370"/>
      <c r="F370" s="11"/>
      <c r="G370" s="43"/>
      <c r="H370"/>
      <c r="I370"/>
      <c r="K370" s="38"/>
    </row>
    <row r="371" spans="2:11" x14ac:dyDescent="0.3">
      <c r="C371" s="40"/>
      <c r="D371" s="19"/>
      <c r="E371"/>
      <c r="F371" s="11"/>
      <c r="G371" s="43"/>
      <c r="H371"/>
      <c r="I371"/>
      <c r="K371" s="38"/>
    </row>
    <row r="372" spans="2:11" x14ac:dyDescent="0.3">
      <c r="C372" s="40"/>
      <c r="D372" s="19"/>
      <c r="E372"/>
      <c r="F372" s="11"/>
      <c r="G372" s="43"/>
      <c r="H372"/>
      <c r="I372"/>
      <c r="K372" s="38"/>
    </row>
    <row r="373" spans="2:11" x14ac:dyDescent="0.3">
      <c r="C373" s="40"/>
      <c r="D373" s="19"/>
      <c r="E373"/>
      <c r="F373" s="11"/>
      <c r="G373" s="43"/>
      <c r="H373"/>
      <c r="I373"/>
      <c r="K373" s="38"/>
    </row>
    <row r="374" spans="2:11" x14ac:dyDescent="0.3">
      <c r="C374" s="40"/>
      <c r="D374" s="19"/>
      <c r="E374"/>
      <c r="F374" s="11"/>
      <c r="G374" s="43"/>
      <c r="H374"/>
      <c r="I374"/>
      <c r="K374" s="38"/>
    </row>
    <row r="375" spans="2:11" x14ac:dyDescent="0.3">
      <c r="C375" s="40"/>
      <c r="D375" s="19"/>
      <c r="E375"/>
      <c r="F375" s="11"/>
      <c r="G375" s="43"/>
      <c r="H375"/>
      <c r="I375"/>
      <c r="K375" s="38"/>
    </row>
    <row r="376" spans="2:11" x14ac:dyDescent="0.3">
      <c r="B376" s="38"/>
      <c r="C376" s="40"/>
      <c r="D376" s="19"/>
      <c r="E376"/>
      <c r="F376" s="12"/>
      <c r="G376" s="43"/>
      <c r="H376"/>
      <c r="I376"/>
      <c r="K376" s="38"/>
    </row>
    <row r="377" spans="2:11" x14ac:dyDescent="0.3">
      <c r="B377" s="38"/>
      <c r="C377" s="40"/>
      <c r="D377" s="19"/>
      <c r="E377"/>
      <c r="F377" s="12"/>
      <c r="G377" s="43"/>
      <c r="H377"/>
      <c r="I377"/>
      <c r="K377" s="38"/>
    </row>
    <row r="378" spans="2:11" x14ac:dyDescent="0.3">
      <c r="B378" s="38"/>
      <c r="C378" s="40"/>
      <c r="D378" s="19"/>
      <c r="E378"/>
      <c r="F378" s="12"/>
      <c r="G378" s="43"/>
      <c r="H378"/>
      <c r="I378"/>
      <c r="K378" s="38"/>
    </row>
    <row r="379" spans="2:11" x14ac:dyDescent="0.3">
      <c r="B379" s="38"/>
      <c r="C379" s="40"/>
      <c r="D379" s="19"/>
      <c r="E379"/>
      <c r="F379" s="12"/>
      <c r="G379" s="43"/>
      <c r="H379"/>
      <c r="I379"/>
      <c r="K379" s="38"/>
    </row>
    <row r="380" spans="2:11" x14ac:dyDescent="0.3">
      <c r="B380" s="38"/>
      <c r="C380" s="40"/>
      <c r="D380" s="19"/>
      <c r="E380"/>
      <c r="F380" s="12"/>
      <c r="G380" s="43"/>
      <c r="H380"/>
      <c r="I380"/>
      <c r="K380" s="38"/>
    </row>
    <row r="381" spans="2:11" x14ac:dyDescent="0.3">
      <c r="B381" s="38"/>
      <c r="C381" s="40"/>
      <c r="D381" s="19"/>
      <c r="E381"/>
      <c r="F381" s="12"/>
      <c r="G381" s="43"/>
      <c r="H381"/>
      <c r="I381"/>
      <c r="K381" s="38"/>
    </row>
    <row r="382" spans="2:11" x14ac:dyDescent="0.3">
      <c r="B382" s="38"/>
      <c r="C382" s="40"/>
      <c r="D382" s="19"/>
      <c r="E382"/>
      <c r="F382" s="12"/>
      <c r="G382" s="43"/>
      <c r="H382"/>
      <c r="I382"/>
      <c r="K382" s="38"/>
    </row>
    <row r="383" spans="2:11" x14ac:dyDescent="0.3">
      <c r="B383" s="38"/>
      <c r="C383" s="40"/>
      <c r="D383" s="19"/>
      <c r="E383"/>
      <c r="F383" s="12"/>
      <c r="G383" s="43"/>
      <c r="H383"/>
      <c r="I383"/>
      <c r="K383" s="38"/>
    </row>
    <row r="384" spans="2:11" x14ac:dyDescent="0.3">
      <c r="B384" s="38"/>
      <c r="C384" s="40"/>
      <c r="D384" s="19"/>
      <c r="E384"/>
      <c r="F384" s="12"/>
      <c r="G384" s="43"/>
      <c r="H384"/>
      <c r="I384"/>
      <c r="K384" s="38"/>
    </row>
    <row r="385" spans="2:11" x14ac:dyDescent="0.3">
      <c r="B385" s="38"/>
      <c r="C385" s="40"/>
      <c r="D385" s="19"/>
      <c r="E385"/>
      <c r="F385" s="12"/>
      <c r="G385" s="43"/>
      <c r="H385"/>
      <c r="I385"/>
      <c r="K385" s="38"/>
    </row>
    <row r="386" spans="2:11" x14ac:dyDescent="0.3">
      <c r="B386" s="38"/>
      <c r="C386" s="40"/>
      <c r="D386" s="19"/>
      <c r="E386"/>
      <c r="F386" s="12"/>
      <c r="G386" s="43"/>
      <c r="H386"/>
      <c r="I386"/>
      <c r="K386" s="38"/>
    </row>
    <row r="387" spans="2:11" x14ac:dyDescent="0.3">
      <c r="B387" s="38"/>
      <c r="C387" s="40"/>
      <c r="D387" s="19"/>
      <c r="E387"/>
      <c r="F387" s="12"/>
      <c r="G387" s="43"/>
      <c r="H387"/>
      <c r="I387"/>
      <c r="K387" s="38"/>
    </row>
    <row r="388" spans="2:11" x14ac:dyDescent="0.3">
      <c r="B388" s="38"/>
      <c r="C388" s="40"/>
      <c r="D388" s="19"/>
      <c r="E388"/>
      <c r="F388" s="12"/>
      <c r="G388" s="43"/>
      <c r="H388"/>
      <c r="I388"/>
      <c r="K388" s="38"/>
    </row>
    <row r="389" spans="2:11" x14ac:dyDescent="0.3">
      <c r="B389" s="38"/>
      <c r="C389" s="40"/>
      <c r="D389" s="19"/>
      <c r="E389"/>
      <c r="F389" s="12"/>
      <c r="G389" s="43"/>
      <c r="H389"/>
      <c r="I389"/>
      <c r="K389" s="38"/>
    </row>
    <row r="390" spans="2:11" x14ac:dyDescent="0.3">
      <c r="B390" s="38"/>
      <c r="C390" s="40"/>
      <c r="D390" s="19"/>
      <c r="E390"/>
      <c r="F390" s="12"/>
      <c r="G390" s="43"/>
      <c r="H390"/>
      <c r="I390"/>
      <c r="K390" s="38"/>
    </row>
    <row r="391" spans="2:11" x14ac:dyDescent="0.3">
      <c r="B391" s="38"/>
      <c r="C391" s="40"/>
      <c r="D391" s="19"/>
      <c r="E391"/>
      <c r="F391" s="12"/>
      <c r="G391" s="43"/>
      <c r="H391"/>
      <c r="I391"/>
      <c r="K391" s="38"/>
    </row>
    <row r="392" spans="2:11" x14ac:dyDescent="0.3">
      <c r="B392" s="38"/>
      <c r="C392" s="40"/>
      <c r="D392" s="19"/>
      <c r="E392"/>
      <c r="F392" s="12"/>
      <c r="G392" s="43"/>
      <c r="H392"/>
      <c r="I392"/>
      <c r="K392" s="38"/>
    </row>
    <row r="393" spans="2:11" x14ac:dyDescent="0.3">
      <c r="B393" s="38"/>
      <c r="C393" s="40"/>
      <c r="D393" s="19"/>
      <c r="E393"/>
      <c r="F393" s="12"/>
      <c r="G393" s="43"/>
      <c r="H393"/>
      <c r="I393"/>
      <c r="K393" s="38"/>
    </row>
    <row r="394" spans="2:11" x14ac:dyDescent="0.3">
      <c r="B394" s="38"/>
      <c r="C394" s="40"/>
      <c r="D394" s="19"/>
      <c r="E394"/>
      <c r="F394" s="12"/>
      <c r="G394" s="43"/>
      <c r="H394"/>
      <c r="I394"/>
      <c r="K394" s="38"/>
    </row>
    <row r="395" spans="2:11" x14ac:dyDescent="0.3">
      <c r="B395" s="38"/>
      <c r="C395" s="40"/>
      <c r="D395" s="19"/>
      <c r="E395"/>
      <c r="F395" s="12"/>
      <c r="G395" s="43"/>
      <c r="H395"/>
      <c r="I395"/>
      <c r="K395" s="38"/>
    </row>
    <row r="396" spans="2:11" x14ac:dyDescent="0.3">
      <c r="B396" s="38"/>
      <c r="C396" s="40"/>
      <c r="D396" s="19"/>
      <c r="E396"/>
      <c r="F396" s="12"/>
      <c r="G396" s="43"/>
      <c r="H396"/>
      <c r="I396"/>
      <c r="K396" s="38"/>
    </row>
    <row r="397" spans="2:11" x14ac:dyDescent="0.3">
      <c r="B397" s="38"/>
      <c r="C397" s="40"/>
      <c r="D397" s="19"/>
      <c r="E397"/>
      <c r="F397" s="12"/>
      <c r="G397" s="43"/>
      <c r="H397"/>
      <c r="I397"/>
      <c r="K397" s="38"/>
    </row>
    <row r="398" spans="2:11" x14ac:dyDescent="0.3">
      <c r="B398" s="38"/>
      <c r="C398" s="40"/>
      <c r="D398" s="19"/>
      <c r="E398"/>
      <c r="F398" s="12"/>
      <c r="G398" s="43"/>
      <c r="H398"/>
      <c r="I398"/>
      <c r="K398" s="38"/>
    </row>
    <row r="399" spans="2:11" x14ac:dyDescent="0.3">
      <c r="B399" s="38"/>
      <c r="C399" s="40"/>
      <c r="D399" s="19"/>
      <c r="E399"/>
      <c r="F399" s="12"/>
      <c r="G399" s="43"/>
      <c r="H399"/>
      <c r="I399"/>
      <c r="K399" s="38"/>
    </row>
    <row r="400" spans="2:11" x14ac:dyDescent="0.3">
      <c r="B400" s="38"/>
      <c r="C400" s="40"/>
      <c r="D400" s="19"/>
      <c r="E400"/>
      <c r="F400" s="12"/>
      <c r="G400" s="43"/>
      <c r="H400"/>
      <c r="I400"/>
      <c r="K400" s="38"/>
    </row>
    <row r="401" spans="2:11" x14ac:dyDescent="0.3">
      <c r="B401" s="38"/>
      <c r="C401" s="40"/>
      <c r="D401" s="19"/>
      <c r="E401"/>
      <c r="F401" s="12"/>
      <c r="G401" s="43"/>
      <c r="H401"/>
      <c r="I401"/>
      <c r="K401" s="38"/>
    </row>
    <row r="402" spans="2:11" x14ac:dyDescent="0.3">
      <c r="B402" s="38"/>
      <c r="C402" s="40"/>
      <c r="D402" s="19"/>
      <c r="E402"/>
      <c r="F402" s="12"/>
      <c r="G402" s="43"/>
      <c r="H402"/>
      <c r="I402"/>
      <c r="K402" s="38"/>
    </row>
    <row r="403" spans="2:11" x14ac:dyDescent="0.3">
      <c r="B403" s="38"/>
      <c r="C403" s="40"/>
      <c r="D403" s="19"/>
      <c r="E403"/>
      <c r="F403" s="12"/>
      <c r="G403" s="43"/>
      <c r="H403"/>
      <c r="I403"/>
      <c r="K403" s="38"/>
    </row>
    <row r="404" spans="2:11" x14ac:dyDescent="0.3">
      <c r="B404" s="38"/>
      <c r="C404" s="40"/>
      <c r="D404" s="19"/>
      <c r="E404"/>
      <c r="F404" s="12"/>
      <c r="G404" s="43"/>
      <c r="H404"/>
      <c r="I404"/>
    </row>
    <row r="405" spans="2:11" x14ac:dyDescent="0.3">
      <c r="B405" s="38"/>
      <c r="C405" s="40"/>
      <c r="D405" s="19"/>
      <c r="E405"/>
      <c r="F405" s="12"/>
      <c r="G405" s="43"/>
      <c r="H405"/>
      <c r="I405"/>
    </row>
    <row r="406" spans="2:11" x14ac:dyDescent="0.3">
      <c r="B406" s="38"/>
      <c r="C406" s="40"/>
      <c r="D406" s="19"/>
      <c r="E406"/>
      <c r="F406" s="12"/>
      <c r="G406" s="43"/>
      <c r="H406"/>
      <c r="I406"/>
    </row>
    <row r="407" spans="2:11" x14ac:dyDescent="0.3">
      <c r="B407" s="38"/>
      <c r="C407" s="40"/>
      <c r="D407" s="19"/>
      <c r="E407"/>
      <c r="F407" s="12"/>
      <c r="G407" s="43"/>
      <c r="H407"/>
      <c r="I407"/>
    </row>
    <row r="408" spans="2:11" x14ac:dyDescent="0.3">
      <c r="B408" s="38"/>
      <c r="C408" s="40"/>
      <c r="D408" s="19"/>
      <c r="E408"/>
      <c r="F408" s="12"/>
      <c r="G408" s="43"/>
      <c r="H408"/>
      <c r="I408"/>
    </row>
    <row r="409" spans="2:11" x14ac:dyDescent="0.3">
      <c r="B409" s="38"/>
      <c r="C409" s="40"/>
      <c r="D409" s="19"/>
      <c r="E409"/>
      <c r="F409" s="12"/>
      <c r="G409" s="43"/>
      <c r="H409"/>
      <c r="I409"/>
    </row>
    <row r="410" spans="2:11" x14ac:dyDescent="0.3">
      <c r="B410" s="38"/>
      <c r="C410" s="40"/>
      <c r="D410" s="19"/>
      <c r="E410"/>
      <c r="F410" s="12"/>
      <c r="G410" s="43"/>
      <c r="H410"/>
      <c r="I410"/>
    </row>
    <row r="411" spans="2:11" x14ac:dyDescent="0.3">
      <c r="B411" s="38"/>
      <c r="C411" s="40"/>
      <c r="D411" s="19"/>
      <c r="E411"/>
      <c r="F411" s="12"/>
      <c r="G411" s="43"/>
      <c r="H411"/>
      <c r="I411"/>
    </row>
    <row r="412" spans="2:11" x14ac:dyDescent="0.3">
      <c r="B412" s="38"/>
      <c r="C412" s="40"/>
      <c r="D412" s="19"/>
      <c r="E412"/>
      <c r="F412" s="12"/>
      <c r="G412" s="43"/>
      <c r="H412"/>
      <c r="I412"/>
    </row>
    <row r="413" spans="2:11" x14ac:dyDescent="0.3">
      <c r="B413" s="38"/>
      <c r="C413" s="40"/>
      <c r="D413" s="19"/>
      <c r="E413"/>
      <c r="F413" s="12"/>
      <c r="G413" s="43"/>
      <c r="H413"/>
      <c r="I413"/>
    </row>
    <row r="414" spans="2:11" x14ac:dyDescent="0.3">
      <c r="B414" s="38"/>
      <c r="C414" s="40"/>
      <c r="D414" s="19"/>
      <c r="E414"/>
      <c r="F414" s="12"/>
      <c r="G414" s="43"/>
      <c r="H414"/>
      <c r="I414"/>
    </row>
    <row r="415" spans="2:11" x14ac:dyDescent="0.3">
      <c r="B415" s="38"/>
      <c r="C415" s="40"/>
      <c r="D415" s="19"/>
      <c r="E415"/>
      <c r="F415" s="12"/>
      <c r="G415" s="43"/>
      <c r="H415"/>
      <c r="I415"/>
    </row>
    <row r="416" spans="2:11" x14ac:dyDescent="0.3">
      <c r="B416" s="38"/>
      <c r="C416" s="40"/>
      <c r="D416" s="19"/>
      <c r="E416"/>
      <c r="F416" s="12"/>
      <c r="G416" s="43"/>
      <c r="H416"/>
      <c r="I416"/>
    </row>
    <row r="417" spans="2:9" x14ac:dyDescent="0.3">
      <c r="B417" s="38"/>
      <c r="C417" s="40"/>
      <c r="D417" s="19"/>
      <c r="E417"/>
      <c r="F417" s="12"/>
      <c r="G417" s="43"/>
      <c r="H417"/>
      <c r="I417"/>
    </row>
    <row r="418" spans="2:9" x14ac:dyDescent="0.3">
      <c r="B418" s="38"/>
      <c r="C418" s="40"/>
      <c r="D418" s="19"/>
      <c r="E418"/>
      <c r="F418" s="12"/>
      <c r="G418" s="43"/>
      <c r="H418"/>
      <c r="I418"/>
    </row>
    <row r="419" spans="2:9" x14ac:dyDescent="0.3">
      <c r="B419" s="38"/>
      <c r="C419" s="40"/>
      <c r="D419" s="19"/>
      <c r="E419"/>
      <c r="F419" s="12"/>
      <c r="G419" s="43"/>
      <c r="H419"/>
      <c r="I419"/>
    </row>
    <row r="420" spans="2:9" x14ac:dyDescent="0.3">
      <c r="B420" s="38"/>
      <c r="C420" s="40"/>
      <c r="D420" s="19"/>
      <c r="E420"/>
      <c r="F420" s="12"/>
      <c r="G420" s="43"/>
      <c r="H420"/>
      <c r="I420"/>
    </row>
    <row r="421" spans="2:9" x14ac:dyDescent="0.3">
      <c r="B421" s="38"/>
      <c r="C421" s="40"/>
      <c r="D421" s="19"/>
      <c r="E421"/>
      <c r="F421" s="12"/>
      <c r="G421" s="43"/>
      <c r="H421"/>
      <c r="I421"/>
    </row>
    <row r="422" spans="2:9" x14ac:dyDescent="0.3">
      <c r="B422" s="38"/>
      <c r="C422" s="40"/>
      <c r="D422" s="19"/>
      <c r="E422"/>
      <c r="F422" s="12"/>
      <c r="G422" s="43"/>
      <c r="H422"/>
      <c r="I422"/>
    </row>
    <row r="423" spans="2:9" x14ac:dyDescent="0.3">
      <c r="B423" s="38"/>
      <c r="C423" s="40"/>
      <c r="D423" s="19"/>
      <c r="E423"/>
      <c r="F423" s="12"/>
      <c r="G423" s="43"/>
      <c r="H423"/>
      <c r="I423"/>
    </row>
    <row r="424" spans="2:9" x14ac:dyDescent="0.3">
      <c r="B424" s="38"/>
      <c r="C424" s="40"/>
      <c r="D424" s="19"/>
      <c r="E424"/>
      <c r="F424" s="12"/>
      <c r="G424" s="43"/>
      <c r="H424"/>
      <c r="I424"/>
    </row>
    <row r="425" spans="2:9" x14ac:dyDescent="0.3">
      <c r="B425" s="38"/>
      <c r="C425" s="40"/>
      <c r="D425" s="19"/>
      <c r="E425"/>
      <c r="F425" s="12"/>
      <c r="G425" s="43"/>
      <c r="H425"/>
      <c r="I425"/>
    </row>
    <row r="426" spans="2:9" x14ac:dyDescent="0.3">
      <c r="B426" s="38"/>
      <c r="C426" s="40"/>
      <c r="D426" s="19"/>
      <c r="E426"/>
      <c r="F426" s="12"/>
      <c r="G426" s="43"/>
      <c r="H426"/>
      <c r="I426"/>
    </row>
    <row r="427" spans="2:9" x14ac:dyDescent="0.3">
      <c r="B427" s="38"/>
      <c r="C427" s="40"/>
      <c r="D427" s="19"/>
      <c r="E427"/>
      <c r="F427" s="12"/>
      <c r="G427" s="43"/>
      <c r="H427"/>
      <c r="I427"/>
    </row>
    <row r="428" spans="2:9" x14ac:dyDescent="0.3">
      <c r="B428" s="38"/>
      <c r="C428" s="40"/>
      <c r="D428" s="19"/>
      <c r="E428"/>
      <c r="F428" s="12"/>
      <c r="G428" s="43"/>
      <c r="H428"/>
      <c r="I428"/>
    </row>
    <row r="429" spans="2:9" x14ac:dyDescent="0.3">
      <c r="B429" s="38"/>
      <c r="C429" s="40"/>
      <c r="D429" s="19"/>
      <c r="E429"/>
      <c r="F429" s="12"/>
      <c r="G429" s="43"/>
      <c r="H429"/>
      <c r="I429"/>
    </row>
    <row r="430" spans="2:9" x14ac:dyDescent="0.3">
      <c r="B430" s="38"/>
      <c r="C430" s="40"/>
      <c r="D430" s="19"/>
      <c r="E430"/>
      <c r="F430" s="12"/>
      <c r="G430" s="43"/>
      <c r="H430"/>
      <c r="I430"/>
    </row>
    <row r="431" spans="2:9" x14ac:dyDescent="0.3">
      <c r="B431" s="38"/>
      <c r="C431" s="40"/>
      <c r="D431" s="19"/>
      <c r="E431"/>
      <c r="F431" s="12"/>
      <c r="G431" s="43"/>
      <c r="H431"/>
      <c r="I431"/>
    </row>
    <row r="432" spans="2:9" x14ac:dyDescent="0.3">
      <c r="B432" s="38"/>
      <c r="C432" s="40"/>
      <c r="D432" s="19"/>
      <c r="E432"/>
      <c r="F432" s="12"/>
      <c r="G432" s="43"/>
      <c r="H432"/>
      <c r="I432"/>
    </row>
    <row r="433" spans="2:11" x14ac:dyDescent="0.3">
      <c r="B433" s="38"/>
      <c r="C433" s="40"/>
      <c r="D433" s="19"/>
      <c r="E433"/>
      <c r="F433" s="12"/>
      <c r="G433" s="43"/>
      <c r="H433"/>
      <c r="I433"/>
    </row>
    <row r="434" spans="2:11" x14ac:dyDescent="0.3">
      <c r="B434" s="38"/>
      <c r="C434" s="40"/>
      <c r="D434" s="19"/>
      <c r="E434"/>
      <c r="F434" s="12"/>
      <c r="G434" s="43"/>
      <c r="H434"/>
      <c r="I434"/>
    </row>
    <row r="435" spans="2:11" x14ac:dyDescent="0.3">
      <c r="B435" s="38"/>
      <c r="C435" s="40"/>
      <c r="D435" s="19"/>
      <c r="E435"/>
      <c r="F435" s="12"/>
      <c r="G435" s="43"/>
      <c r="H435"/>
      <c r="I435"/>
    </row>
    <row r="436" spans="2:11" x14ac:dyDescent="0.3">
      <c r="B436" s="38"/>
      <c r="C436" s="40"/>
      <c r="D436" s="19"/>
      <c r="E436"/>
      <c r="F436" s="12"/>
      <c r="G436" s="43"/>
      <c r="H436"/>
      <c r="I436"/>
    </row>
    <row r="437" spans="2:11" x14ac:dyDescent="0.3">
      <c r="B437" s="38"/>
      <c r="C437" s="40"/>
      <c r="D437" s="19"/>
      <c r="E437"/>
      <c r="F437" s="12"/>
      <c r="G437" s="43"/>
      <c r="H437"/>
      <c r="I437"/>
    </row>
    <row r="438" spans="2:11" x14ac:dyDescent="0.3">
      <c r="B438" s="38"/>
      <c r="C438" s="40"/>
      <c r="D438" s="19"/>
      <c r="E438"/>
      <c r="F438" s="12"/>
      <c r="G438" s="43"/>
      <c r="H438"/>
      <c r="I438"/>
    </row>
    <row r="439" spans="2:11" x14ac:dyDescent="0.3">
      <c r="B439" s="38"/>
      <c r="C439" s="40"/>
      <c r="D439" s="19"/>
      <c r="E439"/>
      <c r="F439" s="12"/>
      <c r="G439" s="43"/>
      <c r="H439"/>
      <c r="I439"/>
    </row>
    <row r="440" spans="2:11" x14ac:dyDescent="0.3">
      <c r="B440" s="38"/>
      <c r="C440" s="40"/>
      <c r="D440" s="19"/>
      <c r="E440"/>
      <c r="F440" s="12"/>
      <c r="G440" s="43"/>
      <c r="H440"/>
      <c r="I440"/>
    </row>
    <row r="441" spans="2:11" x14ac:dyDescent="0.3">
      <c r="B441" s="38"/>
      <c r="C441" s="40"/>
      <c r="D441" s="19"/>
      <c r="E441"/>
      <c r="F441" s="12"/>
      <c r="G441" s="43"/>
      <c r="H441"/>
      <c r="I441"/>
    </row>
    <row r="442" spans="2:11" x14ac:dyDescent="0.3">
      <c r="B442" s="38"/>
      <c r="C442" s="40"/>
      <c r="D442" s="19"/>
      <c r="E442"/>
      <c r="F442" s="12"/>
      <c r="G442" s="43"/>
      <c r="H442"/>
      <c r="I442"/>
    </row>
    <row r="443" spans="2:11" x14ac:dyDescent="0.3">
      <c r="B443" s="38"/>
      <c r="C443" s="40"/>
      <c r="D443" s="19"/>
      <c r="E443"/>
      <c r="F443" s="12"/>
      <c r="G443" s="43"/>
      <c r="H443"/>
      <c r="I443"/>
    </row>
    <row r="444" spans="2:11" x14ac:dyDescent="0.3">
      <c r="B444" s="38"/>
      <c r="C444" s="40"/>
      <c r="D444" s="19"/>
      <c r="E444"/>
      <c r="F444" s="12"/>
      <c r="G444" s="43"/>
      <c r="H444"/>
      <c r="I444"/>
    </row>
    <row r="445" spans="2:11" x14ac:dyDescent="0.3">
      <c r="B445" s="38"/>
      <c r="C445" s="40"/>
      <c r="D445" s="19"/>
      <c r="E445"/>
      <c r="F445" s="12"/>
      <c r="G445" s="43"/>
      <c r="H445"/>
      <c r="I445"/>
    </row>
    <row r="446" spans="2:11" x14ac:dyDescent="0.3">
      <c r="B446" s="38"/>
      <c r="C446" s="40"/>
      <c r="D446" s="19"/>
      <c r="E446"/>
      <c r="F446" s="12"/>
      <c r="G446" s="43"/>
      <c r="H446"/>
      <c r="I446"/>
    </row>
    <row r="447" spans="2:11" x14ac:dyDescent="0.3">
      <c r="B447" s="38"/>
      <c r="C447" s="40"/>
      <c r="D447" s="19"/>
      <c r="E447"/>
      <c r="F447" s="12"/>
      <c r="G447" s="43"/>
      <c r="H447"/>
      <c r="I447"/>
      <c r="K447" s="38"/>
    </row>
    <row r="448" spans="2:11" x14ac:dyDescent="0.3">
      <c r="B448" s="38"/>
      <c r="C448" s="40"/>
      <c r="D448" s="19"/>
      <c r="E448"/>
      <c r="F448" s="12"/>
      <c r="G448" s="43"/>
      <c r="H448"/>
      <c r="I448"/>
      <c r="K448" s="38"/>
    </row>
    <row r="449" spans="2:11" x14ac:dyDescent="0.3">
      <c r="B449" s="38"/>
      <c r="C449" s="40"/>
      <c r="D449" s="19"/>
      <c r="E449"/>
      <c r="F449" s="12"/>
      <c r="G449" s="43"/>
      <c r="H449"/>
      <c r="I449"/>
      <c r="K449" s="38"/>
    </row>
    <row r="450" spans="2:11" x14ac:dyDescent="0.3">
      <c r="B450" s="38"/>
      <c r="C450" s="40"/>
      <c r="D450" s="19"/>
      <c r="E450"/>
      <c r="F450" s="12"/>
      <c r="G450" s="43"/>
      <c r="H450"/>
      <c r="I450"/>
      <c r="K450" s="38"/>
    </row>
    <row r="451" spans="2:11" x14ac:dyDescent="0.3">
      <c r="B451" s="38"/>
      <c r="C451" s="40"/>
      <c r="D451" s="19"/>
      <c r="E451"/>
      <c r="F451" s="12"/>
      <c r="G451" s="43"/>
      <c r="H451"/>
      <c r="I451"/>
      <c r="K451" s="38"/>
    </row>
    <row r="452" spans="2:11" x14ac:dyDescent="0.3">
      <c r="B452" s="38"/>
      <c r="C452" s="40"/>
      <c r="D452" s="19"/>
      <c r="E452"/>
      <c r="F452" s="12"/>
      <c r="G452" s="43"/>
      <c r="H452"/>
      <c r="I452"/>
      <c r="K452" s="38"/>
    </row>
    <row r="453" spans="2:11" x14ac:dyDescent="0.3">
      <c r="B453" s="38"/>
      <c r="C453" s="40"/>
      <c r="D453" s="19"/>
      <c r="E453"/>
      <c r="F453" s="12"/>
      <c r="G453" s="43"/>
      <c r="H453"/>
      <c r="I453"/>
      <c r="K453" s="38"/>
    </row>
    <row r="454" spans="2:11" x14ac:dyDescent="0.3">
      <c r="B454" s="38"/>
      <c r="C454" s="40"/>
      <c r="D454" s="19"/>
      <c r="E454"/>
      <c r="F454" s="12"/>
      <c r="G454" s="43"/>
      <c r="H454"/>
      <c r="I454"/>
      <c r="K454" s="38"/>
    </row>
    <row r="455" spans="2:11" x14ac:dyDescent="0.3">
      <c r="B455" s="38"/>
      <c r="C455" s="40"/>
      <c r="D455" s="19"/>
      <c r="E455"/>
      <c r="F455" s="12"/>
      <c r="G455" s="43"/>
      <c r="H455"/>
      <c r="I455"/>
      <c r="K455" s="38"/>
    </row>
    <row r="456" spans="2:11" x14ac:dyDescent="0.3">
      <c r="B456" s="38"/>
      <c r="C456" s="40"/>
      <c r="D456" s="19"/>
      <c r="E456"/>
      <c r="F456" s="12"/>
      <c r="G456" s="43"/>
      <c r="H456"/>
      <c r="I456"/>
      <c r="K456" s="38"/>
    </row>
    <row r="457" spans="2:11" x14ac:dyDescent="0.3">
      <c r="B457" s="38"/>
      <c r="C457" s="40"/>
      <c r="D457" s="19"/>
      <c r="E457"/>
      <c r="F457" s="12"/>
      <c r="G457" s="43"/>
      <c r="H457"/>
      <c r="I457"/>
      <c r="K457" s="38"/>
    </row>
    <row r="458" spans="2:11" x14ac:dyDescent="0.3">
      <c r="B458" s="38"/>
      <c r="C458" s="40"/>
      <c r="D458" s="19"/>
      <c r="E458"/>
      <c r="F458" s="12"/>
      <c r="G458" s="43"/>
      <c r="H458"/>
      <c r="I458"/>
      <c r="K458" s="38"/>
    </row>
    <row r="459" spans="2:11" x14ac:dyDescent="0.3">
      <c r="B459" s="38"/>
      <c r="C459" s="40"/>
      <c r="D459" s="19"/>
      <c r="E459"/>
      <c r="F459" s="12"/>
      <c r="G459" s="43"/>
      <c r="H459"/>
      <c r="I459"/>
      <c r="K459" s="38"/>
    </row>
    <row r="460" spans="2:11" x14ac:dyDescent="0.3">
      <c r="B460" s="38"/>
      <c r="C460" s="40"/>
      <c r="D460" s="19"/>
      <c r="E460"/>
      <c r="F460" s="12"/>
      <c r="G460" s="43"/>
      <c r="H460"/>
      <c r="I460"/>
      <c r="K460" s="38"/>
    </row>
    <row r="461" spans="2:11" x14ac:dyDescent="0.3">
      <c r="B461" s="38"/>
      <c r="C461" s="40"/>
      <c r="D461" s="19"/>
      <c r="E461"/>
      <c r="F461" s="12"/>
      <c r="G461" s="43"/>
      <c r="H461"/>
      <c r="I461"/>
      <c r="K461" s="38"/>
    </row>
    <row r="462" spans="2:11" x14ac:dyDescent="0.3">
      <c r="B462" s="38"/>
      <c r="C462" s="40"/>
      <c r="D462" s="19"/>
      <c r="E462"/>
      <c r="F462" s="12"/>
      <c r="G462" s="43"/>
      <c r="H462"/>
      <c r="I462"/>
      <c r="K462" s="38"/>
    </row>
    <row r="463" spans="2:11" x14ac:dyDescent="0.3">
      <c r="B463" s="38"/>
      <c r="C463" s="40"/>
      <c r="D463" s="19"/>
      <c r="E463"/>
      <c r="F463" s="12"/>
      <c r="G463" s="43"/>
      <c r="H463"/>
      <c r="I463"/>
      <c r="K463" s="38"/>
    </row>
    <row r="464" spans="2:11" x14ac:dyDescent="0.3">
      <c r="B464" s="38"/>
      <c r="C464" s="40"/>
      <c r="D464" s="19"/>
      <c r="E464"/>
      <c r="F464" s="12"/>
      <c r="G464" s="43"/>
      <c r="H464"/>
      <c r="I464"/>
      <c r="K464" s="38"/>
    </row>
    <row r="465" spans="2:11" x14ac:dyDescent="0.3">
      <c r="B465" s="38"/>
      <c r="C465" s="40"/>
      <c r="D465" s="19"/>
      <c r="E465"/>
      <c r="F465" s="12"/>
      <c r="G465" s="43"/>
      <c r="H465"/>
      <c r="I465"/>
      <c r="K465" s="38"/>
    </row>
    <row r="466" spans="2:11" x14ac:dyDescent="0.3">
      <c r="B466" s="38"/>
      <c r="C466" s="40"/>
      <c r="D466" s="19"/>
      <c r="E466"/>
      <c r="F466" s="12"/>
      <c r="G466" s="43"/>
      <c r="H466"/>
      <c r="I466"/>
      <c r="K466" s="38"/>
    </row>
    <row r="467" spans="2:11" x14ac:dyDescent="0.3">
      <c r="B467" s="38"/>
      <c r="C467" s="40"/>
      <c r="D467" s="19"/>
      <c r="E467"/>
      <c r="F467" s="12"/>
      <c r="G467" s="43"/>
      <c r="H467"/>
      <c r="I467"/>
      <c r="K467" s="38"/>
    </row>
    <row r="468" spans="2:11" x14ac:dyDescent="0.3">
      <c r="B468" s="38"/>
      <c r="C468" s="40"/>
      <c r="D468" s="19"/>
      <c r="E468"/>
      <c r="F468" s="12"/>
      <c r="G468" s="43"/>
      <c r="H468"/>
      <c r="I468"/>
      <c r="K468" s="38"/>
    </row>
    <row r="469" spans="2:11" x14ac:dyDescent="0.3">
      <c r="B469" s="38"/>
      <c r="C469" s="40"/>
      <c r="D469" s="19"/>
      <c r="E469"/>
      <c r="F469" s="12"/>
      <c r="G469" s="43"/>
      <c r="H469"/>
      <c r="I469"/>
      <c r="K469" s="38"/>
    </row>
    <row r="470" spans="2:11" x14ac:dyDescent="0.3">
      <c r="B470" s="38"/>
      <c r="C470" s="40"/>
      <c r="D470" s="19"/>
      <c r="E470"/>
      <c r="F470" s="12"/>
      <c r="G470" s="43"/>
      <c r="H470"/>
      <c r="I470"/>
      <c r="K470" s="38"/>
    </row>
    <row r="471" spans="2:11" x14ac:dyDescent="0.3">
      <c r="B471" s="38"/>
      <c r="C471" s="40"/>
      <c r="D471" s="19"/>
      <c r="E471"/>
      <c r="F471" s="12"/>
      <c r="G471" s="43"/>
      <c r="H471"/>
      <c r="I471"/>
      <c r="K471" s="38"/>
    </row>
    <row r="472" spans="2:11" x14ac:dyDescent="0.3">
      <c r="B472" s="38"/>
      <c r="C472" s="40"/>
      <c r="D472" s="19"/>
      <c r="E472"/>
      <c r="F472" s="12"/>
      <c r="G472" s="43"/>
      <c r="H472"/>
      <c r="I472"/>
      <c r="K472" s="38"/>
    </row>
    <row r="473" spans="2:11" x14ac:dyDescent="0.3">
      <c r="B473" s="38"/>
      <c r="C473" s="40"/>
      <c r="D473" s="19"/>
      <c r="E473"/>
      <c r="F473" s="12"/>
      <c r="G473" s="43"/>
      <c r="H473"/>
      <c r="I473"/>
      <c r="K473" s="38"/>
    </row>
    <row r="474" spans="2:11" x14ac:dyDescent="0.3">
      <c r="B474" s="38"/>
      <c r="C474" s="40"/>
      <c r="D474" s="19"/>
      <c r="E474"/>
      <c r="F474" s="12"/>
      <c r="G474" s="43"/>
      <c r="H474"/>
      <c r="I474"/>
      <c r="K474" s="38"/>
    </row>
    <row r="475" spans="2:11" x14ac:dyDescent="0.3">
      <c r="B475" s="38"/>
      <c r="C475" s="40"/>
      <c r="D475" s="19"/>
      <c r="E475"/>
      <c r="F475" s="12"/>
      <c r="G475" s="43"/>
      <c r="H475"/>
      <c r="I475"/>
      <c r="K475" s="38"/>
    </row>
    <row r="476" spans="2:11" x14ac:dyDescent="0.3">
      <c r="B476" s="38"/>
      <c r="C476" s="40"/>
      <c r="D476" s="19"/>
      <c r="E476"/>
      <c r="F476" s="12"/>
      <c r="G476" s="43"/>
      <c r="H476"/>
      <c r="I476"/>
      <c r="K476" s="38"/>
    </row>
    <row r="477" spans="2:11" x14ac:dyDescent="0.3">
      <c r="B477" s="38"/>
      <c r="C477" s="40"/>
      <c r="D477" s="19"/>
      <c r="E477"/>
      <c r="F477" s="12"/>
      <c r="G477" s="43"/>
      <c r="H477"/>
      <c r="I477"/>
      <c r="K477" s="38"/>
    </row>
    <row r="478" spans="2:11" x14ac:dyDescent="0.3">
      <c r="B478" s="38"/>
      <c r="C478" s="40"/>
      <c r="D478" s="19"/>
      <c r="E478"/>
      <c r="F478" s="12"/>
      <c r="G478" s="43"/>
      <c r="H478"/>
      <c r="I478"/>
      <c r="K478" s="38"/>
    </row>
    <row r="479" spans="2:11" x14ac:dyDescent="0.3">
      <c r="B479" s="38"/>
      <c r="C479" s="40"/>
      <c r="D479" s="19"/>
      <c r="E479"/>
      <c r="F479" s="12"/>
      <c r="G479" s="43"/>
      <c r="H479"/>
      <c r="I479"/>
      <c r="K479" s="38"/>
    </row>
    <row r="480" spans="2:11" x14ac:dyDescent="0.3">
      <c r="B480" s="38"/>
      <c r="C480" s="40"/>
      <c r="D480" s="19"/>
      <c r="E480"/>
      <c r="F480" s="12"/>
      <c r="G480" s="43"/>
      <c r="H480"/>
      <c r="I480"/>
      <c r="K480" s="38"/>
    </row>
    <row r="481" spans="2:11" x14ac:dyDescent="0.3">
      <c r="B481" s="38"/>
      <c r="C481" s="40"/>
      <c r="D481" s="19"/>
      <c r="E481"/>
      <c r="F481" s="12"/>
      <c r="G481" s="43"/>
      <c r="H481"/>
      <c r="I481"/>
      <c r="K481" s="38"/>
    </row>
    <row r="482" spans="2:11" x14ac:dyDescent="0.3">
      <c r="B482" s="38"/>
      <c r="C482" s="40"/>
      <c r="D482" s="19"/>
      <c r="E482"/>
      <c r="F482" s="12"/>
      <c r="G482" s="43"/>
      <c r="H482"/>
      <c r="I482"/>
      <c r="K482" s="38"/>
    </row>
    <row r="483" spans="2:11" x14ac:dyDescent="0.3">
      <c r="B483" s="38"/>
      <c r="C483" s="40"/>
      <c r="D483" s="19"/>
      <c r="E483"/>
      <c r="F483" s="12"/>
      <c r="G483" s="43"/>
      <c r="H483"/>
      <c r="I483"/>
      <c r="K483" s="38"/>
    </row>
    <row r="484" spans="2:11" x14ac:dyDescent="0.3">
      <c r="B484" s="38"/>
      <c r="C484" s="40"/>
      <c r="D484" s="19"/>
      <c r="E484"/>
      <c r="F484" s="12"/>
      <c r="G484" s="43"/>
      <c r="H484"/>
      <c r="I484"/>
      <c r="K484" s="38"/>
    </row>
    <row r="485" spans="2:11" x14ac:dyDescent="0.3">
      <c r="B485" s="38"/>
      <c r="C485" s="40"/>
      <c r="D485" s="19"/>
      <c r="E485"/>
      <c r="F485" s="12"/>
      <c r="G485" s="43"/>
      <c r="H485"/>
      <c r="I485"/>
      <c r="K485" s="38"/>
    </row>
    <row r="486" spans="2:11" x14ac:dyDescent="0.3">
      <c r="B486" s="38"/>
      <c r="C486" s="40"/>
      <c r="D486" s="19"/>
      <c r="E486"/>
      <c r="F486" s="12"/>
      <c r="G486" s="43"/>
      <c r="H486"/>
      <c r="I486"/>
      <c r="K486" s="38"/>
    </row>
    <row r="487" spans="2:11" x14ac:dyDescent="0.3">
      <c r="B487" s="38"/>
      <c r="C487" s="40"/>
      <c r="D487" s="19"/>
      <c r="E487"/>
      <c r="F487" s="12"/>
      <c r="G487" s="43"/>
      <c r="H487"/>
      <c r="I487"/>
      <c r="K487" s="38"/>
    </row>
    <row r="488" spans="2:11" x14ac:dyDescent="0.3">
      <c r="B488" s="38"/>
      <c r="C488" s="40"/>
      <c r="D488" s="19"/>
      <c r="E488"/>
      <c r="F488" s="12"/>
      <c r="G488" s="43"/>
      <c r="H488"/>
      <c r="I488"/>
      <c r="K488" s="38"/>
    </row>
    <row r="489" spans="2:11" x14ac:dyDescent="0.3">
      <c r="B489" s="38"/>
      <c r="C489" s="40"/>
      <c r="D489" s="19"/>
      <c r="E489"/>
      <c r="F489" s="12"/>
      <c r="G489" s="43"/>
      <c r="H489"/>
      <c r="I489"/>
      <c r="K489" s="38"/>
    </row>
    <row r="490" spans="2:11" x14ac:dyDescent="0.3">
      <c r="B490" s="38"/>
      <c r="C490" s="40"/>
      <c r="D490" s="19"/>
      <c r="E490"/>
      <c r="F490" s="12"/>
      <c r="G490" s="43"/>
      <c r="H490"/>
      <c r="I490"/>
      <c r="K490" s="38"/>
    </row>
    <row r="491" spans="2:11" x14ac:dyDescent="0.3">
      <c r="B491" s="38"/>
      <c r="C491" s="40"/>
      <c r="D491" s="19"/>
      <c r="E491"/>
      <c r="F491" s="12"/>
      <c r="G491" s="43"/>
      <c r="H491"/>
      <c r="I491"/>
      <c r="K491" s="38"/>
    </row>
    <row r="492" spans="2:11" x14ac:dyDescent="0.3">
      <c r="B492" s="38"/>
      <c r="C492" s="40"/>
      <c r="D492" s="19"/>
      <c r="E492"/>
      <c r="F492" s="12"/>
      <c r="G492" s="43"/>
      <c r="H492"/>
      <c r="I492"/>
    </row>
    <row r="493" spans="2:11" x14ac:dyDescent="0.3">
      <c r="B493" s="38"/>
      <c r="C493" s="40"/>
      <c r="D493" s="19"/>
      <c r="E493"/>
      <c r="F493" s="12"/>
      <c r="G493" s="43"/>
      <c r="H493"/>
      <c r="I493"/>
    </row>
    <row r="494" spans="2:11" x14ac:dyDescent="0.3">
      <c r="B494" s="38"/>
      <c r="C494" s="40"/>
      <c r="D494" s="19"/>
      <c r="E494"/>
      <c r="F494" s="12"/>
      <c r="G494" s="43"/>
      <c r="H494"/>
      <c r="I494"/>
      <c r="K494" s="38"/>
    </row>
    <row r="495" spans="2:11" x14ac:dyDescent="0.3">
      <c r="B495" s="38"/>
      <c r="C495" s="40"/>
      <c r="D495" s="19"/>
      <c r="E495"/>
      <c r="F495" s="12"/>
      <c r="G495" s="43"/>
      <c r="H495"/>
      <c r="I495"/>
      <c r="K495" s="38"/>
    </row>
    <row r="496" spans="2:11" x14ac:dyDescent="0.3">
      <c r="B496" s="38"/>
      <c r="C496" s="40"/>
      <c r="D496" s="19"/>
      <c r="E496"/>
      <c r="F496" s="12"/>
      <c r="G496" s="43"/>
      <c r="H496"/>
      <c r="I496"/>
      <c r="K496" s="38"/>
    </row>
    <row r="497" spans="2:12" x14ac:dyDescent="0.3">
      <c r="B497" s="38"/>
      <c r="C497" s="40"/>
      <c r="D497" s="19"/>
      <c r="E497"/>
      <c r="F497" s="12"/>
      <c r="G497" s="43"/>
      <c r="H497"/>
      <c r="I497"/>
      <c r="K497" s="38"/>
    </row>
    <row r="498" spans="2:12" x14ac:dyDescent="0.3">
      <c r="B498" s="38"/>
      <c r="C498" s="40"/>
      <c r="D498" s="19"/>
      <c r="E498"/>
      <c r="F498" s="12"/>
      <c r="G498" s="43"/>
      <c r="H498"/>
      <c r="I498"/>
      <c r="K498" s="38"/>
    </row>
    <row r="499" spans="2:12" x14ac:dyDescent="0.3">
      <c r="B499" s="38"/>
      <c r="C499" s="40"/>
      <c r="D499" s="19"/>
      <c r="E499"/>
      <c r="F499" s="12"/>
      <c r="G499" s="43"/>
      <c r="H499"/>
      <c r="I499"/>
      <c r="K499" s="38"/>
    </row>
    <row r="500" spans="2:12" x14ac:dyDescent="0.3">
      <c r="B500" s="38"/>
      <c r="C500" s="40"/>
      <c r="D500" s="19"/>
      <c r="E500"/>
      <c r="F500" s="12"/>
      <c r="G500" s="43"/>
      <c r="H500"/>
      <c r="I500"/>
      <c r="K500" s="38"/>
    </row>
    <row r="501" spans="2:12" x14ac:dyDescent="0.3">
      <c r="B501" s="38"/>
      <c r="C501" s="40"/>
      <c r="D501" s="19"/>
      <c r="E501"/>
      <c r="F501" s="12"/>
      <c r="G501" s="43"/>
      <c r="H501"/>
      <c r="I501"/>
      <c r="K501" s="38"/>
    </row>
    <row r="502" spans="2:12" x14ac:dyDescent="0.3">
      <c r="B502" s="38"/>
      <c r="C502" s="40"/>
      <c r="D502" s="19"/>
      <c r="E502"/>
      <c r="F502" s="12"/>
      <c r="G502" s="43"/>
      <c r="H502"/>
      <c r="I502"/>
      <c r="K502" s="38"/>
      <c r="L502" s="39"/>
    </row>
    <row r="503" spans="2:12" x14ac:dyDescent="0.3">
      <c r="B503" s="38"/>
      <c r="C503" s="40"/>
      <c r="D503" s="19"/>
      <c r="E503"/>
      <c r="F503" s="12"/>
      <c r="G503" s="43"/>
      <c r="H503"/>
      <c r="I503"/>
      <c r="K503" s="38"/>
      <c r="L503" s="39"/>
    </row>
    <row r="504" spans="2:12" x14ac:dyDescent="0.3">
      <c r="B504" s="38"/>
      <c r="C504" s="40"/>
      <c r="D504" s="19"/>
      <c r="E504"/>
      <c r="F504" s="12"/>
      <c r="G504" s="43"/>
      <c r="H504"/>
      <c r="I504"/>
      <c r="K504" s="38"/>
      <c r="L504" s="39"/>
    </row>
    <row r="505" spans="2:12" x14ac:dyDescent="0.3">
      <c r="B505" s="38"/>
      <c r="C505" s="40"/>
      <c r="D505" s="19"/>
      <c r="E505"/>
      <c r="F505" s="12"/>
      <c r="G505" s="43"/>
      <c r="H505"/>
      <c r="I505"/>
      <c r="K505" s="38"/>
      <c r="L505" s="39"/>
    </row>
    <row r="506" spans="2:12" x14ac:dyDescent="0.3">
      <c r="B506" s="38"/>
      <c r="C506" s="40"/>
      <c r="D506" s="19"/>
      <c r="E506"/>
      <c r="F506" s="12"/>
      <c r="G506" s="43"/>
      <c r="H506"/>
      <c r="I506"/>
      <c r="K506" s="38"/>
      <c r="L506" s="39"/>
    </row>
    <row r="507" spans="2:12" x14ac:dyDescent="0.3">
      <c r="C507" s="40"/>
      <c r="D507" s="19"/>
      <c r="E507"/>
      <c r="F507" s="11"/>
      <c r="G507" s="43"/>
      <c r="H507"/>
      <c r="I507"/>
      <c r="K507" s="38"/>
    </row>
    <row r="508" spans="2:12" x14ac:dyDescent="0.3">
      <c r="C508" s="40"/>
      <c r="D508" s="19"/>
      <c r="E508"/>
      <c r="F508" s="11"/>
      <c r="G508" s="43"/>
      <c r="H508"/>
      <c r="I508"/>
      <c r="K508" s="38"/>
      <c r="L508" s="39"/>
    </row>
    <row r="509" spans="2:12" x14ac:dyDescent="0.3">
      <c r="C509" s="40"/>
      <c r="D509" s="19"/>
      <c r="E509"/>
      <c r="F509" s="11"/>
      <c r="G509" s="43"/>
      <c r="H509"/>
      <c r="I509"/>
      <c r="K509" s="38"/>
      <c r="L509" s="39"/>
    </row>
    <row r="510" spans="2:12" x14ac:dyDescent="0.3">
      <c r="C510" s="40"/>
      <c r="D510" s="19"/>
      <c r="E510"/>
      <c r="F510" s="11"/>
      <c r="G510" s="43"/>
      <c r="H510"/>
      <c r="I510"/>
      <c r="K510" s="38"/>
      <c r="L510" s="39"/>
    </row>
    <row r="511" spans="2:12" x14ac:dyDescent="0.3">
      <c r="C511" s="40"/>
      <c r="D511" s="19"/>
      <c r="E511"/>
      <c r="F511" s="11"/>
      <c r="G511" s="43"/>
      <c r="H511"/>
      <c r="I511"/>
      <c r="K511" s="38"/>
      <c r="L511" s="39"/>
    </row>
    <row r="512" spans="2:12" x14ac:dyDescent="0.3">
      <c r="C512" s="40"/>
      <c r="D512" s="19"/>
      <c r="E512"/>
      <c r="F512" s="11"/>
      <c r="G512" s="43"/>
      <c r="H512"/>
      <c r="I512"/>
      <c r="K512" s="38"/>
      <c r="L512" s="39"/>
    </row>
    <row r="513" spans="2:24" x14ac:dyDescent="0.3">
      <c r="C513" s="40"/>
      <c r="D513" s="19"/>
      <c r="E513"/>
      <c r="F513" s="11"/>
      <c r="G513" s="43"/>
      <c r="H513"/>
      <c r="I513"/>
      <c r="K513" s="38"/>
      <c r="L513" s="39"/>
    </row>
    <row r="514" spans="2:24" x14ac:dyDescent="0.3">
      <c r="C514" s="40"/>
      <c r="D514" s="19"/>
      <c r="E514"/>
      <c r="F514" s="11"/>
      <c r="G514" s="43"/>
      <c r="H514"/>
      <c r="I514"/>
      <c r="K514" s="38"/>
      <c r="L514" s="39"/>
    </row>
    <row r="515" spans="2:24" x14ac:dyDescent="0.3">
      <c r="B515" s="38"/>
      <c r="C515" s="40"/>
      <c r="D515" s="19"/>
      <c r="E515"/>
      <c r="F515" s="12"/>
      <c r="G515" s="43"/>
      <c r="H515"/>
      <c r="I515"/>
      <c r="K515" s="38"/>
      <c r="L515" s="39"/>
      <c r="M515" s="38"/>
      <c r="N515" s="39"/>
      <c r="O515" s="38"/>
      <c r="Q515" s="38"/>
      <c r="R515" s="39"/>
      <c r="S515" s="39"/>
      <c r="T515" s="38"/>
      <c r="V515" s="38"/>
      <c r="W515" s="39"/>
      <c r="X515" s="38"/>
    </row>
    <row r="516" spans="2:24" x14ac:dyDescent="0.3">
      <c r="B516" s="38"/>
      <c r="C516" s="40"/>
      <c r="D516" s="19"/>
      <c r="E516"/>
      <c r="F516" s="12"/>
      <c r="G516" s="43"/>
      <c r="H516"/>
      <c r="I516"/>
      <c r="K516" s="38"/>
      <c r="L516" s="39"/>
      <c r="M516" s="38"/>
      <c r="N516" s="39"/>
      <c r="O516" s="38"/>
      <c r="Q516" s="38"/>
      <c r="R516" s="39"/>
      <c r="S516" s="39"/>
      <c r="T516" s="38"/>
      <c r="V516" s="38"/>
      <c r="W516" s="39"/>
      <c r="X516" s="38"/>
    </row>
    <row r="517" spans="2:24" x14ac:dyDescent="0.3">
      <c r="B517" s="38"/>
      <c r="C517" s="40"/>
      <c r="D517" s="19"/>
      <c r="E517"/>
      <c r="F517" s="12"/>
      <c r="G517" s="43"/>
      <c r="H517"/>
      <c r="I517"/>
      <c r="K517" s="38"/>
      <c r="L517" s="39"/>
      <c r="M517" s="38"/>
      <c r="N517" s="39"/>
      <c r="O517" s="38"/>
      <c r="Q517" s="38"/>
      <c r="R517" s="39"/>
      <c r="S517" s="39"/>
      <c r="T517" s="38"/>
      <c r="V517" s="38"/>
      <c r="W517" s="39"/>
      <c r="X517" s="38"/>
    </row>
    <row r="518" spans="2:24" x14ac:dyDescent="0.3">
      <c r="B518" s="38"/>
      <c r="C518" s="40"/>
      <c r="D518" s="19"/>
      <c r="E518"/>
      <c r="F518" s="12"/>
      <c r="G518" s="43"/>
      <c r="H518"/>
      <c r="I518"/>
      <c r="K518" s="38"/>
      <c r="L518" s="39"/>
      <c r="M518" s="38"/>
      <c r="N518" s="39"/>
      <c r="O518" s="38"/>
      <c r="Q518" s="38"/>
      <c r="R518" s="39"/>
      <c r="S518" s="39"/>
      <c r="T518" s="38"/>
      <c r="V518" s="38"/>
      <c r="W518" s="39"/>
      <c r="X518" s="38"/>
    </row>
    <row r="519" spans="2:24" x14ac:dyDescent="0.3">
      <c r="B519" s="38"/>
      <c r="C519" s="40"/>
      <c r="D519" s="19"/>
      <c r="E519"/>
      <c r="F519" s="12"/>
      <c r="G519" s="43"/>
      <c r="H519"/>
      <c r="I519"/>
      <c r="K519" s="38"/>
      <c r="L519" s="39"/>
      <c r="M519" s="38"/>
      <c r="N519" s="39"/>
      <c r="O519" s="38"/>
      <c r="Q519" s="38"/>
      <c r="R519" s="39"/>
      <c r="S519" s="39"/>
      <c r="T519" s="38"/>
      <c r="V519" s="38"/>
      <c r="W519" s="39"/>
      <c r="X519" s="38"/>
    </row>
    <row r="520" spans="2:24" x14ac:dyDescent="0.3">
      <c r="B520" s="38"/>
      <c r="C520" s="40"/>
      <c r="D520" s="19"/>
      <c r="E520"/>
      <c r="F520" s="12"/>
      <c r="G520" s="43"/>
      <c r="H520"/>
      <c r="I520"/>
      <c r="K520" s="38"/>
      <c r="L520" s="39"/>
      <c r="M520" s="38"/>
      <c r="N520" s="39"/>
      <c r="O520" s="38"/>
      <c r="Q520" s="38"/>
      <c r="R520" s="39"/>
      <c r="S520" s="39"/>
      <c r="T520" s="38"/>
      <c r="V520" s="38"/>
      <c r="W520" s="39"/>
      <c r="X520" s="38"/>
    </row>
    <row r="521" spans="2:24" x14ac:dyDescent="0.3">
      <c r="B521" s="38"/>
      <c r="C521" s="40"/>
      <c r="D521" s="19"/>
      <c r="E521"/>
      <c r="F521" s="12"/>
      <c r="G521" s="43"/>
      <c r="H521"/>
      <c r="I521"/>
      <c r="K521" s="38"/>
      <c r="L521" s="39"/>
      <c r="M521" s="38"/>
      <c r="N521" s="39"/>
      <c r="O521" s="38"/>
      <c r="Q521" s="38"/>
      <c r="R521" s="39"/>
      <c r="S521" s="39"/>
      <c r="T521" s="38"/>
      <c r="V521" s="38"/>
      <c r="W521" s="39"/>
      <c r="X521" s="38"/>
    </row>
    <row r="522" spans="2:24" x14ac:dyDescent="0.3">
      <c r="B522" s="38"/>
      <c r="C522" s="40"/>
      <c r="D522" s="19"/>
      <c r="E522"/>
      <c r="F522" s="12"/>
      <c r="G522" s="43"/>
      <c r="H522"/>
      <c r="I522"/>
      <c r="K522" s="38"/>
      <c r="L522" s="39"/>
      <c r="M522" s="38"/>
      <c r="N522" s="39"/>
      <c r="O522" s="38"/>
      <c r="Q522" s="38"/>
      <c r="R522" s="39"/>
      <c r="S522" s="39"/>
      <c r="T522" s="38"/>
      <c r="V522" s="38"/>
      <c r="W522" s="39"/>
      <c r="X522" s="38"/>
    </row>
    <row r="523" spans="2:24" x14ac:dyDescent="0.3">
      <c r="B523" s="38"/>
      <c r="C523" s="40"/>
      <c r="D523" s="19"/>
      <c r="E523"/>
      <c r="F523" s="12"/>
      <c r="G523" s="43"/>
      <c r="H523"/>
      <c r="I523"/>
      <c r="K523" s="38"/>
      <c r="L523" s="39"/>
      <c r="M523" s="38"/>
      <c r="N523" s="39"/>
      <c r="O523" s="38"/>
      <c r="Q523" s="38"/>
      <c r="R523" s="39"/>
      <c r="S523" s="39"/>
      <c r="T523" s="38"/>
      <c r="V523" s="38"/>
      <c r="W523" s="39"/>
      <c r="X523" s="38"/>
    </row>
    <row r="524" spans="2:24" x14ac:dyDescent="0.3">
      <c r="B524" s="38"/>
      <c r="C524" s="40"/>
      <c r="D524" s="19"/>
      <c r="E524"/>
      <c r="F524" s="12"/>
      <c r="G524" s="43"/>
      <c r="H524"/>
      <c r="I524"/>
      <c r="K524" s="38"/>
      <c r="L524" s="39"/>
      <c r="M524" s="38"/>
      <c r="N524" s="39"/>
      <c r="O524" s="38"/>
      <c r="Q524" s="38"/>
      <c r="R524" s="39"/>
      <c r="S524" s="39"/>
      <c r="T524" s="38"/>
      <c r="V524" s="38"/>
      <c r="W524" s="39"/>
      <c r="X524" s="38"/>
    </row>
    <row r="525" spans="2:24" x14ac:dyDescent="0.3">
      <c r="B525" s="38"/>
      <c r="C525" s="40"/>
      <c r="D525" s="19"/>
      <c r="E525"/>
      <c r="F525" s="12"/>
      <c r="G525" s="43"/>
      <c r="H525"/>
      <c r="I525"/>
      <c r="K525" s="38"/>
      <c r="L525" s="39"/>
      <c r="M525" s="38"/>
      <c r="N525" s="39"/>
      <c r="O525" s="38"/>
      <c r="Q525" s="38"/>
      <c r="R525" s="39"/>
      <c r="S525" s="39"/>
      <c r="T525" s="38"/>
      <c r="V525" s="38"/>
      <c r="W525" s="39"/>
      <c r="X525" s="38"/>
    </row>
    <row r="526" spans="2:24" x14ac:dyDescent="0.3">
      <c r="B526" s="38"/>
      <c r="C526" s="40"/>
      <c r="D526" s="19"/>
      <c r="E526"/>
      <c r="F526" s="12"/>
      <c r="G526" s="43"/>
      <c r="H526"/>
      <c r="I526"/>
      <c r="K526" s="38"/>
      <c r="L526" s="39"/>
      <c r="M526" s="38"/>
      <c r="N526" s="39"/>
      <c r="O526" s="38"/>
      <c r="Q526" s="38"/>
      <c r="R526" s="39"/>
      <c r="S526" s="39"/>
      <c r="T526" s="38"/>
      <c r="V526" s="38"/>
      <c r="W526" s="39"/>
      <c r="X526" s="38"/>
    </row>
    <row r="527" spans="2:24" x14ac:dyDescent="0.3">
      <c r="B527" s="38"/>
      <c r="C527" s="40"/>
      <c r="D527" s="19"/>
      <c r="E527"/>
      <c r="F527" s="12"/>
      <c r="G527" s="43"/>
      <c r="H527"/>
      <c r="I527"/>
      <c r="K527" s="38"/>
      <c r="L527" s="39"/>
      <c r="M527" s="38"/>
      <c r="N527" s="39"/>
      <c r="O527" s="38"/>
      <c r="Q527" s="38"/>
      <c r="R527" s="39"/>
      <c r="S527" s="39"/>
      <c r="T527" s="38"/>
      <c r="V527" s="38"/>
      <c r="W527" s="39"/>
      <c r="X527" s="38"/>
    </row>
    <row r="528" spans="2:24" x14ac:dyDescent="0.3">
      <c r="B528" s="38"/>
      <c r="C528" s="40"/>
      <c r="D528" s="19"/>
      <c r="E528"/>
      <c r="F528" s="12"/>
      <c r="G528" s="43"/>
      <c r="H528"/>
      <c r="I528"/>
      <c r="K528" s="38"/>
      <c r="L528" s="39"/>
      <c r="M528" s="38"/>
      <c r="N528" s="39"/>
      <c r="O528" s="38"/>
      <c r="Q528" s="38"/>
      <c r="R528" s="39"/>
      <c r="S528" s="39"/>
      <c r="T528" s="38"/>
      <c r="V528" s="38"/>
      <c r="W528" s="39"/>
      <c r="X528" s="38"/>
    </row>
    <row r="529" spans="2:24" x14ac:dyDescent="0.3">
      <c r="B529" s="38"/>
      <c r="C529" s="40"/>
      <c r="D529" s="19"/>
      <c r="E529"/>
      <c r="F529" s="12"/>
      <c r="G529" s="43"/>
      <c r="H529"/>
      <c r="I529"/>
      <c r="K529" s="38"/>
      <c r="L529" s="39"/>
      <c r="M529" s="38"/>
      <c r="N529" s="39"/>
      <c r="O529" s="38"/>
      <c r="Q529" s="38"/>
      <c r="R529" s="39"/>
      <c r="S529" s="39"/>
      <c r="T529" s="38"/>
      <c r="V529" s="38"/>
      <c r="W529" s="39"/>
      <c r="X529" s="38"/>
    </row>
    <row r="530" spans="2:24" x14ac:dyDescent="0.3">
      <c r="B530" s="38"/>
      <c r="C530" s="40"/>
      <c r="D530" s="19"/>
      <c r="E530"/>
      <c r="F530" s="12"/>
      <c r="G530" s="43"/>
      <c r="H530"/>
      <c r="I530"/>
      <c r="K530" s="38"/>
      <c r="L530" s="39"/>
      <c r="M530" s="38"/>
      <c r="N530" s="39"/>
      <c r="O530" s="38"/>
      <c r="Q530" s="38"/>
      <c r="R530" s="39"/>
      <c r="S530" s="39"/>
      <c r="T530" s="38"/>
      <c r="V530" s="38"/>
      <c r="W530" s="39"/>
      <c r="X530" s="38"/>
    </row>
    <row r="531" spans="2:24" x14ac:dyDescent="0.3">
      <c r="B531" s="38"/>
      <c r="C531" s="40"/>
      <c r="D531" s="19"/>
      <c r="E531"/>
      <c r="F531" s="12"/>
      <c r="G531" s="43"/>
      <c r="H531"/>
      <c r="I531"/>
      <c r="K531" s="38"/>
      <c r="L531" s="39"/>
      <c r="M531" s="38"/>
      <c r="N531" s="39"/>
      <c r="O531" s="38"/>
      <c r="Q531" s="38"/>
      <c r="R531" s="39"/>
      <c r="S531" s="39"/>
      <c r="T531" s="38"/>
      <c r="V531" s="38"/>
      <c r="W531" s="39"/>
      <c r="X531" s="38"/>
    </row>
    <row r="532" spans="2:24" x14ac:dyDescent="0.3">
      <c r="B532" s="38"/>
      <c r="C532" s="40"/>
      <c r="D532" s="19"/>
      <c r="E532"/>
      <c r="F532" s="12"/>
      <c r="G532" s="43"/>
      <c r="H532"/>
      <c r="I532"/>
      <c r="K532" s="38"/>
      <c r="L532" s="39"/>
      <c r="M532" s="38"/>
      <c r="N532" s="39"/>
      <c r="O532" s="38"/>
      <c r="Q532" s="38"/>
      <c r="R532" s="39"/>
      <c r="S532" s="39"/>
      <c r="T532" s="38"/>
      <c r="V532" s="38"/>
      <c r="W532" s="39"/>
      <c r="X532" s="38"/>
    </row>
    <row r="533" spans="2:24" x14ac:dyDescent="0.3">
      <c r="B533" s="38"/>
      <c r="C533" s="40"/>
      <c r="D533" s="19"/>
      <c r="E533"/>
      <c r="F533" s="12"/>
      <c r="G533" s="43"/>
      <c r="H533"/>
      <c r="I533"/>
      <c r="K533" s="38"/>
      <c r="L533" s="39"/>
      <c r="M533" s="38"/>
      <c r="N533" s="39"/>
      <c r="O533" s="38"/>
      <c r="Q533" s="38"/>
      <c r="R533" s="39"/>
      <c r="S533" s="39"/>
      <c r="T533" s="38"/>
      <c r="V533" s="38"/>
      <c r="W533" s="39"/>
      <c r="X533" s="38"/>
    </row>
    <row r="534" spans="2:24" x14ac:dyDescent="0.3">
      <c r="B534" s="38"/>
      <c r="C534" s="40"/>
      <c r="D534" s="19"/>
      <c r="E534"/>
      <c r="F534" s="12"/>
      <c r="G534" s="43"/>
      <c r="H534"/>
      <c r="I534"/>
      <c r="K534" s="38"/>
      <c r="L534" s="39"/>
      <c r="M534" s="38"/>
      <c r="N534" s="39"/>
      <c r="O534" s="38"/>
      <c r="Q534" s="38"/>
      <c r="R534" s="39"/>
      <c r="S534" s="39"/>
      <c r="T534" s="38"/>
      <c r="V534" s="38"/>
      <c r="W534" s="39"/>
      <c r="X534" s="38"/>
    </row>
    <row r="535" spans="2:24" x14ac:dyDescent="0.3">
      <c r="B535" s="38"/>
      <c r="C535" s="40"/>
      <c r="D535" s="19"/>
      <c r="E535"/>
      <c r="F535" s="12"/>
      <c r="G535" s="43"/>
      <c r="H535"/>
      <c r="I535"/>
      <c r="K535" s="38"/>
      <c r="L535" s="39"/>
      <c r="M535" s="38"/>
      <c r="N535" s="39"/>
      <c r="O535" s="38"/>
      <c r="Q535" s="38"/>
      <c r="R535" s="39"/>
      <c r="S535" s="39"/>
      <c r="T535" s="38"/>
      <c r="V535" s="38"/>
      <c r="W535" s="39"/>
      <c r="X535" s="38"/>
    </row>
    <row r="536" spans="2:24" x14ac:dyDescent="0.3">
      <c r="B536" s="38"/>
      <c r="C536" s="40"/>
      <c r="D536" s="19"/>
      <c r="E536"/>
      <c r="F536" s="12"/>
      <c r="G536" s="43"/>
      <c r="H536"/>
      <c r="I536"/>
      <c r="K536" s="38"/>
      <c r="L536" s="39"/>
      <c r="M536" s="38"/>
      <c r="N536" s="39"/>
      <c r="O536" s="38"/>
      <c r="Q536" s="38"/>
      <c r="R536" s="39"/>
      <c r="S536" s="39"/>
      <c r="T536" s="38"/>
      <c r="V536" s="38"/>
      <c r="W536" s="39"/>
      <c r="X536" s="38"/>
    </row>
    <row r="537" spans="2:24" x14ac:dyDescent="0.3">
      <c r="B537" s="38"/>
      <c r="C537" s="40"/>
      <c r="D537" s="19"/>
      <c r="E537"/>
      <c r="F537" s="12"/>
      <c r="G537" s="43"/>
      <c r="H537"/>
      <c r="I537"/>
      <c r="K537" s="38"/>
      <c r="L537" s="39"/>
      <c r="M537" s="38"/>
      <c r="N537" s="39"/>
      <c r="O537" s="38"/>
      <c r="Q537" s="38"/>
      <c r="R537" s="39"/>
      <c r="S537" s="39"/>
      <c r="T537" s="38"/>
      <c r="V537" s="38"/>
      <c r="W537" s="39"/>
      <c r="X537" s="38"/>
    </row>
    <row r="538" spans="2:24" x14ac:dyDescent="0.3">
      <c r="B538" s="38"/>
      <c r="C538" s="40"/>
      <c r="D538" s="19"/>
      <c r="E538"/>
      <c r="F538" s="12"/>
      <c r="G538" s="43"/>
      <c r="H538"/>
      <c r="I538"/>
      <c r="K538" s="38"/>
      <c r="L538" s="39"/>
      <c r="M538" s="38"/>
      <c r="N538" s="39"/>
      <c r="O538" s="38"/>
      <c r="Q538" s="38"/>
      <c r="R538" s="39"/>
      <c r="S538" s="39"/>
      <c r="T538" s="38"/>
      <c r="V538" s="38"/>
      <c r="W538" s="39"/>
      <c r="X538" s="38"/>
    </row>
    <row r="539" spans="2:24" x14ac:dyDescent="0.3">
      <c r="B539" s="38"/>
      <c r="C539" s="40"/>
      <c r="D539" s="19"/>
      <c r="E539"/>
      <c r="F539" s="12"/>
      <c r="G539" s="43"/>
      <c r="H539"/>
      <c r="I539"/>
      <c r="K539" s="38"/>
      <c r="L539" s="39"/>
      <c r="M539" s="38"/>
      <c r="N539" s="39"/>
      <c r="O539" s="38"/>
      <c r="Q539" s="38"/>
      <c r="R539" s="39"/>
      <c r="S539" s="39"/>
      <c r="T539" s="38"/>
      <c r="V539" s="38"/>
      <c r="W539" s="39"/>
      <c r="X539" s="38"/>
    </row>
    <row r="540" spans="2:24" x14ac:dyDescent="0.3">
      <c r="B540" s="38"/>
      <c r="C540" s="40"/>
      <c r="D540" s="19"/>
      <c r="E540"/>
      <c r="F540" s="12"/>
      <c r="G540" s="43"/>
      <c r="H540"/>
      <c r="I540"/>
      <c r="K540" s="38"/>
      <c r="L540" s="39"/>
      <c r="M540" s="38"/>
      <c r="N540" s="39"/>
      <c r="O540" s="38"/>
      <c r="Q540" s="38"/>
      <c r="R540" s="39"/>
      <c r="S540" s="39"/>
      <c r="T540" s="38"/>
      <c r="V540" s="38"/>
      <c r="W540" s="39"/>
      <c r="X540" s="38"/>
    </row>
    <row r="541" spans="2:24" x14ac:dyDescent="0.3">
      <c r="B541" s="38"/>
      <c r="C541" s="40"/>
      <c r="D541" s="19"/>
      <c r="E541"/>
      <c r="F541" s="12"/>
      <c r="G541" s="43"/>
      <c r="H541"/>
      <c r="I541"/>
      <c r="K541" s="38"/>
      <c r="L541" s="39"/>
      <c r="M541" s="38"/>
      <c r="N541" s="39"/>
      <c r="O541" s="38"/>
      <c r="Q541" s="38"/>
      <c r="R541" s="39"/>
      <c r="S541" s="39"/>
      <c r="T541" s="38"/>
      <c r="V541" s="38"/>
      <c r="W541" s="39"/>
      <c r="X541" s="38"/>
    </row>
    <row r="542" spans="2:24" x14ac:dyDescent="0.3">
      <c r="B542" s="38"/>
      <c r="C542" s="40"/>
      <c r="D542" s="19"/>
      <c r="E542"/>
      <c r="F542" s="12"/>
      <c r="G542" s="43"/>
      <c r="H542"/>
      <c r="I542"/>
      <c r="K542" s="38"/>
      <c r="L542" s="39"/>
      <c r="M542" s="38"/>
      <c r="N542" s="39"/>
      <c r="O542" s="38"/>
      <c r="Q542" s="38"/>
      <c r="R542" s="39"/>
      <c r="S542" s="39"/>
      <c r="T542" s="38"/>
      <c r="V542" s="38"/>
      <c r="W542" s="39"/>
      <c r="X542" s="38"/>
    </row>
    <row r="543" spans="2:24" x14ac:dyDescent="0.3">
      <c r="B543" s="38"/>
      <c r="C543" s="40"/>
      <c r="D543" s="19"/>
      <c r="E543"/>
      <c r="F543" s="12"/>
      <c r="G543" s="43"/>
      <c r="H543"/>
      <c r="I543"/>
      <c r="K543" s="38"/>
      <c r="L543" s="39"/>
      <c r="M543" s="38"/>
      <c r="N543" s="39"/>
      <c r="O543" s="38"/>
      <c r="Q543" s="38"/>
      <c r="R543" s="39"/>
      <c r="S543" s="39"/>
      <c r="T543" s="38"/>
      <c r="V543" s="38"/>
      <c r="W543" s="39"/>
      <c r="X543" s="38"/>
    </row>
    <row r="544" spans="2:24" x14ac:dyDescent="0.3">
      <c r="B544" s="38"/>
      <c r="C544" s="40"/>
      <c r="D544" s="19"/>
      <c r="E544"/>
      <c r="F544" s="12"/>
      <c r="G544" s="43"/>
      <c r="H544"/>
      <c r="I544"/>
      <c r="K544" s="38"/>
      <c r="L544" s="39"/>
      <c r="M544" s="38"/>
      <c r="N544" s="39"/>
      <c r="O544" s="38"/>
      <c r="Q544" s="38"/>
      <c r="R544" s="39"/>
      <c r="S544" s="39"/>
      <c r="T544" s="38"/>
      <c r="V544" s="38"/>
      <c r="W544" s="39"/>
      <c r="X544" s="38"/>
    </row>
    <row r="545" spans="2:24" x14ac:dyDescent="0.3">
      <c r="B545" s="38"/>
      <c r="C545" s="40"/>
      <c r="D545" s="19"/>
      <c r="E545"/>
      <c r="F545" s="12"/>
      <c r="G545" s="43"/>
      <c r="H545"/>
      <c r="I545"/>
      <c r="K545" s="38"/>
      <c r="L545" s="39"/>
      <c r="M545" s="38"/>
      <c r="N545" s="39"/>
      <c r="O545" s="38"/>
      <c r="Q545" s="38"/>
      <c r="R545" s="39"/>
      <c r="S545" s="39"/>
      <c r="T545" s="38"/>
      <c r="V545" s="38"/>
      <c r="W545" s="39"/>
      <c r="X545" s="38"/>
    </row>
    <row r="546" spans="2:24" x14ac:dyDescent="0.3">
      <c r="B546" s="38"/>
      <c r="C546" s="40"/>
      <c r="D546" s="19"/>
      <c r="E546"/>
      <c r="F546" s="12"/>
      <c r="G546" s="43"/>
      <c r="H546"/>
      <c r="I546"/>
      <c r="K546" s="38"/>
      <c r="L546" s="39"/>
      <c r="M546" s="38"/>
      <c r="N546" s="39"/>
      <c r="O546" s="38"/>
      <c r="Q546" s="38"/>
      <c r="R546" s="39"/>
      <c r="S546" s="39"/>
      <c r="T546" s="38"/>
      <c r="V546" s="38"/>
      <c r="W546" s="39"/>
      <c r="X546" s="38"/>
    </row>
    <row r="547" spans="2:24" x14ac:dyDescent="0.3">
      <c r="B547" s="38"/>
      <c r="C547" s="40"/>
      <c r="D547" s="19"/>
      <c r="E547"/>
      <c r="F547" s="12"/>
      <c r="G547" s="43"/>
      <c r="H547"/>
      <c r="I547"/>
      <c r="K547" s="38"/>
      <c r="L547" s="39"/>
      <c r="M547" s="38"/>
      <c r="N547" s="39"/>
      <c r="O547" s="38"/>
      <c r="Q547" s="38"/>
      <c r="R547" s="39"/>
      <c r="S547" s="39"/>
      <c r="T547" s="38"/>
      <c r="V547" s="38"/>
      <c r="W547" s="39"/>
      <c r="X547" s="38"/>
    </row>
    <row r="548" spans="2:24" x14ac:dyDescent="0.3">
      <c r="B548" s="38"/>
      <c r="C548" s="40"/>
      <c r="D548" s="19"/>
      <c r="E548"/>
      <c r="F548" s="12"/>
      <c r="G548" s="43"/>
      <c r="H548"/>
      <c r="I548"/>
      <c r="K548" s="38"/>
      <c r="L548" s="39"/>
      <c r="M548" s="38"/>
      <c r="N548" s="39"/>
      <c r="O548" s="38"/>
      <c r="Q548" s="38"/>
      <c r="R548" s="39"/>
      <c r="S548" s="39"/>
      <c r="T548" s="38"/>
      <c r="V548" s="38"/>
      <c r="W548" s="39"/>
      <c r="X548" s="38"/>
    </row>
    <row r="549" spans="2:24" x14ac:dyDescent="0.3">
      <c r="B549" s="38"/>
      <c r="C549" s="40"/>
      <c r="D549" s="19"/>
      <c r="E549"/>
      <c r="F549" s="12"/>
      <c r="G549" s="43"/>
      <c r="H549"/>
      <c r="I549"/>
      <c r="K549" s="38"/>
      <c r="L549" s="39"/>
      <c r="M549" s="38"/>
      <c r="N549" s="39"/>
      <c r="O549" s="38"/>
      <c r="Q549" s="38"/>
      <c r="R549" s="39"/>
      <c r="S549" s="39"/>
      <c r="T549" s="38"/>
      <c r="V549" s="38"/>
      <c r="W549" s="39"/>
      <c r="X549" s="38"/>
    </row>
    <row r="550" spans="2:24" x14ac:dyDescent="0.3">
      <c r="B550" s="38"/>
      <c r="C550" s="40"/>
      <c r="D550" s="19"/>
      <c r="E550"/>
      <c r="F550" s="12"/>
      <c r="G550" s="43"/>
      <c r="H550"/>
      <c r="I550"/>
      <c r="K550" s="38"/>
      <c r="L550" s="39"/>
      <c r="M550" s="38"/>
      <c r="N550" s="39"/>
      <c r="O550" s="38"/>
      <c r="Q550" s="38"/>
      <c r="R550" s="39"/>
      <c r="S550" s="39"/>
      <c r="T550" s="38"/>
      <c r="V550" s="38"/>
      <c r="W550" s="39"/>
      <c r="X550" s="38"/>
    </row>
    <row r="551" spans="2:24" x14ac:dyDescent="0.3">
      <c r="B551" s="38"/>
      <c r="C551" s="40"/>
      <c r="D551" s="19"/>
      <c r="E551"/>
      <c r="F551" s="12"/>
      <c r="G551" s="43"/>
      <c r="H551"/>
      <c r="I551"/>
      <c r="K551" s="38"/>
      <c r="L551" s="39"/>
      <c r="M551" s="38"/>
      <c r="N551" s="39"/>
      <c r="O551" s="38"/>
      <c r="Q551" s="38"/>
      <c r="R551" s="39"/>
      <c r="S551" s="39"/>
      <c r="T551" s="38"/>
      <c r="V551" s="38"/>
      <c r="W551" s="39"/>
      <c r="X551" s="38"/>
    </row>
    <row r="552" spans="2:24" x14ac:dyDescent="0.3">
      <c r="B552" s="38"/>
      <c r="C552" s="40"/>
      <c r="D552" s="19"/>
      <c r="E552"/>
      <c r="F552" s="12"/>
      <c r="G552" s="43"/>
      <c r="H552"/>
      <c r="I552"/>
      <c r="K552" s="38"/>
      <c r="L552" s="39"/>
      <c r="M552" s="38"/>
      <c r="N552" s="39"/>
      <c r="O552" s="38"/>
      <c r="Q552" s="38"/>
      <c r="R552" s="39"/>
      <c r="S552" s="39"/>
      <c r="T552" s="38"/>
      <c r="V552" s="38"/>
      <c r="W552" s="39"/>
      <c r="X552" s="38"/>
    </row>
    <row r="553" spans="2:24" x14ac:dyDescent="0.3">
      <c r="B553" s="38"/>
      <c r="C553" s="40"/>
      <c r="D553" s="19"/>
      <c r="E553"/>
      <c r="F553" s="12"/>
      <c r="G553" s="43"/>
      <c r="H553"/>
      <c r="I553"/>
      <c r="K553" s="38"/>
      <c r="L553" s="39"/>
      <c r="M553" s="38"/>
      <c r="N553" s="39"/>
      <c r="O553" s="38"/>
      <c r="Q553" s="38"/>
      <c r="R553" s="39"/>
      <c r="S553" s="39"/>
      <c r="T553" s="38"/>
      <c r="V553" s="38"/>
      <c r="W553" s="39"/>
      <c r="X553" s="38"/>
    </row>
    <row r="554" spans="2:24" x14ac:dyDescent="0.3">
      <c r="B554" s="38"/>
      <c r="C554" s="40"/>
      <c r="D554" s="19"/>
      <c r="E554"/>
      <c r="F554" s="12"/>
      <c r="G554" s="43"/>
      <c r="H554"/>
      <c r="I554"/>
      <c r="K554" s="38"/>
      <c r="L554" s="39"/>
      <c r="M554" s="38"/>
      <c r="N554" s="39"/>
      <c r="O554" s="38"/>
      <c r="Q554" s="38"/>
      <c r="R554" s="39"/>
      <c r="S554" s="39"/>
      <c r="T554" s="38"/>
      <c r="V554" s="38"/>
      <c r="W554" s="39"/>
      <c r="X554" s="38"/>
    </row>
    <row r="555" spans="2:24" x14ac:dyDescent="0.3">
      <c r="B555" s="38"/>
      <c r="C555" s="40"/>
      <c r="D555" s="19"/>
      <c r="E555"/>
      <c r="F555" s="12"/>
      <c r="G555" s="43"/>
      <c r="H555"/>
      <c r="I555"/>
      <c r="K555" s="38"/>
      <c r="L555" s="39"/>
      <c r="M555" s="38"/>
      <c r="N555" s="39"/>
      <c r="O555" s="38"/>
      <c r="Q555" s="38"/>
      <c r="R555" s="39"/>
      <c r="S555" s="39"/>
      <c r="T555" s="38"/>
      <c r="V555" s="38"/>
      <c r="W555" s="39"/>
      <c r="X555" s="38"/>
    </row>
    <row r="556" spans="2:24" x14ac:dyDescent="0.3">
      <c r="B556" s="38"/>
      <c r="C556" s="40"/>
      <c r="D556" s="19"/>
      <c r="E556"/>
      <c r="F556" s="12"/>
      <c r="G556" s="43"/>
      <c r="H556"/>
      <c r="I556"/>
      <c r="K556" s="38"/>
      <c r="L556" s="39"/>
      <c r="M556" s="38"/>
      <c r="N556" s="39"/>
      <c r="O556" s="38"/>
      <c r="Q556" s="38"/>
      <c r="R556" s="39"/>
      <c r="S556" s="39"/>
      <c r="T556" s="38"/>
      <c r="V556" s="38"/>
      <c r="W556" s="39"/>
      <c r="X556" s="38"/>
    </row>
    <row r="557" spans="2:24" x14ac:dyDescent="0.3">
      <c r="B557" s="38"/>
      <c r="C557" s="40"/>
      <c r="D557" s="19"/>
      <c r="E557"/>
      <c r="F557" s="12"/>
      <c r="G557" s="43"/>
      <c r="H557"/>
      <c r="I557"/>
      <c r="K557" s="38"/>
      <c r="L557" s="39"/>
      <c r="M557" s="38"/>
      <c r="N557" s="39"/>
      <c r="O557" s="38"/>
      <c r="Q557" s="38"/>
      <c r="R557" s="39"/>
      <c r="S557" s="39"/>
      <c r="T557" s="38"/>
      <c r="V557" s="38"/>
      <c r="W557" s="39"/>
      <c r="X557" s="38"/>
    </row>
    <row r="558" spans="2:24" x14ac:dyDescent="0.3">
      <c r="B558" s="38"/>
      <c r="C558" s="40"/>
      <c r="D558" s="19"/>
      <c r="E558"/>
      <c r="F558" s="12"/>
      <c r="G558" s="43"/>
      <c r="H558"/>
      <c r="I558"/>
      <c r="K558" s="38"/>
      <c r="L558" s="39"/>
      <c r="M558" s="38"/>
      <c r="N558" s="39"/>
      <c r="O558" s="38"/>
      <c r="Q558" s="38"/>
      <c r="R558" s="39"/>
      <c r="S558" s="39"/>
      <c r="T558" s="38"/>
      <c r="V558" s="38"/>
      <c r="W558" s="39"/>
      <c r="X558" s="38"/>
    </row>
    <row r="559" spans="2:24" x14ac:dyDescent="0.3">
      <c r="B559" s="38"/>
      <c r="C559" s="40"/>
      <c r="D559" s="19"/>
      <c r="E559"/>
      <c r="F559" s="12"/>
      <c r="G559" s="43"/>
      <c r="H559"/>
      <c r="I559"/>
      <c r="K559" s="38"/>
      <c r="L559" s="39"/>
      <c r="M559" s="38"/>
      <c r="N559" s="39"/>
      <c r="O559" s="38"/>
      <c r="Q559" s="38"/>
      <c r="R559" s="39"/>
      <c r="S559" s="39"/>
      <c r="T559" s="38"/>
      <c r="V559" s="38"/>
      <c r="W559" s="39"/>
      <c r="X559" s="38"/>
    </row>
    <row r="560" spans="2:24" x14ac:dyDescent="0.3">
      <c r="B560" s="38"/>
      <c r="C560" s="40"/>
      <c r="D560" s="19"/>
      <c r="E560"/>
      <c r="F560" s="12"/>
      <c r="G560" s="43"/>
      <c r="H560"/>
      <c r="I560"/>
      <c r="K560" s="38"/>
      <c r="L560" s="39"/>
      <c r="M560" s="38"/>
      <c r="N560" s="39"/>
      <c r="O560" s="38"/>
      <c r="Q560" s="38"/>
      <c r="R560" s="39"/>
      <c r="S560" s="39"/>
      <c r="T560" s="38"/>
      <c r="V560" s="38"/>
      <c r="W560" s="39"/>
      <c r="X560" s="38"/>
    </row>
    <row r="561" spans="2:24" x14ac:dyDescent="0.3">
      <c r="B561" s="38"/>
      <c r="C561" s="40"/>
      <c r="D561" s="19"/>
      <c r="E561"/>
      <c r="F561" s="12"/>
      <c r="G561" s="43"/>
      <c r="H561"/>
      <c r="I561"/>
      <c r="K561" s="38"/>
      <c r="L561" s="39"/>
      <c r="N561" s="39"/>
      <c r="O561" s="38"/>
      <c r="Q561" s="38"/>
      <c r="R561" s="39"/>
      <c r="S561" s="39"/>
      <c r="T561" s="38"/>
      <c r="V561" s="38"/>
      <c r="W561" s="39"/>
      <c r="X561" s="38"/>
    </row>
    <row r="562" spans="2:24" x14ac:dyDescent="0.3">
      <c r="B562" s="38"/>
      <c r="C562" s="40"/>
      <c r="D562" s="19"/>
      <c r="E562"/>
      <c r="F562" s="12"/>
      <c r="G562" s="43"/>
      <c r="H562"/>
      <c r="I562"/>
      <c r="K562" s="38"/>
      <c r="L562" s="39"/>
      <c r="N562" s="39"/>
      <c r="O562" s="38"/>
      <c r="Q562" s="38"/>
      <c r="R562" s="39"/>
      <c r="S562" s="39"/>
      <c r="T562" s="38"/>
      <c r="V562" s="38"/>
      <c r="W562" s="39"/>
      <c r="X562" s="38"/>
    </row>
    <row r="563" spans="2:24" x14ac:dyDescent="0.3">
      <c r="B563" s="38"/>
      <c r="C563" s="40"/>
      <c r="D563" s="19"/>
      <c r="E563"/>
      <c r="F563" s="12"/>
      <c r="G563" s="43"/>
      <c r="H563"/>
      <c r="I563"/>
      <c r="K563" s="38"/>
      <c r="L563" s="39"/>
      <c r="N563" s="39"/>
      <c r="O563" s="38"/>
      <c r="Q563" s="38"/>
      <c r="R563" s="39"/>
      <c r="S563" s="39"/>
      <c r="T563" s="38"/>
      <c r="V563" s="38"/>
      <c r="W563" s="39"/>
      <c r="X563" s="38"/>
    </row>
    <row r="564" spans="2:24" x14ac:dyDescent="0.3">
      <c r="B564" s="38"/>
      <c r="C564" s="40"/>
      <c r="D564" s="19"/>
      <c r="E564"/>
      <c r="F564" s="12"/>
      <c r="G564" s="43"/>
      <c r="H564"/>
      <c r="I564"/>
      <c r="K564" s="38"/>
      <c r="L564" s="39"/>
      <c r="M564" s="38"/>
      <c r="N564" s="39"/>
      <c r="O564" s="38"/>
      <c r="Q564" s="38"/>
      <c r="R564" s="39"/>
      <c r="S564" s="39"/>
      <c r="T564" s="38"/>
      <c r="V564" s="38"/>
      <c r="W564" s="39"/>
      <c r="X564" s="38"/>
    </row>
    <row r="565" spans="2:24" x14ac:dyDescent="0.3">
      <c r="B565" s="38"/>
      <c r="C565" s="40"/>
      <c r="D565" s="19"/>
      <c r="E565"/>
      <c r="F565" s="12"/>
      <c r="G565" s="43"/>
      <c r="H565"/>
      <c r="I565"/>
      <c r="K565" s="38"/>
      <c r="L565" s="39"/>
      <c r="M565" s="38"/>
      <c r="N565" s="39"/>
      <c r="O565" s="38"/>
      <c r="Q565" s="38"/>
      <c r="R565" s="39"/>
      <c r="S565" s="39"/>
      <c r="T565" s="38"/>
      <c r="V565" s="38"/>
      <c r="W565" s="39"/>
      <c r="X565" s="38"/>
    </row>
    <row r="566" spans="2:24" x14ac:dyDescent="0.3">
      <c r="B566" s="38"/>
      <c r="C566" s="40"/>
      <c r="D566" s="19"/>
      <c r="E566"/>
      <c r="F566" s="12"/>
      <c r="G566" s="43"/>
      <c r="H566"/>
      <c r="I566"/>
      <c r="K566" s="38"/>
      <c r="L566" s="39"/>
      <c r="M566" s="38"/>
      <c r="N566" s="39"/>
      <c r="O566" s="38"/>
      <c r="Q566" s="38"/>
      <c r="R566" s="39"/>
      <c r="S566" s="39"/>
      <c r="T566" s="38"/>
      <c r="V566" s="38"/>
      <c r="W566" s="39"/>
      <c r="X566" s="38"/>
    </row>
    <row r="567" spans="2:24" x14ac:dyDescent="0.3">
      <c r="B567" s="38"/>
      <c r="C567" s="40"/>
      <c r="D567" s="19"/>
      <c r="E567"/>
      <c r="F567" s="12"/>
      <c r="G567" s="43"/>
      <c r="H567"/>
      <c r="I567"/>
      <c r="K567" s="38"/>
      <c r="L567" s="39"/>
      <c r="M567" s="38"/>
      <c r="N567" s="39"/>
      <c r="O567" s="38"/>
      <c r="Q567" s="38"/>
      <c r="R567" s="39"/>
      <c r="S567" s="39"/>
      <c r="T567" s="38"/>
      <c r="V567" s="38"/>
      <c r="W567" s="39"/>
      <c r="X567" s="38"/>
    </row>
    <row r="568" spans="2:24" x14ac:dyDescent="0.3">
      <c r="B568" s="38"/>
      <c r="C568" s="40"/>
      <c r="D568" s="19"/>
      <c r="E568"/>
      <c r="F568" s="12"/>
      <c r="G568" s="43"/>
      <c r="H568"/>
      <c r="I568"/>
      <c r="K568" s="38"/>
      <c r="L568" s="39"/>
      <c r="M568" s="38"/>
      <c r="N568" s="39"/>
      <c r="O568" s="38"/>
      <c r="Q568" s="38"/>
      <c r="R568" s="39"/>
      <c r="S568" s="39"/>
      <c r="T568" s="38"/>
      <c r="V568" s="38"/>
      <c r="W568" s="39"/>
      <c r="X568" s="38"/>
    </row>
    <row r="569" spans="2:24" x14ac:dyDescent="0.3">
      <c r="B569" s="38"/>
      <c r="C569" s="40"/>
      <c r="D569" s="19"/>
      <c r="E569"/>
      <c r="F569" s="12"/>
      <c r="G569" s="43"/>
      <c r="H569"/>
      <c r="I569"/>
      <c r="K569" s="38"/>
      <c r="L569" s="39"/>
      <c r="M569" s="38"/>
      <c r="N569" s="39"/>
      <c r="O569" s="38"/>
      <c r="Q569" s="38"/>
      <c r="R569" s="39"/>
      <c r="S569" s="39"/>
      <c r="T569" s="38"/>
      <c r="V569" s="38"/>
      <c r="W569" s="39"/>
      <c r="X569" s="38"/>
    </row>
    <row r="570" spans="2:24" x14ac:dyDescent="0.3">
      <c r="B570" s="38"/>
      <c r="C570" s="40"/>
      <c r="D570" s="19"/>
      <c r="E570"/>
      <c r="F570" s="12"/>
      <c r="G570" s="43"/>
      <c r="H570"/>
      <c r="I570"/>
      <c r="K570" s="38"/>
      <c r="L570" s="39"/>
      <c r="M570" s="38"/>
      <c r="N570" s="39"/>
      <c r="O570" s="38"/>
      <c r="Q570" s="38"/>
      <c r="R570" s="39"/>
      <c r="S570" s="39"/>
      <c r="T570" s="38"/>
      <c r="V570" s="38"/>
      <c r="W570" s="39"/>
      <c r="X570" s="38"/>
    </row>
    <row r="571" spans="2:24" x14ac:dyDescent="0.3">
      <c r="B571" s="38"/>
      <c r="C571" s="40"/>
      <c r="D571" s="19"/>
      <c r="E571"/>
      <c r="F571" s="12"/>
      <c r="G571" s="43"/>
      <c r="H571"/>
      <c r="I571"/>
      <c r="K571" s="38"/>
      <c r="L571" s="39"/>
      <c r="M571" s="38"/>
      <c r="N571" s="39"/>
      <c r="O571" s="38"/>
      <c r="Q571" s="38"/>
      <c r="R571" s="39"/>
      <c r="S571" s="39"/>
      <c r="T571" s="38"/>
      <c r="V571" s="38"/>
      <c r="W571" s="39"/>
      <c r="X571" s="38"/>
    </row>
    <row r="572" spans="2:24" x14ac:dyDescent="0.3">
      <c r="B572" s="38"/>
      <c r="C572" s="40"/>
      <c r="D572" s="19"/>
      <c r="E572"/>
      <c r="F572" s="12"/>
      <c r="G572" s="43"/>
      <c r="H572"/>
      <c r="I572"/>
      <c r="K572" s="38"/>
      <c r="L572" s="39"/>
      <c r="M572" s="38"/>
      <c r="N572" s="39"/>
      <c r="O572" s="38"/>
      <c r="Q572" s="38"/>
      <c r="R572" s="39"/>
      <c r="S572" s="39"/>
      <c r="T572" s="38"/>
      <c r="V572" s="38"/>
      <c r="W572" s="39"/>
      <c r="X572" s="38"/>
    </row>
    <row r="573" spans="2:24" x14ac:dyDescent="0.3">
      <c r="B573" s="38"/>
      <c r="C573" s="40"/>
      <c r="D573" s="19"/>
      <c r="E573"/>
      <c r="F573" s="12"/>
      <c r="G573" s="43"/>
      <c r="H573"/>
      <c r="I573"/>
      <c r="K573" s="38"/>
      <c r="L573" s="39"/>
      <c r="M573" s="38"/>
      <c r="N573" s="39"/>
      <c r="O573" s="38"/>
      <c r="Q573" s="38"/>
      <c r="R573" s="39"/>
      <c r="S573" s="39"/>
      <c r="T573" s="38"/>
      <c r="V573" s="38"/>
      <c r="W573" s="39"/>
      <c r="X573" s="38"/>
    </row>
    <row r="574" spans="2:24" x14ac:dyDescent="0.3">
      <c r="B574" s="38"/>
      <c r="C574" s="40"/>
      <c r="D574" s="19"/>
      <c r="E574"/>
      <c r="F574" s="12"/>
      <c r="G574" s="43"/>
      <c r="H574"/>
      <c r="I574"/>
      <c r="K574" s="38"/>
      <c r="L574" s="39"/>
      <c r="M574" s="38"/>
      <c r="N574" s="39"/>
      <c r="O574" s="38"/>
      <c r="Q574" s="38"/>
      <c r="R574" s="39"/>
      <c r="S574" s="39"/>
      <c r="T574" s="38"/>
      <c r="V574" s="38"/>
      <c r="W574" s="39"/>
      <c r="X574" s="38"/>
    </row>
    <row r="575" spans="2:24" x14ac:dyDescent="0.3">
      <c r="B575" s="38"/>
      <c r="C575" s="40"/>
      <c r="D575" s="19"/>
      <c r="E575"/>
      <c r="F575" s="12"/>
      <c r="G575" s="43"/>
      <c r="H575"/>
      <c r="I575"/>
      <c r="K575" s="38"/>
      <c r="L575" s="39"/>
      <c r="M575" s="38"/>
      <c r="N575" s="39"/>
      <c r="O575" s="38"/>
      <c r="Q575" s="38"/>
      <c r="R575" s="39"/>
      <c r="S575" s="39"/>
      <c r="T575" s="38"/>
      <c r="V575" s="38"/>
      <c r="W575" s="39"/>
      <c r="X575" s="38"/>
    </row>
    <row r="576" spans="2:24" x14ac:dyDescent="0.3">
      <c r="B576" s="38"/>
      <c r="C576" s="40"/>
      <c r="D576" s="19"/>
      <c r="E576"/>
      <c r="F576" s="12"/>
      <c r="G576" s="43"/>
      <c r="H576"/>
      <c r="I576"/>
      <c r="K576" s="38"/>
      <c r="L576" s="39"/>
      <c r="M576" s="38"/>
      <c r="N576" s="39"/>
      <c r="O576" s="38"/>
      <c r="Q576" s="38"/>
      <c r="R576" s="39"/>
      <c r="S576" s="39"/>
      <c r="T576" s="38"/>
      <c r="V576" s="38"/>
      <c r="W576" s="39"/>
      <c r="X576" s="38"/>
    </row>
    <row r="577" spans="2:24" x14ac:dyDescent="0.3">
      <c r="B577" s="38"/>
      <c r="C577" s="40"/>
      <c r="D577" s="19"/>
      <c r="E577"/>
      <c r="F577" s="12"/>
      <c r="G577" s="43"/>
      <c r="H577"/>
      <c r="I577"/>
      <c r="K577" s="38"/>
      <c r="L577" s="39"/>
      <c r="M577" s="38"/>
      <c r="N577" s="39"/>
      <c r="O577" s="38"/>
      <c r="Q577" s="38"/>
      <c r="R577" s="39"/>
      <c r="S577" s="39"/>
      <c r="T577" s="38"/>
      <c r="V577" s="38"/>
      <c r="W577" s="39"/>
      <c r="X577" s="38"/>
    </row>
    <row r="578" spans="2:24" x14ac:dyDescent="0.3">
      <c r="B578" s="38"/>
      <c r="C578" s="40"/>
      <c r="D578" s="19"/>
      <c r="E578"/>
      <c r="F578" s="12"/>
      <c r="G578" s="43"/>
      <c r="H578"/>
      <c r="I578"/>
      <c r="K578" s="38"/>
      <c r="L578" s="39"/>
      <c r="M578" s="38"/>
      <c r="N578" s="39"/>
      <c r="O578" s="38"/>
      <c r="Q578" s="38"/>
      <c r="R578" s="39"/>
      <c r="S578" s="39"/>
      <c r="T578" s="38"/>
      <c r="V578" s="38"/>
      <c r="W578" s="39"/>
      <c r="X578" s="38"/>
    </row>
    <row r="579" spans="2:24" x14ac:dyDescent="0.3">
      <c r="B579" s="38"/>
      <c r="C579" s="40"/>
      <c r="D579" s="19"/>
      <c r="E579"/>
      <c r="F579" s="12"/>
      <c r="G579" s="43"/>
      <c r="H579"/>
      <c r="I579"/>
      <c r="K579" s="38"/>
      <c r="L579" s="39"/>
      <c r="M579" s="38"/>
      <c r="N579" s="39"/>
      <c r="O579" s="38"/>
      <c r="Q579" s="38"/>
      <c r="R579" s="39"/>
      <c r="S579" s="39"/>
      <c r="T579" s="38"/>
      <c r="V579" s="38"/>
      <c r="W579" s="39"/>
      <c r="X579" s="38"/>
    </row>
    <row r="580" spans="2:24" x14ac:dyDescent="0.3">
      <c r="B580" s="38"/>
      <c r="C580" s="40"/>
      <c r="D580" s="19"/>
      <c r="E580"/>
      <c r="F580" s="12"/>
      <c r="G580" s="43"/>
      <c r="H580"/>
      <c r="I580"/>
      <c r="K580" s="38"/>
      <c r="L580" s="39"/>
      <c r="M580" s="38"/>
      <c r="N580" s="39"/>
      <c r="O580" s="38"/>
      <c r="Q580" s="38"/>
      <c r="R580" s="39"/>
      <c r="S580" s="39"/>
      <c r="T580" s="38"/>
      <c r="V580" s="38"/>
      <c r="W580" s="39"/>
      <c r="X580" s="38"/>
    </row>
    <row r="581" spans="2:24" x14ac:dyDescent="0.3">
      <c r="B581" s="38"/>
      <c r="C581" s="40"/>
      <c r="D581" s="19"/>
      <c r="E581"/>
      <c r="F581" s="12"/>
      <c r="G581" s="43"/>
      <c r="H581"/>
      <c r="I581"/>
      <c r="K581" s="38"/>
      <c r="L581" s="39"/>
      <c r="M581" s="38"/>
      <c r="N581" s="39"/>
      <c r="O581" s="38"/>
      <c r="Q581" s="38"/>
      <c r="R581" s="39"/>
      <c r="S581" s="39"/>
      <c r="T581" s="38"/>
      <c r="V581" s="38"/>
      <c r="W581" s="39"/>
      <c r="X581" s="38"/>
    </row>
    <row r="582" spans="2:24" x14ac:dyDescent="0.3">
      <c r="B582" s="38"/>
      <c r="C582" s="40"/>
      <c r="D582" s="19"/>
      <c r="E582"/>
      <c r="F582" s="12"/>
      <c r="G582" s="43"/>
      <c r="H582"/>
      <c r="I582"/>
      <c r="K582" s="38"/>
      <c r="L582" s="39"/>
      <c r="M582" s="38"/>
      <c r="N582" s="39"/>
      <c r="O582" s="38"/>
      <c r="S582" s="39"/>
      <c r="T582" s="38"/>
      <c r="V582" s="38"/>
      <c r="W582" s="39"/>
      <c r="X582" s="38"/>
    </row>
    <row r="583" spans="2:24" x14ac:dyDescent="0.3">
      <c r="B583" s="38"/>
      <c r="C583" s="40"/>
      <c r="D583" s="19"/>
      <c r="E583"/>
      <c r="F583" s="12"/>
      <c r="G583" s="43"/>
      <c r="H583"/>
      <c r="I583"/>
      <c r="K583" s="38"/>
      <c r="L583" s="39"/>
      <c r="M583" s="38"/>
      <c r="N583" s="39"/>
      <c r="O583" s="38"/>
      <c r="S583" s="39"/>
      <c r="T583" s="38"/>
      <c r="V583" s="38"/>
      <c r="W583" s="39"/>
      <c r="X583" s="38"/>
    </row>
    <row r="584" spans="2:24" x14ac:dyDescent="0.3">
      <c r="B584" s="38"/>
      <c r="C584" s="40"/>
      <c r="D584" s="19"/>
      <c r="E584"/>
      <c r="F584" s="12"/>
      <c r="G584" s="43"/>
      <c r="H584"/>
      <c r="I584"/>
      <c r="K584" s="38"/>
      <c r="L584" s="39"/>
      <c r="M584" s="38"/>
      <c r="N584" s="39"/>
      <c r="O584" s="38"/>
      <c r="Q584" s="38"/>
      <c r="R584" s="39"/>
      <c r="S584" s="39"/>
      <c r="T584" s="38"/>
      <c r="V584" s="38"/>
      <c r="W584" s="39"/>
      <c r="X584" s="38"/>
    </row>
    <row r="585" spans="2:24" x14ac:dyDescent="0.3">
      <c r="B585" s="38"/>
      <c r="C585" s="40"/>
      <c r="D585" s="19"/>
      <c r="E585"/>
      <c r="F585" s="12"/>
      <c r="G585" s="43"/>
      <c r="H585"/>
      <c r="I585"/>
      <c r="K585" s="38"/>
      <c r="L585" s="39"/>
      <c r="M585" s="38"/>
      <c r="N585" s="39"/>
      <c r="O585" s="38"/>
      <c r="Q585" s="38"/>
      <c r="R585" s="39"/>
      <c r="S585" s="39"/>
      <c r="T585" s="38"/>
      <c r="V585" s="38"/>
      <c r="W585" s="39"/>
      <c r="X585" s="38"/>
    </row>
    <row r="586" spans="2:24" x14ac:dyDescent="0.3">
      <c r="B586" s="38"/>
      <c r="C586" s="40"/>
      <c r="D586" s="19"/>
      <c r="E586"/>
      <c r="F586" s="12"/>
      <c r="G586" s="43"/>
      <c r="H586"/>
      <c r="I586"/>
      <c r="K586" s="38"/>
      <c r="L586" s="39"/>
      <c r="M586" s="38"/>
      <c r="N586" s="39"/>
      <c r="O586" s="38"/>
      <c r="Q586" s="38"/>
      <c r="R586" s="39"/>
      <c r="S586" s="39"/>
      <c r="T586" s="38"/>
      <c r="V586" s="38"/>
      <c r="W586" s="39"/>
      <c r="X586" s="38"/>
    </row>
    <row r="587" spans="2:24" x14ac:dyDescent="0.3">
      <c r="B587" s="38"/>
      <c r="C587" s="40"/>
      <c r="D587" s="19"/>
      <c r="E587"/>
      <c r="F587" s="12"/>
      <c r="G587" s="43"/>
      <c r="H587"/>
      <c r="I587"/>
      <c r="K587" s="38"/>
      <c r="L587" s="39"/>
      <c r="M587" s="38"/>
      <c r="N587" s="39"/>
      <c r="O587" s="38"/>
      <c r="Q587" s="38"/>
      <c r="R587" s="39"/>
      <c r="S587" s="39"/>
      <c r="T587" s="38"/>
      <c r="V587" s="38"/>
      <c r="W587" s="39"/>
      <c r="X587" s="38"/>
    </row>
    <row r="588" spans="2:24" x14ac:dyDescent="0.3">
      <c r="B588" s="38"/>
      <c r="C588" s="40"/>
      <c r="D588" s="19"/>
      <c r="E588"/>
      <c r="F588" s="12"/>
      <c r="G588" s="43"/>
      <c r="H588"/>
      <c r="I588"/>
      <c r="K588" s="38"/>
      <c r="L588" s="39"/>
      <c r="M588" s="38"/>
      <c r="N588" s="39"/>
      <c r="O588" s="38"/>
      <c r="Q588" s="38"/>
      <c r="R588" s="39"/>
      <c r="S588" s="39"/>
      <c r="T588" s="38"/>
      <c r="V588" s="38"/>
      <c r="W588" s="39"/>
      <c r="X588" s="38"/>
    </row>
    <row r="589" spans="2:24" x14ac:dyDescent="0.3">
      <c r="B589" s="38"/>
      <c r="C589" s="40"/>
      <c r="D589" s="19"/>
      <c r="E589"/>
      <c r="F589" s="12"/>
      <c r="G589" s="43"/>
      <c r="H589"/>
      <c r="I589"/>
      <c r="K589" s="38"/>
      <c r="L589" s="39"/>
      <c r="M589" s="38"/>
      <c r="N589" s="39"/>
      <c r="O589" s="38"/>
      <c r="Q589" s="38"/>
      <c r="R589" s="39"/>
      <c r="S589" s="39"/>
      <c r="T589" s="38"/>
      <c r="V589" s="38"/>
      <c r="W589" s="39"/>
      <c r="X589" s="38"/>
    </row>
    <row r="590" spans="2:24" x14ac:dyDescent="0.3">
      <c r="B590" s="38"/>
      <c r="C590" s="40"/>
      <c r="D590" s="19"/>
      <c r="E590"/>
      <c r="F590" s="12"/>
      <c r="G590" s="43"/>
      <c r="H590"/>
      <c r="I590"/>
      <c r="K590" s="38"/>
      <c r="L590" s="39"/>
      <c r="M590" s="38"/>
      <c r="N590" s="39"/>
      <c r="O590" s="38"/>
      <c r="Q590" s="38"/>
      <c r="R590" s="39"/>
      <c r="S590" s="39"/>
      <c r="T590" s="38"/>
      <c r="V590" s="38"/>
      <c r="W590" s="39"/>
      <c r="X590" s="38"/>
    </row>
    <row r="591" spans="2:24" x14ac:dyDescent="0.3">
      <c r="B591" s="38"/>
      <c r="C591" s="40"/>
      <c r="D591" s="19"/>
      <c r="E591"/>
      <c r="F591" s="12"/>
      <c r="G591" s="43"/>
      <c r="H591"/>
      <c r="I591"/>
      <c r="K591" s="38"/>
      <c r="L591" s="39"/>
      <c r="M591" s="38"/>
      <c r="N591" s="39"/>
      <c r="O591" s="38"/>
      <c r="Q591" s="38"/>
      <c r="R591" s="39"/>
      <c r="S591" s="39"/>
      <c r="T591" s="38"/>
      <c r="V591" s="38"/>
      <c r="W591" s="39"/>
      <c r="X591" s="38"/>
    </row>
    <row r="592" spans="2:24" x14ac:dyDescent="0.3">
      <c r="B592" s="38"/>
      <c r="C592" s="40"/>
      <c r="D592" s="19"/>
      <c r="E592"/>
      <c r="F592" s="12"/>
      <c r="G592" s="43"/>
      <c r="H592"/>
      <c r="I592"/>
      <c r="K592" s="38"/>
      <c r="L592" s="39"/>
      <c r="M592" s="38"/>
      <c r="N592" s="39"/>
      <c r="O592" s="38"/>
      <c r="Q592" s="38"/>
      <c r="R592" s="39"/>
      <c r="S592" s="39"/>
      <c r="T592" s="38"/>
      <c r="V592" s="38"/>
      <c r="W592" s="39"/>
      <c r="X592" s="38"/>
    </row>
    <row r="593" spans="2:24" x14ac:dyDescent="0.3">
      <c r="B593" s="38"/>
      <c r="C593" s="40"/>
      <c r="D593" s="19"/>
      <c r="E593"/>
      <c r="F593" s="12"/>
      <c r="G593" s="43"/>
      <c r="H593"/>
      <c r="I593"/>
      <c r="K593" s="38"/>
      <c r="L593" s="39"/>
      <c r="M593" s="38"/>
      <c r="N593" s="39"/>
      <c r="O593" s="38"/>
      <c r="Q593" s="38"/>
      <c r="R593" s="39"/>
      <c r="S593" s="39"/>
      <c r="T593" s="38"/>
      <c r="V593" s="38"/>
      <c r="W593" s="39"/>
      <c r="X593" s="38"/>
    </row>
    <row r="594" spans="2:24" x14ac:dyDescent="0.3">
      <c r="B594" s="38"/>
      <c r="C594" s="40"/>
      <c r="D594" s="19"/>
      <c r="E594"/>
      <c r="F594" s="12"/>
      <c r="G594" s="43"/>
      <c r="H594"/>
      <c r="I594"/>
      <c r="K594" s="38"/>
      <c r="L594" s="39"/>
      <c r="M594" s="38"/>
      <c r="N594" s="39"/>
      <c r="O594" s="38"/>
      <c r="Q594" s="38"/>
      <c r="R594" s="39"/>
      <c r="S594" s="39"/>
      <c r="T594" s="38"/>
      <c r="V594" s="38"/>
      <c r="W594" s="39"/>
      <c r="X594" s="38"/>
    </row>
    <row r="595" spans="2:24" x14ac:dyDescent="0.3">
      <c r="B595" s="38"/>
      <c r="C595" s="40"/>
      <c r="D595" s="19"/>
      <c r="E595"/>
      <c r="F595" s="12"/>
      <c r="G595" s="43"/>
      <c r="H595"/>
      <c r="I595"/>
      <c r="K595" s="38"/>
      <c r="L595" s="39"/>
      <c r="M595" s="38"/>
      <c r="N595" s="39"/>
      <c r="O595" s="38"/>
      <c r="Q595" s="38"/>
      <c r="R595" s="39"/>
      <c r="S595" s="39"/>
      <c r="T595" s="38"/>
      <c r="V595" s="38"/>
      <c r="W595" s="39"/>
      <c r="X595" s="38"/>
    </row>
    <row r="596" spans="2:24" x14ac:dyDescent="0.3">
      <c r="B596" s="38"/>
      <c r="C596" s="40"/>
      <c r="D596" s="19"/>
      <c r="E596"/>
      <c r="F596" s="12"/>
      <c r="G596" s="43"/>
      <c r="H596"/>
      <c r="I596"/>
      <c r="K596" s="38"/>
      <c r="L596" s="39"/>
      <c r="M596" s="38"/>
      <c r="N596" s="39"/>
      <c r="O596" s="38"/>
      <c r="Q596" s="38"/>
      <c r="R596" s="39"/>
      <c r="S596" s="39"/>
      <c r="T596" s="38"/>
      <c r="V596" s="38"/>
      <c r="W596" s="39"/>
      <c r="X596" s="38"/>
    </row>
    <row r="597" spans="2:24" x14ac:dyDescent="0.3">
      <c r="B597" s="38"/>
      <c r="C597" s="40"/>
      <c r="D597" s="19"/>
      <c r="E597"/>
      <c r="F597" s="12"/>
      <c r="G597" s="43"/>
      <c r="H597"/>
      <c r="I597"/>
      <c r="K597" s="38"/>
      <c r="L597" s="39"/>
      <c r="M597" s="38"/>
      <c r="N597" s="39"/>
      <c r="O597" s="38"/>
      <c r="Q597" s="38"/>
      <c r="R597" s="39"/>
      <c r="S597" s="39"/>
      <c r="T597" s="38"/>
      <c r="V597" s="38"/>
      <c r="W597" s="39"/>
      <c r="X597" s="38"/>
    </row>
    <row r="598" spans="2:24" x14ac:dyDescent="0.3">
      <c r="B598" s="38"/>
      <c r="C598" s="40"/>
      <c r="D598" s="19"/>
      <c r="E598"/>
      <c r="F598" s="12"/>
      <c r="G598" s="43"/>
      <c r="H598"/>
      <c r="I598"/>
      <c r="K598" s="38"/>
      <c r="L598" s="39"/>
      <c r="M598" s="38"/>
      <c r="N598" s="39"/>
      <c r="O598" s="38"/>
      <c r="Q598" s="38"/>
      <c r="R598" s="39"/>
      <c r="S598" s="39"/>
      <c r="T598" s="38"/>
      <c r="V598" s="38"/>
      <c r="W598" s="39"/>
      <c r="X598" s="38"/>
    </row>
    <row r="599" spans="2:24" x14ac:dyDescent="0.3">
      <c r="B599" s="38"/>
      <c r="C599" s="40"/>
      <c r="D599" s="19"/>
      <c r="E599"/>
      <c r="F599" s="12"/>
      <c r="G599" s="43"/>
      <c r="H599"/>
      <c r="I599"/>
      <c r="K599" s="38"/>
      <c r="L599" s="39"/>
      <c r="M599" s="38"/>
      <c r="N599" s="39"/>
      <c r="O599" s="38"/>
      <c r="Q599" s="38"/>
      <c r="R599" s="39"/>
      <c r="S599" s="39"/>
      <c r="T599" s="38"/>
      <c r="V599" s="38"/>
      <c r="W599" s="39"/>
      <c r="X599" s="38"/>
    </row>
    <row r="600" spans="2:24" x14ac:dyDescent="0.3">
      <c r="B600" s="38"/>
      <c r="C600" s="40"/>
      <c r="D600" s="19"/>
      <c r="E600"/>
      <c r="F600" s="12"/>
      <c r="G600" s="43"/>
      <c r="H600"/>
      <c r="I600"/>
      <c r="K600" s="38"/>
      <c r="L600" s="39"/>
      <c r="M600" s="38"/>
      <c r="N600" s="39"/>
      <c r="O600" s="38"/>
      <c r="Q600" s="38"/>
      <c r="R600" s="39"/>
      <c r="S600" s="39"/>
      <c r="T600" s="38"/>
      <c r="V600" s="38"/>
      <c r="W600" s="39"/>
      <c r="X600" s="38"/>
    </row>
    <row r="601" spans="2:24" x14ac:dyDescent="0.3">
      <c r="B601" s="38"/>
      <c r="C601" s="40"/>
      <c r="D601" s="19"/>
      <c r="E601"/>
      <c r="F601" s="12"/>
      <c r="G601" s="43"/>
      <c r="H601"/>
      <c r="I601"/>
      <c r="K601" s="38"/>
      <c r="L601" s="39"/>
      <c r="M601" s="38"/>
      <c r="N601" s="39"/>
      <c r="O601" s="38"/>
      <c r="Q601" s="38"/>
      <c r="R601" s="39"/>
      <c r="S601" s="39"/>
      <c r="T601" s="38"/>
      <c r="V601" s="38"/>
      <c r="W601" s="39"/>
      <c r="X601" s="38"/>
    </row>
    <row r="602" spans="2:24" x14ac:dyDescent="0.3">
      <c r="B602" s="38"/>
      <c r="C602" s="40"/>
      <c r="D602" s="19"/>
      <c r="E602"/>
      <c r="F602" s="12"/>
      <c r="G602" s="43"/>
      <c r="H602"/>
      <c r="I602"/>
      <c r="K602" s="38"/>
      <c r="L602" s="39"/>
      <c r="M602" s="38"/>
      <c r="N602" s="39"/>
      <c r="O602" s="38"/>
      <c r="Q602" s="38"/>
      <c r="R602" s="39"/>
      <c r="S602" s="39"/>
      <c r="T602" s="38"/>
      <c r="V602" s="38"/>
      <c r="W602" s="39"/>
      <c r="X602" s="38"/>
    </row>
    <row r="603" spans="2:24" x14ac:dyDescent="0.3">
      <c r="B603" s="38"/>
      <c r="C603" s="40"/>
      <c r="D603" s="19"/>
      <c r="E603"/>
      <c r="F603" s="12"/>
      <c r="G603" s="43"/>
      <c r="H603"/>
      <c r="I603"/>
      <c r="K603" s="38"/>
      <c r="L603" s="39"/>
      <c r="M603" s="38"/>
      <c r="N603" s="39"/>
      <c r="O603" s="38"/>
      <c r="Q603" s="38"/>
      <c r="R603" s="39"/>
      <c r="S603" s="39"/>
      <c r="T603" s="38"/>
      <c r="V603" s="38"/>
      <c r="W603" s="39"/>
      <c r="X603" s="38"/>
    </row>
    <row r="604" spans="2:24" x14ac:dyDescent="0.3">
      <c r="B604" s="38"/>
      <c r="C604" s="40"/>
      <c r="D604" s="19"/>
      <c r="E604"/>
      <c r="F604" s="12"/>
      <c r="G604" s="43"/>
      <c r="H604"/>
      <c r="I604"/>
      <c r="K604" s="38"/>
      <c r="L604" s="39"/>
      <c r="M604" s="38"/>
      <c r="N604" s="39"/>
      <c r="O604" s="38"/>
      <c r="Q604" s="38"/>
      <c r="R604" s="39"/>
      <c r="S604" s="39"/>
      <c r="T604" s="38"/>
      <c r="V604" s="38"/>
      <c r="W604" s="39"/>
      <c r="X604" s="38"/>
    </row>
    <row r="605" spans="2:24" x14ac:dyDescent="0.3">
      <c r="B605" s="38"/>
      <c r="C605" s="40"/>
      <c r="D605" s="19"/>
      <c r="E605"/>
      <c r="F605" s="12"/>
      <c r="G605" s="43"/>
      <c r="H605"/>
      <c r="I605"/>
      <c r="K605" s="38"/>
      <c r="L605" s="39"/>
      <c r="M605" s="38"/>
      <c r="N605" s="39"/>
      <c r="O605" s="38"/>
      <c r="Q605" s="38"/>
      <c r="R605" s="39"/>
      <c r="S605" s="39"/>
      <c r="T605" s="38"/>
      <c r="V605" s="38"/>
      <c r="W605" s="39"/>
      <c r="X605" s="38"/>
    </row>
    <row r="606" spans="2:24" x14ac:dyDescent="0.3">
      <c r="B606" s="38"/>
      <c r="C606" s="40"/>
      <c r="D606" s="19"/>
      <c r="E606"/>
      <c r="F606" s="12"/>
      <c r="G606" s="43"/>
      <c r="H606"/>
      <c r="I606"/>
      <c r="K606" s="38"/>
      <c r="L606" s="39"/>
      <c r="M606" s="38"/>
      <c r="N606" s="39"/>
      <c r="O606" s="38"/>
      <c r="Q606" s="38"/>
      <c r="R606" s="39"/>
      <c r="S606" s="39"/>
      <c r="T606" s="38"/>
      <c r="V606" s="38"/>
      <c r="W606" s="39"/>
      <c r="X606" s="38"/>
    </row>
    <row r="607" spans="2:24" x14ac:dyDescent="0.3">
      <c r="B607" s="38"/>
      <c r="C607" s="40"/>
      <c r="D607" s="19"/>
      <c r="E607"/>
      <c r="F607" s="12"/>
      <c r="G607" s="43"/>
      <c r="H607"/>
      <c r="I607"/>
      <c r="K607" s="38"/>
      <c r="L607" s="39"/>
      <c r="M607" s="38"/>
      <c r="N607" s="39"/>
      <c r="O607" s="38"/>
      <c r="Q607" s="38"/>
      <c r="R607" s="39"/>
      <c r="S607" s="39"/>
      <c r="T607" s="38"/>
      <c r="V607" s="38"/>
      <c r="W607" s="39"/>
      <c r="X607" s="38"/>
    </row>
    <row r="608" spans="2:24" x14ac:dyDescent="0.3">
      <c r="B608" s="38"/>
      <c r="C608" s="40"/>
      <c r="D608" s="19"/>
      <c r="E608"/>
      <c r="F608" s="12"/>
      <c r="G608" s="43"/>
      <c r="H608"/>
      <c r="I608"/>
      <c r="K608" s="38"/>
      <c r="L608" s="39"/>
      <c r="M608" s="38"/>
      <c r="N608" s="39"/>
      <c r="O608" s="38"/>
      <c r="Q608" s="38"/>
      <c r="R608" s="39"/>
      <c r="S608" s="39"/>
      <c r="T608" s="38"/>
      <c r="V608" s="38"/>
      <c r="W608" s="39"/>
      <c r="X608" s="38"/>
    </row>
    <row r="609" spans="2:24" x14ac:dyDescent="0.3">
      <c r="B609" s="38"/>
      <c r="C609" s="40"/>
      <c r="D609" s="19"/>
      <c r="E609"/>
      <c r="F609" s="12"/>
      <c r="G609" s="43"/>
      <c r="H609"/>
      <c r="I609"/>
      <c r="K609" s="38"/>
      <c r="L609" s="39"/>
      <c r="M609" s="38"/>
      <c r="N609" s="39"/>
      <c r="O609" s="38"/>
      <c r="Q609" s="38"/>
      <c r="R609" s="39"/>
      <c r="S609" s="39"/>
      <c r="T609" s="38"/>
      <c r="V609" s="38"/>
      <c r="W609" s="39"/>
      <c r="X609" s="38"/>
    </row>
    <row r="610" spans="2:24" x14ac:dyDescent="0.3">
      <c r="B610" s="38"/>
      <c r="C610" s="40"/>
      <c r="D610" s="19"/>
      <c r="E610"/>
      <c r="F610" s="12"/>
      <c r="G610" s="43"/>
      <c r="H610"/>
      <c r="I610"/>
      <c r="K610" s="38"/>
      <c r="L610" s="39"/>
      <c r="M610" s="38"/>
      <c r="N610" s="39"/>
      <c r="O610" s="38"/>
      <c r="Q610" s="38"/>
      <c r="R610" s="39"/>
      <c r="S610" s="39"/>
      <c r="T610" s="38"/>
      <c r="V610" s="38"/>
      <c r="W610" s="39"/>
      <c r="X610" s="38"/>
    </row>
    <row r="611" spans="2:24" x14ac:dyDescent="0.3">
      <c r="B611" s="38"/>
      <c r="C611" s="40"/>
      <c r="D611" s="19"/>
      <c r="E611"/>
      <c r="F611" s="12"/>
      <c r="G611" s="43"/>
      <c r="H611"/>
      <c r="I611"/>
      <c r="K611" s="38"/>
      <c r="L611" s="39"/>
      <c r="M611" s="38"/>
      <c r="N611" s="39"/>
      <c r="O611" s="38"/>
      <c r="Q611" s="38"/>
      <c r="R611" s="39"/>
      <c r="S611" s="39"/>
      <c r="T611" s="38"/>
      <c r="V611" s="38"/>
      <c r="W611" s="39"/>
      <c r="X611" s="38"/>
    </row>
    <row r="612" spans="2:24" x14ac:dyDescent="0.3">
      <c r="B612" s="38"/>
      <c r="C612" s="40"/>
      <c r="D612" s="19"/>
      <c r="E612"/>
      <c r="F612" s="12"/>
      <c r="G612" s="43"/>
      <c r="H612"/>
      <c r="I612"/>
      <c r="K612" s="38"/>
      <c r="L612" s="39"/>
      <c r="M612" s="38"/>
      <c r="N612" s="39"/>
      <c r="O612" s="38"/>
      <c r="Q612" s="38"/>
      <c r="R612" s="39"/>
      <c r="S612" s="39"/>
      <c r="T612" s="38"/>
      <c r="V612" s="38"/>
      <c r="W612" s="39"/>
      <c r="X612" s="38"/>
    </row>
    <row r="613" spans="2:24" x14ac:dyDescent="0.3">
      <c r="B613" s="38"/>
      <c r="C613" s="40"/>
      <c r="D613" s="19"/>
      <c r="E613"/>
      <c r="F613" s="12"/>
      <c r="G613" s="43"/>
      <c r="H613"/>
      <c r="I613"/>
      <c r="K613" s="38"/>
      <c r="L613" s="39"/>
      <c r="M613" s="38"/>
      <c r="N613" s="39"/>
      <c r="O613" s="38"/>
      <c r="Q613" s="38"/>
      <c r="R613" s="39"/>
      <c r="S613" s="39"/>
      <c r="T613" s="38"/>
      <c r="V613" s="38"/>
      <c r="W613" s="39"/>
      <c r="X613" s="38"/>
    </row>
    <row r="614" spans="2:24" x14ac:dyDescent="0.3">
      <c r="B614" s="38"/>
      <c r="C614" s="40"/>
      <c r="D614" s="19"/>
      <c r="E614"/>
      <c r="F614" s="12"/>
      <c r="G614" s="43"/>
      <c r="H614"/>
      <c r="I614"/>
      <c r="K614" s="38"/>
      <c r="L614" s="39"/>
      <c r="M614" s="38"/>
      <c r="N614" s="39"/>
      <c r="O614" s="38"/>
      <c r="Q614" s="38"/>
      <c r="R614" s="39"/>
      <c r="S614" s="39"/>
      <c r="T614" s="38"/>
      <c r="V614" s="38"/>
      <c r="W614" s="39"/>
      <c r="X614" s="38"/>
    </row>
    <row r="615" spans="2:24" x14ac:dyDescent="0.3">
      <c r="B615" s="38"/>
      <c r="C615" s="40"/>
      <c r="D615" s="19"/>
      <c r="E615"/>
      <c r="F615" s="12"/>
      <c r="G615" s="43"/>
      <c r="H615"/>
      <c r="I615"/>
      <c r="K615" s="38"/>
      <c r="L615" s="39"/>
      <c r="M615" s="38"/>
      <c r="N615" s="39"/>
      <c r="O615" s="38"/>
      <c r="Q615" s="38"/>
      <c r="R615" s="39"/>
      <c r="S615" s="39"/>
      <c r="T615" s="38"/>
      <c r="V615" s="38"/>
      <c r="W615" s="39"/>
      <c r="X615" s="38"/>
    </row>
    <row r="616" spans="2:24" x14ac:dyDescent="0.3">
      <c r="B616" s="38"/>
      <c r="C616" s="40"/>
      <c r="D616" s="19"/>
      <c r="E616"/>
      <c r="F616" s="12"/>
      <c r="G616" s="43"/>
      <c r="H616"/>
      <c r="I616"/>
      <c r="K616" s="38"/>
      <c r="L616" s="39"/>
      <c r="M616" s="38"/>
      <c r="N616" s="39"/>
      <c r="O616" s="38"/>
      <c r="Q616" s="38"/>
      <c r="R616" s="39"/>
      <c r="S616" s="39"/>
      <c r="T616" s="38"/>
      <c r="V616" s="38"/>
      <c r="W616" s="39"/>
      <c r="X616" s="38"/>
    </row>
    <row r="617" spans="2:24" x14ac:dyDescent="0.3">
      <c r="B617" s="38"/>
      <c r="C617" s="40"/>
      <c r="D617" s="19"/>
      <c r="E617"/>
      <c r="F617" s="12"/>
      <c r="G617" s="43"/>
      <c r="H617"/>
      <c r="I617"/>
      <c r="K617" s="38"/>
      <c r="L617" s="39"/>
      <c r="M617" s="38"/>
      <c r="N617" s="39"/>
      <c r="O617" s="38"/>
      <c r="Q617" s="38"/>
      <c r="R617" s="39"/>
      <c r="S617" s="39"/>
      <c r="T617" s="38"/>
      <c r="V617" s="38"/>
      <c r="W617" s="39"/>
      <c r="X617" s="38"/>
    </row>
    <row r="618" spans="2:24" x14ac:dyDescent="0.3">
      <c r="B618" s="38"/>
      <c r="C618" s="40"/>
      <c r="D618" s="19"/>
      <c r="E618"/>
      <c r="F618" s="12"/>
      <c r="G618" s="43"/>
      <c r="H618"/>
      <c r="I618"/>
      <c r="K618" s="38"/>
      <c r="L618" s="39"/>
      <c r="M618" s="38"/>
      <c r="N618" s="39"/>
      <c r="O618" s="38"/>
      <c r="Q618" s="38"/>
      <c r="R618" s="39"/>
      <c r="S618" s="39"/>
      <c r="T618" s="38"/>
      <c r="V618" s="38"/>
      <c r="W618" s="39"/>
      <c r="X618" s="38"/>
    </row>
    <row r="619" spans="2:24" x14ac:dyDescent="0.3">
      <c r="B619" s="38"/>
      <c r="C619" s="40"/>
      <c r="D619" s="19"/>
      <c r="E619"/>
      <c r="F619" s="12"/>
      <c r="G619" s="43"/>
      <c r="H619"/>
      <c r="I619"/>
      <c r="K619" s="38"/>
      <c r="L619" s="39"/>
      <c r="M619" s="38"/>
      <c r="N619" s="39"/>
      <c r="O619" s="38"/>
      <c r="Q619" s="38"/>
      <c r="R619" s="39"/>
      <c r="S619" s="39"/>
      <c r="T619" s="38"/>
      <c r="V619" s="38"/>
      <c r="W619" s="39"/>
      <c r="X619" s="38"/>
    </row>
    <row r="620" spans="2:24" x14ac:dyDescent="0.3">
      <c r="B620" s="38"/>
      <c r="C620" s="40"/>
      <c r="D620" s="19"/>
      <c r="E620"/>
      <c r="F620" s="12"/>
      <c r="G620" s="43"/>
      <c r="H620"/>
      <c r="I620"/>
      <c r="K620" s="38"/>
      <c r="L620" s="39"/>
      <c r="M620" s="38"/>
      <c r="N620" s="39"/>
      <c r="O620" s="38"/>
      <c r="Q620" s="38"/>
      <c r="R620" s="39"/>
      <c r="S620" s="39"/>
      <c r="T620" s="38"/>
      <c r="V620" s="38"/>
      <c r="W620" s="39"/>
      <c r="X620" s="38"/>
    </row>
    <row r="621" spans="2:24" x14ac:dyDescent="0.3">
      <c r="B621" s="38"/>
      <c r="C621" s="40"/>
      <c r="D621" s="19"/>
      <c r="E621"/>
      <c r="F621" s="12"/>
      <c r="G621" s="43"/>
      <c r="H621"/>
      <c r="I621"/>
      <c r="K621" s="38"/>
      <c r="L621" s="39"/>
      <c r="M621" s="38"/>
      <c r="N621" s="39"/>
      <c r="O621" s="38"/>
      <c r="Q621" s="38"/>
      <c r="R621" s="39"/>
      <c r="S621" s="39"/>
      <c r="T621" s="38"/>
      <c r="V621" s="38"/>
      <c r="W621" s="39"/>
      <c r="X621" s="38"/>
    </row>
    <row r="622" spans="2:24" x14ac:dyDescent="0.3">
      <c r="B622" s="38"/>
      <c r="C622" s="40"/>
      <c r="D622" s="19"/>
      <c r="E622"/>
      <c r="F622" s="12"/>
      <c r="G622" s="43"/>
      <c r="H622"/>
      <c r="I622"/>
      <c r="K622" s="38"/>
      <c r="L622" s="39"/>
      <c r="M622" s="38"/>
      <c r="N622" s="39"/>
      <c r="O622" s="38"/>
      <c r="Q622" s="38"/>
      <c r="R622" s="39"/>
      <c r="S622" s="39"/>
      <c r="T622" s="38"/>
      <c r="V622" s="38"/>
      <c r="W622" s="39"/>
      <c r="X622" s="38"/>
    </row>
    <row r="623" spans="2:24" x14ac:dyDescent="0.3">
      <c r="B623" s="38"/>
      <c r="C623" s="40"/>
      <c r="D623" s="19"/>
      <c r="E623"/>
      <c r="F623" s="12"/>
      <c r="G623" s="43"/>
      <c r="H623"/>
      <c r="I623"/>
      <c r="K623" s="38"/>
      <c r="L623" s="39"/>
      <c r="M623" s="38"/>
      <c r="N623" s="39"/>
      <c r="O623" s="38"/>
      <c r="Q623" s="38"/>
      <c r="R623" s="39"/>
      <c r="S623" s="39"/>
      <c r="T623" s="38"/>
      <c r="V623" s="38"/>
      <c r="W623" s="39"/>
      <c r="X623" s="38"/>
    </row>
    <row r="624" spans="2:24" x14ac:dyDescent="0.3">
      <c r="B624" s="38"/>
      <c r="C624" s="40"/>
      <c r="D624" s="19"/>
      <c r="E624"/>
      <c r="F624" s="12"/>
      <c r="G624" s="43"/>
      <c r="H624"/>
      <c r="I624"/>
      <c r="K624" s="38"/>
      <c r="L624" s="39"/>
      <c r="M624" s="38"/>
      <c r="N624" s="39"/>
      <c r="O624" s="38"/>
      <c r="Q624" s="38"/>
      <c r="R624" s="39"/>
      <c r="S624" s="39"/>
      <c r="T624" s="38"/>
      <c r="V624" s="38"/>
      <c r="W624" s="39"/>
      <c r="X624" s="38"/>
    </row>
    <row r="625" spans="2:24" x14ac:dyDescent="0.3">
      <c r="B625" s="38"/>
      <c r="C625" s="40"/>
      <c r="D625" s="19"/>
      <c r="E625"/>
      <c r="F625" s="12"/>
      <c r="G625" s="43"/>
      <c r="H625"/>
      <c r="I625"/>
      <c r="K625" s="38"/>
      <c r="L625" s="39"/>
      <c r="M625" s="38"/>
      <c r="N625" s="39"/>
      <c r="O625" s="38"/>
      <c r="Q625" s="38"/>
      <c r="R625" s="39"/>
      <c r="S625" s="39"/>
      <c r="T625" s="38"/>
      <c r="V625" s="38"/>
      <c r="W625" s="39"/>
      <c r="X625" s="38"/>
    </row>
    <row r="626" spans="2:24" x14ac:dyDescent="0.3">
      <c r="B626" s="38"/>
      <c r="C626" s="40"/>
      <c r="D626" s="19"/>
      <c r="E626"/>
      <c r="F626" s="12"/>
      <c r="G626" s="43"/>
      <c r="H626"/>
      <c r="I626"/>
      <c r="K626" s="38"/>
      <c r="L626" s="39"/>
      <c r="M626" s="38"/>
      <c r="N626" s="39"/>
      <c r="O626" s="38"/>
      <c r="Q626" s="38"/>
      <c r="R626" s="39"/>
      <c r="S626" s="39"/>
      <c r="T626" s="38"/>
      <c r="V626" s="38"/>
      <c r="W626" s="39"/>
      <c r="X626" s="38"/>
    </row>
    <row r="627" spans="2:24" x14ac:dyDescent="0.3">
      <c r="B627" s="38"/>
      <c r="C627" s="40"/>
      <c r="D627" s="19"/>
      <c r="E627"/>
      <c r="F627" s="12"/>
      <c r="G627" s="43"/>
      <c r="H627"/>
      <c r="I627"/>
      <c r="K627" s="38"/>
      <c r="L627" s="39"/>
      <c r="M627" s="38"/>
      <c r="N627" s="39"/>
      <c r="O627" s="38"/>
      <c r="Q627" s="38"/>
      <c r="R627" s="39"/>
      <c r="S627" s="39"/>
      <c r="T627" s="38"/>
      <c r="V627" s="38"/>
      <c r="W627" s="39"/>
      <c r="X627" s="38"/>
    </row>
    <row r="628" spans="2:24" x14ac:dyDescent="0.3">
      <c r="B628" s="38"/>
      <c r="C628" s="40"/>
      <c r="D628" s="19"/>
      <c r="E628"/>
      <c r="F628" s="12"/>
      <c r="G628" s="43"/>
      <c r="H628"/>
      <c r="I628"/>
      <c r="K628" s="38"/>
      <c r="L628" s="39"/>
      <c r="M628" s="38"/>
      <c r="N628" s="39"/>
      <c r="O628" s="38"/>
      <c r="Q628" s="38"/>
      <c r="R628" s="39"/>
      <c r="S628" s="39"/>
      <c r="T628" s="38"/>
      <c r="V628" s="38"/>
      <c r="W628" s="39"/>
      <c r="X628" s="38"/>
    </row>
    <row r="629" spans="2:24" x14ac:dyDescent="0.3">
      <c r="B629" s="38"/>
      <c r="C629" s="40"/>
      <c r="D629" s="19"/>
      <c r="E629"/>
      <c r="F629" s="12"/>
      <c r="G629" s="43"/>
      <c r="H629"/>
      <c r="I629"/>
      <c r="K629" s="38"/>
      <c r="L629" s="39"/>
      <c r="M629" s="38"/>
      <c r="N629" s="39"/>
      <c r="O629" s="38"/>
      <c r="Q629" s="38"/>
      <c r="R629" s="39"/>
      <c r="S629" s="39"/>
      <c r="T629" s="38"/>
      <c r="V629" s="38"/>
      <c r="W629" s="39"/>
      <c r="X629" s="38"/>
    </row>
    <row r="630" spans="2:24" x14ac:dyDescent="0.3">
      <c r="B630" s="38"/>
      <c r="C630" s="40"/>
      <c r="D630" s="19"/>
      <c r="E630"/>
      <c r="F630" s="12"/>
      <c r="G630" s="43"/>
      <c r="H630"/>
      <c r="I630"/>
      <c r="K630" s="38"/>
      <c r="L630" s="39"/>
      <c r="M630" s="38"/>
      <c r="N630" s="39"/>
      <c r="O630" s="38"/>
      <c r="Q630" s="38"/>
      <c r="R630" s="39"/>
      <c r="S630" s="39"/>
      <c r="T630" s="38"/>
      <c r="V630" s="38"/>
      <c r="W630" s="39"/>
      <c r="X630" s="38"/>
    </row>
    <row r="631" spans="2:24" x14ac:dyDescent="0.3">
      <c r="B631" s="38"/>
      <c r="C631" s="40"/>
      <c r="D631" s="19"/>
      <c r="E631"/>
      <c r="F631" s="12"/>
      <c r="G631" s="43"/>
      <c r="H631"/>
      <c r="I631"/>
      <c r="K631" s="38"/>
      <c r="L631" s="39"/>
      <c r="M631" s="38"/>
      <c r="N631" s="39"/>
      <c r="O631" s="38"/>
      <c r="Q631" s="38"/>
      <c r="R631" s="39"/>
      <c r="S631" s="39"/>
      <c r="T631" s="38"/>
      <c r="V631" s="38"/>
      <c r="W631" s="39"/>
      <c r="X631" s="38"/>
    </row>
    <row r="632" spans="2:24" x14ac:dyDescent="0.3">
      <c r="B632" s="38"/>
      <c r="C632" s="40"/>
      <c r="D632" s="19"/>
      <c r="E632"/>
      <c r="F632" s="12"/>
      <c r="G632" s="43"/>
      <c r="H632"/>
      <c r="I632"/>
      <c r="K632" s="38"/>
      <c r="L632" s="39"/>
      <c r="M632" s="38"/>
      <c r="N632" s="39"/>
      <c r="O632" s="38"/>
      <c r="Q632" s="38"/>
      <c r="R632" s="39"/>
      <c r="S632" s="39"/>
      <c r="T632" s="38"/>
      <c r="V632" s="38"/>
      <c r="W632" s="39"/>
      <c r="X632" s="38"/>
    </row>
    <row r="633" spans="2:24" x14ac:dyDescent="0.3">
      <c r="B633" s="38"/>
      <c r="C633" s="40"/>
      <c r="D633" s="19"/>
      <c r="E633"/>
      <c r="F633" s="12"/>
      <c r="G633" s="43"/>
      <c r="H633"/>
      <c r="I633"/>
      <c r="K633" s="38"/>
      <c r="L633" s="39"/>
      <c r="M633" s="38"/>
      <c r="N633" s="39"/>
      <c r="O633" s="38"/>
      <c r="Q633" s="38"/>
      <c r="R633" s="39"/>
      <c r="S633" s="39"/>
      <c r="T633" s="38"/>
      <c r="V633" s="38"/>
      <c r="W633" s="39"/>
      <c r="X633" s="38"/>
    </row>
    <row r="634" spans="2:24" x14ac:dyDescent="0.3">
      <c r="B634" s="38"/>
      <c r="C634" s="40"/>
      <c r="D634" s="19"/>
      <c r="E634"/>
      <c r="F634" s="12"/>
      <c r="G634" s="43"/>
      <c r="H634"/>
      <c r="I634"/>
      <c r="K634" s="38"/>
      <c r="L634" s="39"/>
      <c r="M634" s="38"/>
      <c r="N634" s="39"/>
      <c r="O634" s="38"/>
      <c r="Q634" s="38"/>
      <c r="R634" s="39"/>
      <c r="S634" s="39"/>
      <c r="T634" s="38"/>
      <c r="V634" s="38"/>
      <c r="W634" s="39"/>
      <c r="X634" s="38"/>
    </row>
    <row r="635" spans="2:24" x14ac:dyDescent="0.3">
      <c r="B635" s="38"/>
      <c r="C635" s="40"/>
      <c r="D635" s="19"/>
      <c r="E635"/>
      <c r="F635" s="12"/>
      <c r="G635" s="43"/>
      <c r="H635"/>
      <c r="I635"/>
      <c r="K635" s="38"/>
      <c r="L635" s="39"/>
      <c r="M635" s="38"/>
      <c r="N635" s="39"/>
      <c r="O635" s="38"/>
      <c r="Q635" s="38"/>
      <c r="R635" s="39"/>
      <c r="S635" s="39"/>
      <c r="T635" s="38"/>
      <c r="V635" s="38"/>
      <c r="W635" s="39"/>
      <c r="X635" s="38"/>
    </row>
    <row r="636" spans="2:24" x14ac:dyDescent="0.3">
      <c r="B636" s="38"/>
      <c r="C636" s="40"/>
      <c r="D636" s="19"/>
      <c r="E636"/>
      <c r="F636" s="12"/>
      <c r="G636" s="43"/>
      <c r="H636"/>
      <c r="I636"/>
      <c r="K636" s="38"/>
      <c r="L636" s="39"/>
      <c r="M636" s="38"/>
      <c r="N636" s="39"/>
      <c r="O636" s="38"/>
      <c r="Q636" s="38"/>
      <c r="R636" s="39"/>
      <c r="S636" s="39"/>
      <c r="T636" s="38"/>
      <c r="V636" s="38"/>
      <c r="W636" s="39"/>
      <c r="X636" s="38"/>
    </row>
    <row r="637" spans="2:24" x14ac:dyDescent="0.3">
      <c r="B637" s="38"/>
      <c r="C637" s="40"/>
      <c r="D637" s="19"/>
      <c r="E637"/>
      <c r="F637" s="12"/>
      <c r="G637" s="43"/>
      <c r="H637"/>
      <c r="I637"/>
      <c r="K637" s="38"/>
      <c r="L637" s="39"/>
      <c r="M637" s="38"/>
      <c r="N637" s="39"/>
      <c r="O637" s="38"/>
      <c r="Q637" s="38"/>
      <c r="R637" s="39"/>
      <c r="S637" s="39"/>
      <c r="T637" s="38"/>
      <c r="V637" s="38"/>
      <c r="W637" s="39"/>
      <c r="X637" s="38"/>
    </row>
    <row r="638" spans="2:24" x14ac:dyDescent="0.3">
      <c r="B638" s="38"/>
      <c r="C638" s="40"/>
      <c r="D638" s="19"/>
      <c r="E638"/>
      <c r="F638" s="12"/>
      <c r="G638" s="43"/>
      <c r="H638"/>
      <c r="I638"/>
      <c r="K638" s="38"/>
      <c r="L638" s="39"/>
      <c r="M638" s="38"/>
      <c r="N638" s="39"/>
      <c r="O638" s="38"/>
      <c r="Q638" s="38"/>
      <c r="R638" s="39"/>
      <c r="S638" s="39"/>
      <c r="T638" s="38"/>
      <c r="V638" s="38"/>
      <c r="W638" s="39"/>
      <c r="X638" s="38"/>
    </row>
    <row r="639" spans="2:24" x14ac:dyDescent="0.3">
      <c r="B639" s="38"/>
      <c r="C639" s="40"/>
      <c r="D639" s="19"/>
      <c r="E639"/>
      <c r="F639" s="12"/>
      <c r="G639" s="43"/>
      <c r="H639"/>
      <c r="I639"/>
      <c r="K639" s="38"/>
      <c r="L639" s="39"/>
      <c r="M639" s="38"/>
      <c r="N639" s="39"/>
      <c r="O639" s="38"/>
      <c r="Q639" s="38"/>
      <c r="R639" s="39"/>
      <c r="S639" s="39"/>
      <c r="T639" s="38"/>
      <c r="V639" s="38"/>
      <c r="W639" s="39"/>
      <c r="X639" s="38"/>
    </row>
    <row r="640" spans="2:24" x14ac:dyDescent="0.3">
      <c r="B640" s="38"/>
      <c r="C640" s="40"/>
      <c r="D640" s="19"/>
      <c r="E640"/>
      <c r="F640" s="12"/>
      <c r="G640" s="43"/>
      <c r="H640"/>
      <c r="I640"/>
      <c r="K640" s="38"/>
      <c r="L640" s="39"/>
      <c r="M640" s="38"/>
      <c r="N640" s="39"/>
      <c r="O640" s="38"/>
      <c r="Q640" s="38"/>
      <c r="R640" s="39"/>
      <c r="S640" s="39"/>
      <c r="T640" s="38"/>
      <c r="V640" s="38"/>
      <c r="W640" s="39"/>
      <c r="X640" s="38"/>
    </row>
    <row r="641" spans="2:26" x14ac:dyDescent="0.3">
      <c r="B641" s="38"/>
      <c r="C641" s="40"/>
      <c r="D641" s="19"/>
      <c r="E641"/>
      <c r="F641" s="12"/>
      <c r="G641" s="43"/>
      <c r="H641"/>
      <c r="I641"/>
      <c r="K641" s="38"/>
      <c r="L641" s="39"/>
      <c r="M641" s="38"/>
      <c r="N641" s="39"/>
      <c r="O641" s="38"/>
      <c r="Q641" s="38"/>
      <c r="R641" s="39"/>
      <c r="S641" s="39"/>
      <c r="T641" s="38"/>
      <c r="V641" s="38"/>
      <c r="W641" s="39"/>
      <c r="X641" s="38"/>
    </row>
    <row r="642" spans="2:26" x14ac:dyDescent="0.3">
      <c r="B642" s="38"/>
      <c r="C642" s="40"/>
      <c r="D642" s="19"/>
      <c r="E642"/>
      <c r="F642" s="12"/>
      <c r="G642" s="43"/>
      <c r="H642"/>
      <c r="I642"/>
      <c r="K642" s="38"/>
      <c r="L642" s="39"/>
      <c r="M642" s="38"/>
      <c r="N642" s="39"/>
      <c r="O642" s="38"/>
      <c r="Q642" s="38"/>
      <c r="R642" s="39"/>
      <c r="S642" s="39"/>
      <c r="T642" s="38"/>
      <c r="V642" s="38"/>
      <c r="W642" s="39"/>
      <c r="X642" s="38"/>
    </row>
    <row r="643" spans="2:26" x14ac:dyDescent="0.3">
      <c r="B643" s="38"/>
      <c r="C643" s="40"/>
      <c r="D643" s="19"/>
      <c r="E643"/>
      <c r="F643" s="12"/>
      <c r="G643" s="43"/>
      <c r="H643"/>
      <c r="I643"/>
      <c r="K643" s="38"/>
      <c r="L643" s="39"/>
      <c r="M643" s="38"/>
      <c r="N643" s="39"/>
      <c r="O643" s="38"/>
      <c r="Q643" s="38"/>
      <c r="R643" s="39"/>
      <c r="S643" s="39"/>
      <c r="T643" s="38"/>
      <c r="V643" s="38"/>
      <c r="W643" s="39"/>
      <c r="X643" s="38"/>
    </row>
    <row r="644" spans="2:26" x14ac:dyDescent="0.3">
      <c r="B644" s="38"/>
      <c r="C644" s="40"/>
      <c r="D644" s="19"/>
      <c r="E644"/>
      <c r="F644" s="12"/>
      <c r="G644" s="43"/>
      <c r="H644"/>
      <c r="I644"/>
      <c r="K644" s="38"/>
      <c r="L644" s="39"/>
      <c r="M644" s="38"/>
      <c r="N644" s="39"/>
      <c r="O644" s="38"/>
      <c r="Q644" s="38"/>
      <c r="R644" s="39"/>
      <c r="S644" s="39"/>
      <c r="T644" s="38"/>
      <c r="V644" s="38"/>
      <c r="W644" s="39"/>
      <c r="X644" s="38"/>
    </row>
    <row r="645" spans="2:26" x14ac:dyDescent="0.3">
      <c r="B645" s="38"/>
      <c r="C645" s="40"/>
      <c r="D645" s="19"/>
      <c r="E645"/>
      <c r="F645" s="12"/>
      <c r="G645" s="43"/>
      <c r="H645"/>
      <c r="I645"/>
      <c r="K645" s="38"/>
      <c r="L645" s="39"/>
      <c r="M645" s="38"/>
      <c r="N645" s="39"/>
      <c r="O645" s="38"/>
      <c r="Q645" s="38"/>
      <c r="R645" s="39"/>
      <c r="S645" s="39"/>
      <c r="T645" s="38"/>
      <c r="V645" s="38"/>
      <c r="W645" s="39"/>
      <c r="X645" s="38"/>
    </row>
    <row r="646" spans="2:26" x14ac:dyDescent="0.3">
      <c r="O646" s="38"/>
      <c r="T646" s="38"/>
      <c r="V646" s="38"/>
      <c r="W646" s="39"/>
      <c r="X646" s="38"/>
    </row>
    <row r="647" spans="2:26" x14ac:dyDescent="0.3">
      <c r="X647" s="38"/>
    </row>
    <row r="648" spans="2:26" x14ac:dyDescent="0.3">
      <c r="Q648" s="12" t="s">
        <v>31</v>
      </c>
      <c r="Z648" s="12" t="s">
        <v>31</v>
      </c>
    </row>
    <row r="649" spans="2:26" x14ac:dyDescent="0.3">
      <c r="Q649" s="12" t="s">
        <v>31</v>
      </c>
      <c r="Z649" s="12" t="s">
        <v>31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7677-BDA0-41FB-9C1A-22EBC1E42F2F}">
  <dimension ref="A1:Z649"/>
  <sheetViews>
    <sheetView topLeftCell="I1" zoomScale="85" zoomScaleNormal="85" zoomScalePageLayoutView="90" workbookViewId="0">
      <pane ySplit="1" topLeftCell="A8" activePane="bottomLeft" state="frozen"/>
      <selection pane="bottomLeft" activeCell="N25" sqref="N25"/>
    </sheetView>
  </sheetViews>
  <sheetFormatPr defaultColWidth="8.88671875" defaultRowHeight="14.4" x14ac:dyDescent="0.3"/>
  <cols>
    <col min="1" max="1" width="8.88671875" style="16"/>
    <col min="2" max="2" width="13.33203125" style="18" customWidth="1"/>
    <col min="3" max="3" width="13" style="6" bestFit="1" customWidth="1"/>
    <col min="4" max="4" width="12.5546875" style="42" bestFit="1" customWidth="1"/>
    <col min="5" max="5" width="13.21875" style="14" bestFit="1" customWidth="1"/>
    <col min="6" max="6" width="8.88671875" style="10"/>
    <col min="7" max="7" width="17.33203125" style="14" bestFit="1" customWidth="1"/>
    <col min="8" max="8" width="22.21875" style="14" bestFit="1" customWidth="1"/>
    <col min="9" max="9" width="9.6640625" style="14" customWidth="1"/>
    <col min="10" max="10" width="4.44140625" style="28" customWidth="1"/>
    <col min="11" max="11" width="17.77734375" style="12" customWidth="1"/>
    <col min="12" max="12" width="12.44140625" style="12" bestFit="1" customWidth="1"/>
    <col min="13" max="13" width="13.6640625" style="12" bestFit="1" customWidth="1"/>
    <col min="14" max="15" width="12.44140625" style="12" bestFit="1" customWidth="1"/>
    <col min="16" max="16" width="13.33203125" style="12" bestFit="1" customWidth="1"/>
    <col min="17" max="17" width="11.33203125" style="12" bestFit="1" customWidth="1"/>
    <col min="18" max="18" width="13" style="12" bestFit="1" customWidth="1"/>
    <col min="19" max="19" width="12.44140625" style="12" bestFit="1" customWidth="1"/>
    <col min="20" max="20" width="12.44140625" style="12" customWidth="1"/>
    <col min="21" max="21" width="8.88671875" style="12"/>
    <col min="22" max="22" width="10.44140625" style="12" bestFit="1" customWidth="1"/>
    <col min="23" max="23" width="9.44140625" style="12" bestFit="1" customWidth="1"/>
    <col min="24" max="24" width="11.88671875" style="12" customWidth="1"/>
    <col min="25" max="16384" width="8.88671875" style="12"/>
  </cols>
  <sheetData>
    <row r="1" spans="1:12" s="9" customFormat="1" x14ac:dyDescent="0.3">
      <c r="A1" s="15" t="s">
        <v>0</v>
      </c>
      <c r="B1" s="17" t="s">
        <v>5</v>
      </c>
      <c r="C1" s="5" t="s">
        <v>36</v>
      </c>
      <c r="D1" s="45" t="s">
        <v>51</v>
      </c>
      <c r="E1" s="41" t="s">
        <v>44</v>
      </c>
      <c r="F1" s="8" t="s">
        <v>45</v>
      </c>
      <c r="G1" s="13" t="s">
        <v>43</v>
      </c>
      <c r="H1" s="41" t="s">
        <v>81</v>
      </c>
      <c r="I1" s="41"/>
      <c r="J1" s="27"/>
    </row>
    <row r="2" spans="1:12" x14ac:dyDescent="0.3">
      <c r="A2" s="16">
        <v>0</v>
      </c>
      <c r="B2" s="3">
        <v>45293</v>
      </c>
      <c r="C2" s="40">
        <v>4742.83</v>
      </c>
      <c r="D2" s="19"/>
      <c r="E2">
        <v>3286.69</v>
      </c>
      <c r="F2">
        <v>7.8155000000000001</v>
      </c>
      <c r="G2" s="43">
        <f>E2/F2</f>
        <v>420.53483462350459</v>
      </c>
      <c r="H2"/>
      <c r="I2"/>
      <c r="K2" s="50">
        <f>MIN($B$2:$B$501)</f>
        <v>45293</v>
      </c>
    </row>
    <row r="3" spans="1:12" x14ac:dyDescent="0.3">
      <c r="A3" s="16">
        <v>1</v>
      </c>
      <c r="B3" s="3">
        <v>45294</v>
      </c>
      <c r="C3" s="40">
        <v>4704.8100000000004</v>
      </c>
      <c r="D3" s="46">
        <f>$C3/$C2-1</f>
        <v>-8.0163109367190621E-3</v>
      </c>
      <c r="E3">
        <v>3283.44</v>
      </c>
      <c r="F3">
        <v>7.8068999999999997</v>
      </c>
      <c r="G3" s="43">
        <f t="shared" ref="G3:G66" si="0">E3/F3</f>
        <v>420.58179302924339</v>
      </c>
      <c r="H3">
        <f>$G3/$G2-1</f>
        <v>1.1166353384450822E-4</v>
      </c>
      <c r="I3"/>
      <c r="K3" s="50">
        <f>MAX($B$2:$B$501)</f>
        <v>45777</v>
      </c>
    </row>
    <row r="4" spans="1:12" x14ac:dyDescent="0.3">
      <c r="A4" s="16">
        <v>2</v>
      </c>
      <c r="B4" s="3">
        <v>45295</v>
      </c>
      <c r="C4" s="40">
        <v>4688.68</v>
      </c>
      <c r="D4" s="46">
        <f t="shared" ref="D4:D67" si="1">$C4/$C3-1</f>
        <v>-3.4284062480738342E-3</v>
      </c>
      <c r="E4">
        <v>3312.41</v>
      </c>
      <c r="F4">
        <v>7.8080999999999996</v>
      </c>
      <c r="G4" s="43">
        <f t="shared" si="0"/>
        <v>424.2274048744253</v>
      </c>
      <c r="H4">
        <f t="shared" ref="H4:H67" si="2">$G4/$G3-1</f>
        <v>8.6680210736760355E-3</v>
      </c>
      <c r="I4"/>
    </row>
    <row r="5" spans="1:12" x14ac:dyDescent="0.3">
      <c r="A5" s="16">
        <v>3</v>
      </c>
      <c r="B5" s="3">
        <v>45296</v>
      </c>
      <c r="C5" s="40">
        <v>4697.24</v>
      </c>
      <c r="D5" s="46">
        <f t="shared" si="1"/>
        <v>1.8256737503945519E-3</v>
      </c>
      <c r="E5">
        <v>3313.26</v>
      </c>
      <c r="F5">
        <v>7.8112000000000004</v>
      </c>
      <c r="G5" s="43">
        <f t="shared" si="0"/>
        <v>424.16786153215895</v>
      </c>
      <c r="H5">
        <f t="shared" si="2"/>
        <v>-1.4035713294846541E-4</v>
      </c>
      <c r="I5"/>
      <c r="K5" s="12" t="str">
        <f>"Y"&amp;" = "&amp; $H$1</f>
        <v>Y = USD Hang Seng CCI HPR</v>
      </c>
    </row>
    <row r="6" spans="1:12" x14ac:dyDescent="0.3">
      <c r="A6" s="16">
        <v>4</v>
      </c>
      <c r="B6" s="3">
        <v>45299</v>
      </c>
      <c r="C6" s="40">
        <v>4763.54</v>
      </c>
      <c r="D6" s="46">
        <f t="shared" si="1"/>
        <v>1.4114671594383177E-2</v>
      </c>
      <c r="E6">
        <v>3246.31</v>
      </c>
      <c r="F6">
        <v>7.8064999999999998</v>
      </c>
      <c r="G6" s="43">
        <f t="shared" si="0"/>
        <v>415.84705053481076</v>
      </c>
      <c r="H6">
        <f t="shared" si="2"/>
        <v>-1.9616787955815784E-2</v>
      </c>
      <c r="I6"/>
      <c r="K6" s="12" t="str">
        <f>"X"&amp;" = "&amp; $D$1</f>
        <v>X = S&amp;P500 HPR</v>
      </c>
    </row>
    <row r="7" spans="1:12" x14ac:dyDescent="0.3">
      <c r="A7" s="16">
        <v>5</v>
      </c>
      <c r="B7" s="3">
        <v>45300</v>
      </c>
      <c r="C7" s="40">
        <v>4756.5</v>
      </c>
      <c r="D7" s="46">
        <f t="shared" si="1"/>
        <v>-1.4778924917183689E-3</v>
      </c>
      <c r="E7">
        <v>3243.85</v>
      </c>
      <c r="F7">
        <v>7.8156999999999996</v>
      </c>
      <c r="G7" s="43">
        <f t="shared" si="0"/>
        <v>415.0427984697468</v>
      </c>
      <c r="H7">
        <f t="shared" si="2"/>
        <v>-1.9340093046942286E-3</v>
      </c>
      <c r="I7"/>
    </row>
    <row r="8" spans="1:12" x14ac:dyDescent="0.3">
      <c r="A8" s="16">
        <v>6</v>
      </c>
      <c r="B8" s="3">
        <v>45301</v>
      </c>
      <c r="C8" s="40">
        <v>4783.45</v>
      </c>
      <c r="D8" s="46">
        <f t="shared" si="1"/>
        <v>5.6659308314936929E-3</v>
      </c>
      <c r="E8">
        <v>3235.89</v>
      </c>
      <c r="F8">
        <v>7.8190999999999997</v>
      </c>
      <c r="G8" s="43">
        <f t="shared" si="0"/>
        <v>413.84430433170058</v>
      </c>
      <c r="H8">
        <f t="shared" si="2"/>
        <v>-2.8876398830796068E-3</v>
      </c>
      <c r="I8"/>
      <c r="K8" s="12" t="s">
        <v>52</v>
      </c>
    </row>
    <row r="9" spans="1:12" ht="15" thickBot="1" x14ac:dyDescent="0.35">
      <c r="A9" s="16">
        <v>7</v>
      </c>
      <c r="B9" s="3">
        <v>45302</v>
      </c>
      <c r="C9" s="40">
        <v>4780.24</v>
      </c>
      <c r="D9" s="46">
        <f t="shared" si="1"/>
        <v>-6.7106377196379796E-4</v>
      </c>
      <c r="E9">
        <v>3247.91</v>
      </c>
      <c r="F9">
        <v>7.8174999999999999</v>
      </c>
      <c r="G9" s="43">
        <f t="shared" si="0"/>
        <v>415.46658138791173</v>
      </c>
      <c r="H9">
        <f t="shared" si="2"/>
        <v>3.920017840600476E-3</v>
      </c>
      <c r="I9"/>
    </row>
    <row r="10" spans="1:12" x14ac:dyDescent="0.3">
      <c r="A10" s="16">
        <v>8</v>
      </c>
      <c r="B10" s="3">
        <v>45303</v>
      </c>
      <c r="C10" s="40">
        <v>4783.83</v>
      </c>
      <c r="D10" s="46">
        <f t="shared" si="1"/>
        <v>7.5100831757413111E-4</v>
      </c>
      <c r="E10">
        <v>3261.45</v>
      </c>
      <c r="F10">
        <v>7.8211000000000004</v>
      </c>
      <c r="G10" s="43">
        <f t="shared" si="0"/>
        <v>417.00655917965497</v>
      </c>
      <c r="H10">
        <f t="shared" si="2"/>
        <v>3.7066225317059498E-3</v>
      </c>
      <c r="I10"/>
      <c r="K10" s="47" t="s">
        <v>53</v>
      </c>
      <c r="L10" s="47"/>
    </row>
    <row r="11" spans="1:12" x14ac:dyDescent="0.3">
      <c r="A11" s="16">
        <v>9</v>
      </c>
      <c r="B11" s="3">
        <v>45307</v>
      </c>
      <c r="C11" s="40">
        <v>4765.9799999999996</v>
      </c>
      <c r="D11" s="46">
        <f t="shared" si="1"/>
        <v>-3.7313198838587747E-3</v>
      </c>
      <c r="E11">
        <v>3211.88</v>
      </c>
      <c r="F11">
        <v>7.8259999999999996</v>
      </c>
      <c r="G11" s="43">
        <f t="shared" si="0"/>
        <v>410.41144901610022</v>
      </c>
      <c r="H11">
        <f t="shared" si="2"/>
        <v>-1.5815363136083005E-2</v>
      </c>
      <c r="I11"/>
      <c r="K11" s="12" t="s">
        <v>54</v>
      </c>
      <c r="L11" s="12">
        <v>0.21143283560941958</v>
      </c>
    </row>
    <row r="12" spans="1:12" x14ac:dyDescent="0.3">
      <c r="A12" s="16">
        <v>10</v>
      </c>
      <c r="B12" s="3">
        <v>45308</v>
      </c>
      <c r="C12" s="40">
        <v>4739.21</v>
      </c>
      <c r="D12" s="46">
        <f t="shared" si="1"/>
        <v>-5.6168930629166836E-3</v>
      </c>
      <c r="E12">
        <v>3088.66</v>
      </c>
      <c r="F12">
        <v>7.8209999999999997</v>
      </c>
      <c r="G12" s="43">
        <f t="shared" si="0"/>
        <v>394.91880833652988</v>
      </c>
      <c r="H12">
        <f t="shared" si="2"/>
        <v>-3.7749046028593081E-2</v>
      </c>
      <c r="I12"/>
      <c r="K12" s="12" t="s">
        <v>55</v>
      </c>
      <c r="L12" s="12">
        <v>4.4703843973839842E-2</v>
      </c>
    </row>
    <row r="13" spans="1:12" x14ac:dyDescent="0.3">
      <c r="A13" s="16">
        <v>11</v>
      </c>
      <c r="B13" s="3">
        <v>45309</v>
      </c>
      <c r="C13" s="40">
        <v>4780.9399999999996</v>
      </c>
      <c r="D13" s="46">
        <f t="shared" si="1"/>
        <v>8.8052650125229892E-3</v>
      </c>
      <c r="E13">
        <v>3114.39</v>
      </c>
      <c r="F13">
        <v>7.8208000000000002</v>
      </c>
      <c r="G13" s="43">
        <f t="shared" si="0"/>
        <v>398.21885229132567</v>
      </c>
      <c r="H13">
        <f t="shared" si="2"/>
        <v>8.3562592743966491E-3</v>
      </c>
      <c r="I13"/>
      <c r="K13" s="12" t="s">
        <v>56</v>
      </c>
      <c r="L13" s="12">
        <v>4.1651779577590128E-2</v>
      </c>
    </row>
    <row r="14" spans="1:12" x14ac:dyDescent="0.3">
      <c r="A14" s="16">
        <v>12</v>
      </c>
      <c r="B14" s="3">
        <v>45310</v>
      </c>
      <c r="C14" s="40">
        <v>4839.8100000000004</v>
      </c>
      <c r="D14" s="46">
        <f t="shared" si="1"/>
        <v>1.2313478102632613E-2</v>
      </c>
      <c r="E14">
        <v>3091.47</v>
      </c>
      <c r="F14">
        <v>7.8174999999999999</v>
      </c>
      <c r="G14" s="43">
        <f t="shared" si="0"/>
        <v>395.45506875599614</v>
      </c>
      <c r="H14">
        <f t="shared" si="2"/>
        <v>-6.9403633691044186E-3</v>
      </c>
      <c r="I14"/>
      <c r="K14" s="12" t="s">
        <v>57</v>
      </c>
      <c r="L14" s="12">
        <v>1.6325723881355558E-2</v>
      </c>
    </row>
    <row r="15" spans="1:12" ht="15" thickBot="1" x14ac:dyDescent="0.35">
      <c r="A15" s="16">
        <v>13</v>
      </c>
      <c r="B15" s="3">
        <v>45313</v>
      </c>
      <c r="C15" s="40">
        <v>4850.43</v>
      </c>
      <c r="D15" s="46">
        <f t="shared" si="1"/>
        <v>2.194301015948863E-3</v>
      </c>
      <c r="E15">
        <v>2968.48</v>
      </c>
      <c r="F15">
        <v>7.8175999999999997</v>
      </c>
      <c r="G15" s="43">
        <f t="shared" si="0"/>
        <v>379.71756037658616</v>
      </c>
      <c r="H15">
        <f t="shared" si="2"/>
        <v>-3.9795945539189304E-2</v>
      </c>
      <c r="I15"/>
      <c r="K15" s="48" t="s">
        <v>58</v>
      </c>
      <c r="L15" s="48">
        <v>315</v>
      </c>
    </row>
    <row r="16" spans="1:12" x14ac:dyDescent="0.3">
      <c r="A16" s="16">
        <v>14</v>
      </c>
      <c r="B16" s="3">
        <v>45314</v>
      </c>
      <c r="C16" s="40">
        <v>4864.6000000000004</v>
      </c>
      <c r="D16" s="46">
        <f t="shared" si="1"/>
        <v>2.9213904746590025E-3</v>
      </c>
      <c r="E16">
        <v>3033.72</v>
      </c>
      <c r="F16">
        <v>7.8219000000000003</v>
      </c>
      <c r="G16" s="43">
        <f t="shared" si="0"/>
        <v>387.84949948222294</v>
      </c>
      <c r="H16">
        <f t="shared" si="2"/>
        <v>2.1415757273832492E-2</v>
      </c>
      <c r="I16"/>
    </row>
    <row r="17" spans="1:19" ht="15" thickBot="1" x14ac:dyDescent="0.35">
      <c r="A17" s="16">
        <v>15</v>
      </c>
      <c r="B17" s="3">
        <v>45315</v>
      </c>
      <c r="C17" s="40">
        <v>4868.55</v>
      </c>
      <c r="D17" s="46">
        <f t="shared" si="1"/>
        <v>8.1198865271558951E-4</v>
      </c>
      <c r="E17">
        <v>3158.17</v>
      </c>
      <c r="F17">
        <v>7.8177000000000003</v>
      </c>
      <c r="G17" s="43">
        <f t="shared" si="0"/>
        <v>403.97687299333563</v>
      </c>
      <c r="H17">
        <f t="shared" si="2"/>
        <v>4.1581524618808707E-2</v>
      </c>
      <c r="I17"/>
      <c r="K17" s="12" t="s">
        <v>59</v>
      </c>
    </row>
    <row r="18" spans="1:19" x14ac:dyDescent="0.3">
      <c r="A18" s="16">
        <v>16</v>
      </c>
      <c r="B18" s="3">
        <v>45316</v>
      </c>
      <c r="C18" s="40">
        <v>4894.16</v>
      </c>
      <c r="D18" s="46">
        <f t="shared" si="1"/>
        <v>5.2602931057501578E-3</v>
      </c>
      <c r="E18">
        <v>3273.7</v>
      </c>
      <c r="F18">
        <v>7.8175999999999997</v>
      </c>
      <c r="G18" s="43">
        <f t="shared" si="0"/>
        <v>418.76023331968889</v>
      </c>
      <c r="H18">
        <f t="shared" si="2"/>
        <v>3.6594570913957014E-2</v>
      </c>
      <c r="I18"/>
      <c r="K18" s="49"/>
      <c r="L18" s="49" t="s">
        <v>64</v>
      </c>
      <c r="M18" s="49" t="s">
        <v>65</v>
      </c>
      <c r="N18" s="49" t="s">
        <v>66</v>
      </c>
      <c r="O18" s="49" t="s">
        <v>67</v>
      </c>
      <c r="P18" s="49" t="s">
        <v>68</v>
      </c>
    </row>
    <row r="19" spans="1:19" x14ac:dyDescent="0.3">
      <c r="A19" s="16">
        <v>17</v>
      </c>
      <c r="B19" s="3">
        <v>45317</v>
      </c>
      <c r="C19" s="40">
        <v>4890.97</v>
      </c>
      <c r="D19" s="46">
        <f t="shared" si="1"/>
        <v>-6.517972440622799E-4</v>
      </c>
      <c r="E19">
        <v>3249.43</v>
      </c>
      <c r="F19">
        <v>7.8144</v>
      </c>
      <c r="G19" s="43">
        <f t="shared" si="0"/>
        <v>415.82591113841113</v>
      </c>
      <c r="H19">
        <f t="shared" si="2"/>
        <v>-7.0071653127522504E-3</v>
      </c>
      <c r="I19"/>
      <c r="K19" s="12" t="s">
        <v>60</v>
      </c>
      <c r="L19" s="12">
        <v>1</v>
      </c>
      <c r="M19" s="12">
        <v>3.9038764972755408E-3</v>
      </c>
      <c r="N19" s="12">
        <v>3.9038764972755408E-3</v>
      </c>
      <c r="O19" s="12">
        <v>14.647084127310881</v>
      </c>
      <c r="P19" s="12">
        <v>1.5653356809193123E-4</v>
      </c>
    </row>
    <row r="20" spans="1:19" x14ac:dyDescent="0.3">
      <c r="A20" s="16">
        <v>18</v>
      </c>
      <c r="B20" s="3">
        <v>45320</v>
      </c>
      <c r="C20" s="40">
        <v>4927.93</v>
      </c>
      <c r="D20" s="46">
        <f t="shared" si="1"/>
        <v>7.5567832147815928E-3</v>
      </c>
      <c r="E20">
        <v>3297.74</v>
      </c>
      <c r="F20">
        <v>7.8136000000000001</v>
      </c>
      <c r="G20" s="43">
        <f t="shared" si="0"/>
        <v>422.05129517763896</v>
      </c>
      <c r="H20">
        <f t="shared" si="2"/>
        <v>1.4971130640186736E-2</v>
      </c>
      <c r="I20"/>
      <c r="K20" s="12" t="s">
        <v>61</v>
      </c>
      <c r="L20" s="12">
        <v>313</v>
      </c>
      <c r="M20" s="12">
        <v>8.342365845833237E-2</v>
      </c>
      <c r="N20" s="12">
        <v>2.6652926025026318E-4</v>
      </c>
    </row>
    <row r="21" spans="1:19" ht="15" thickBot="1" x14ac:dyDescent="0.35">
      <c r="A21" s="16">
        <v>19</v>
      </c>
      <c r="B21" s="3">
        <v>45321</v>
      </c>
      <c r="C21" s="40">
        <v>4924.97</v>
      </c>
      <c r="D21" s="46">
        <f t="shared" si="1"/>
        <v>-6.0065788272156695E-4</v>
      </c>
      <c r="E21">
        <v>3219.88</v>
      </c>
      <c r="F21">
        <v>7.8177000000000003</v>
      </c>
      <c r="G21" s="43">
        <f t="shared" si="0"/>
        <v>411.87049899586833</v>
      </c>
      <c r="H21">
        <f t="shared" si="2"/>
        <v>-2.4122177323222305E-2</v>
      </c>
      <c r="I21"/>
      <c r="K21" s="48" t="s">
        <v>62</v>
      </c>
      <c r="L21" s="48">
        <v>314</v>
      </c>
      <c r="M21" s="48">
        <v>8.7327534955607911E-2</v>
      </c>
      <c r="N21" s="48"/>
      <c r="O21" s="48"/>
      <c r="P21" s="48"/>
    </row>
    <row r="22" spans="1:19" ht="15" thickBot="1" x14ac:dyDescent="0.35">
      <c r="A22" s="16">
        <v>20</v>
      </c>
      <c r="B22" s="3">
        <v>45322</v>
      </c>
      <c r="C22" s="40">
        <v>4845.6499999999996</v>
      </c>
      <c r="D22" s="46">
        <f t="shared" si="1"/>
        <v>-1.6105681862021659E-2</v>
      </c>
      <c r="E22">
        <v>3193.67</v>
      </c>
      <c r="F22">
        <v>7.8179999999999996</v>
      </c>
      <c r="G22" s="43">
        <f t="shared" si="0"/>
        <v>408.50217446917372</v>
      </c>
      <c r="H22">
        <f t="shared" si="2"/>
        <v>-8.1781155360883817E-3</v>
      </c>
      <c r="I22"/>
    </row>
    <row r="23" spans="1:19" x14ac:dyDescent="0.3">
      <c r="A23" s="16">
        <v>21</v>
      </c>
      <c r="B23" s="3">
        <v>45323</v>
      </c>
      <c r="C23" s="40">
        <v>4906.1899999999996</v>
      </c>
      <c r="D23" s="46">
        <f t="shared" si="1"/>
        <v>1.2493679898465615E-2</v>
      </c>
      <c r="E23">
        <v>3181.79</v>
      </c>
      <c r="F23">
        <v>7.8196000000000003</v>
      </c>
      <c r="G23" s="43">
        <f t="shared" si="0"/>
        <v>406.89932988899687</v>
      </c>
      <c r="H23">
        <f t="shared" si="2"/>
        <v>-3.9237112562733323E-3</v>
      </c>
      <c r="I23"/>
      <c r="K23" s="49"/>
      <c r="L23" s="49" t="s">
        <v>69</v>
      </c>
      <c r="M23" s="49" t="s">
        <v>57</v>
      </c>
      <c r="N23" s="49" t="s">
        <v>70</v>
      </c>
      <c r="O23" s="49" t="s">
        <v>71</v>
      </c>
      <c r="P23" s="49" t="s">
        <v>72</v>
      </c>
      <c r="Q23" s="49" t="s">
        <v>73</v>
      </c>
      <c r="R23" s="49" t="s">
        <v>74</v>
      </c>
      <c r="S23" s="49" t="s">
        <v>75</v>
      </c>
    </row>
    <row r="24" spans="1:19" x14ac:dyDescent="0.3">
      <c r="A24" s="16">
        <v>22</v>
      </c>
      <c r="B24" s="3">
        <v>45324</v>
      </c>
      <c r="C24" s="40">
        <v>4958.6099999999997</v>
      </c>
      <c r="D24" s="46">
        <f t="shared" si="1"/>
        <v>1.0684461873673889E-2</v>
      </c>
      <c r="E24">
        <v>3188.69</v>
      </c>
      <c r="F24">
        <v>7.8201000000000001</v>
      </c>
      <c r="G24" s="43">
        <f t="shared" si="0"/>
        <v>407.7556552985256</v>
      </c>
      <c r="H24">
        <f t="shared" si="2"/>
        <v>2.1045141798643474E-3</v>
      </c>
      <c r="I24"/>
      <c r="K24" s="12" t="s">
        <v>63</v>
      </c>
      <c r="L24" s="12">
        <v>4.2171479772068205E-4</v>
      </c>
      <c r="M24" s="12">
        <v>9.2104053243332316E-4</v>
      </c>
      <c r="N24" s="12">
        <v>0.45786779503236602</v>
      </c>
      <c r="O24" s="12">
        <v>0.64736511442893918</v>
      </c>
      <c r="P24" s="12">
        <v>-1.3904987827074397E-3</v>
      </c>
      <c r="Q24" s="12">
        <v>2.2339283781488035E-3</v>
      </c>
      <c r="R24" s="12">
        <v>-1.3904987827074397E-3</v>
      </c>
      <c r="S24" s="12">
        <v>2.2339283781488035E-3</v>
      </c>
    </row>
    <row r="25" spans="1:19" ht="15" thickBot="1" x14ac:dyDescent="0.35">
      <c r="A25" s="16">
        <v>23</v>
      </c>
      <c r="B25" s="3">
        <v>45327</v>
      </c>
      <c r="C25" s="40">
        <v>4942.8100000000004</v>
      </c>
      <c r="D25" s="46">
        <f t="shared" si="1"/>
        <v>-3.18637682737688E-3</v>
      </c>
      <c r="E25">
        <v>3164.37</v>
      </c>
      <c r="F25">
        <v>7.8215000000000003</v>
      </c>
      <c r="G25" s="43">
        <f t="shared" si="0"/>
        <v>404.57329156811352</v>
      </c>
      <c r="H25">
        <f t="shared" si="2"/>
        <v>-7.8045851456853832E-3</v>
      </c>
      <c r="I25"/>
      <c r="K25" s="48" t="s">
        <v>76</v>
      </c>
      <c r="L25" s="48">
        <v>0.31262968164371563</v>
      </c>
      <c r="M25" s="48">
        <v>8.168731481332267E-2</v>
      </c>
      <c r="N25" s="48">
        <v>3.8271509151470817</v>
      </c>
      <c r="O25" s="48">
        <v>1.565335680919131E-4</v>
      </c>
      <c r="P25" s="48">
        <v>0.15190400667009302</v>
      </c>
      <c r="Q25" s="48">
        <v>0.47335535661733824</v>
      </c>
      <c r="R25" s="48">
        <v>0.15190400667009302</v>
      </c>
      <c r="S25" s="48">
        <v>0.47335535661733824</v>
      </c>
    </row>
    <row r="26" spans="1:19" x14ac:dyDescent="0.3">
      <c r="A26" s="16">
        <v>24</v>
      </c>
      <c r="B26" s="3">
        <v>45328</v>
      </c>
      <c r="C26" s="40">
        <v>4954.2299999999996</v>
      </c>
      <c r="D26" s="46">
        <f t="shared" si="1"/>
        <v>2.310426660138587E-3</v>
      </c>
      <c r="E26">
        <v>3271.55</v>
      </c>
      <c r="F26">
        <v>7.8224</v>
      </c>
      <c r="G26" s="43">
        <f t="shared" si="0"/>
        <v>418.22842094497855</v>
      </c>
      <c r="H26">
        <f t="shared" si="2"/>
        <v>3.3751929901101985E-2</v>
      </c>
      <c r="I26"/>
    </row>
    <row r="27" spans="1:19" x14ac:dyDescent="0.3">
      <c r="A27" s="16">
        <v>25</v>
      </c>
      <c r="B27" s="3">
        <v>45329</v>
      </c>
      <c r="C27" s="40">
        <v>4995.0600000000004</v>
      </c>
      <c r="D27" s="46">
        <f t="shared" si="1"/>
        <v>8.2414421615468747E-3</v>
      </c>
      <c r="E27">
        <v>3248.14</v>
      </c>
      <c r="F27">
        <v>7.8189000000000002</v>
      </c>
      <c r="G27" s="43">
        <f t="shared" si="0"/>
        <v>415.42160661985696</v>
      </c>
      <c r="H27">
        <f t="shared" si="2"/>
        <v>-6.7111993938137049E-3</v>
      </c>
      <c r="I27"/>
    </row>
    <row r="28" spans="1:19" x14ac:dyDescent="0.3">
      <c r="A28" s="16">
        <v>26</v>
      </c>
      <c r="B28" s="3">
        <v>45330</v>
      </c>
      <c r="C28" s="40">
        <v>4997.91</v>
      </c>
      <c r="D28" s="46">
        <f t="shared" si="1"/>
        <v>5.7056371695218822E-4</v>
      </c>
      <c r="E28">
        <v>3245.87</v>
      </c>
      <c r="F28">
        <v>7.8209999999999997</v>
      </c>
      <c r="G28" s="43">
        <f t="shared" si="0"/>
        <v>415.01981843753998</v>
      </c>
      <c r="H28">
        <f t="shared" si="2"/>
        <v>-9.6718171591070323E-4</v>
      </c>
      <c r="I28"/>
      <c r="K28" s="52" t="s">
        <v>84</v>
      </c>
      <c r="L28" s="51">
        <f>L25</f>
        <v>0.31262968164371563</v>
      </c>
    </row>
    <row r="29" spans="1:19" x14ac:dyDescent="0.3">
      <c r="A29" s="16">
        <v>27</v>
      </c>
      <c r="B29" s="3">
        <v>45331</v>
      </c>
      <c r="C29" s="40">
        <v>5026.6099999999997</v>
      </c>
      <c r="D29" s="46">
        <f t="shared" si="1"/>
        <v>5.7424003233350618E-3</v>
      </c>
      <c r="E29">
        <v>3196.95</v>
      </c>
      <c r="F29">
        <v>7.8197000000000001</v>
      </c>
      <c r="G29" s="43">
        <f t="shared" si="0"/>
        <v>408.832819673389</v>
      </c>
      <c r="H29">
        <f t="shared" si="2"/>
        <v>-1.490771883483466E-2</v>
      </c>
      <c r="I29"/>
    </row>
    <row r="30" spans="1:19" x14ac:dyDescent="0.3">
      <c r="A30" s="16">
        <v>28</v>
      </c>
      <c r="B30" s="3">
        <v>45336</v>
      </c>
      <c r="C30" s="40">
        <v>5000.62</v>
      </c>
      <c r="D30" s="46">
        <f t="shared" si="1"/>
        <v>-5.1704826911178614E-3</v>
      </c>
      <c r="E30">
        <v>3189.56</v>
      </c>
      <c r="F30">
        <v>7.8182</v>
      </c>
      <c r="G30" s="43">
        <f t="shared" si="0"/>
        <v>407.96602798598144</v>
      </c>
      <c r="H30">
        <f t="shared" si="2"/>
        <v>-2.1201617035051523E-3</v>
      </c>
      <c r="I30"/>
    </row>
    <row r="31" spans="1:19" x14ac:dyDescent="0.3">
      <c r="A31" s="16">
        <v>29</v>
      </c>
      <c r="B31" s="3">
        <v>45337</v>
      </c>
      <c r="C31" s="40">
        <v>5029.7299999999996</v>
      </c>
      <c r="D31" s="46">
        <f t="shared" si="1"/>
        <v>5.8212781615079034E-3</v>
      </c>
      <c r="E31">
        <v>3181.88</v>
      </c>
      <c r="F31">
        <v>7.8193000000000001</v>
      </c>
      <c r="G31" s="43">
        <f t="shared" si="0"/>
        <v>406.92645121686087</v>
      </c>
      <c r="H31">
        <f t="shared" si="2"/>
        <v>-2.5481944520053812E-3</v>
      </c>
      <c r="I31"/>
    </row>
    <row r="32" spans="1:19" x14ac:dyDescent="0.3">
      <c r="A32" s="16">
        <v>30</v>
      </c>
      <c r="B32" s="3">
        <v>45338</v>
      </c>
      <c r="C32" s="40">
        <v>5005.57</v>
      </c>
      <c r="D32" s="46">
        <f t="shared" si="1"/>
        <v>-4.8034387531735723E-3</v>
      </c>
      <c r="E32">
        <v>3284.63</v>
      </c>
      <c r="F32">
        <v>7.8223000000000003</v>
      </c>
      <c r="G32" s="43">
        <f t="shared" si="0"/>
        <v>419.90591002646278</v>
      </c>
      <c r="H32">
        <f t="shared" si="2"/>
        <v>3.189632615620952E-2</v>
      </c>
      <c r="I32"/>
    </row>
    <row r="33" spans="1:9" x14ac:dyDescent="0.3">
      <c r="A33" s="16">
        <v>31</v>
      </c>
      <c r="B33" s="3">
        <v>45342</v>
      </c>
      <c r="C33" s="40">
        <v>4975.51</v>
      </c>
      <c r="D33" s="46">
        <f t="shared" si="1"/>
        <v>-6.0053100845657292E-3</v>
      </c>
      <c r="E33">
        <v>3348.9</v>
      </c>
      <c r="F33">
        <v>7.8207000000000004</v>
      </c>
      <c r="G33" s="43">
        <f t="shared" si="0"/>
        <v>428.20975104530282</v>
      </c>
      <c r="H33">
        <f t="shared" si="2"/>
        <v>1.9775480222025799E-2</v>
      </c>
      <c r="I33"/>
    </row>
    <row r="34" spans="1:9" x14ac:dyDescent="0.3">
      <c r="A34" s="16">
        <v>32</v>
      </c>
      <c r="B34" s="3">
        <v>45343</v>
      </c>
      <c r="C34" s="40">
        <v>4981.8</v>
      </c>
      <c r="D34" s="46">
        <f t="shared" si="1"/>
        <v>1.2641920124771833E-3</v>
      </c>
      <c r="E34">
        <v>3396.66</v>
      </c>
      <c r="F34">
        <v>7.8209</v>
      </c>
      <c r="G34" s="43">
        <f t="shared" si="0"/>
        <v>434.30551471058317</v>
      </c>
      <c r="H34">
        <f t="shared" si="2"/>
        <v>1.4235462061291226E-2</v>
      </c>
      <c r="I34"/>
    </row>
    <row r="35" spans="1:9" x14ac:dyDescent="0.3">
      <c r="A35" s="16">
        <v>33</v>
      </c>
      <c r="B35" s="3">
        <v>45344</v>
      </c>
      <c r="C35" s="40">
        <v>5087.03</v>
      </c>
      <c r="D35" s="46">
        <f t="shared" si="1"/>
        <v>2.1122887309807714E-2</v>
      </c>
      <c r="E35">
        <v>3500.64</v>
      </c>
      <c r="F35">
        <v>7.8221999999999996</v>
      </c>
      <c r="G35" s="43">
        <f t="shared" si="0"/>
        <v>447.52627138145277</v>
      </c>
      <c r="H35">
        <f t="shared" si="2"/>
        <v>3.0441143902305123E-2</v>
      </c>
      <c r="I35"/>
    </row>
    <row r="36" spans="1:9" x14ac:dyDescent="0.3">
      <c r="A36" s="16">
        <v>34</v>
      </c>
      <c r="B36" s="3">
        <v>45345</v>
      </c>
      <c r="C36" s="40">
        <v>5088.8</v>
      </c>
      <c r="D36" s="46">
        <f t="shared" si="1"/>
        <v>3.4794369209545373E-4</v>
      </c>
      <c r="E36">
        <v>3514.97</v>
      </c>
      <c r="F36">
        <v>7.8238000000000003</v>
      </c>
      <c r="G36" s="43">
        <f t="shared" si="0"/>
        <v>449.26634116414016</v>
      </c>
      <c r="H36">
        <f t="shared" si="2"/>
        <v>3.8881958310872378E-3</v>
      </c>
      <c r="I36"/>
    </row>
    <row r="37" spans="1:9" x14ac:dyDescent="0.3">
      <c r="A37" s="16">
        <v>35</v>
      </c>
      <c r="B37" s="3">
        <v>45348</v>
      </c>
      <c r="C37" s="40">
        <v>5069.53</v>
      </c>
      <c r="D37" s="46">
        <f t="shared" si="1"/>
        <v>-3.7867473667663187E-3</v>
      </c>
      <c r="E37">
        <v>3497.92</v>
      </c>
      <c r="F37">
        <v>7.8238000000000003</v>
      </c>
      <c r="G37" s="43">
        <f t="shared" si="0"/>
        <v>447.08709322835449</v>
      </c>
      <c r="H37">
        <f t="shared" si="2"/>
        <v>-4.8506815136402093E-3</v>
      </c>
      <c r="I37"/>
    </row>
    <row r="38" spans="1:9" x14ac:dyDescent="0.3">
      <c r="A38" s="16">
        <v>36</v>
      </c>
      <c r="B38" s="3">
        <v>45349</v>
      </c>
      <c r="C38" s="40">
        <v>5078.18</v>
      </c>
      <c r="D38" s="46">
        <f t="shared" si="1"/>
        <v>1.7062725735916828E-3</v>
      </c>
      <c r="E38">
        <v>3481.74</v>
      </c>
      <c r="F38">
        <v>7.8240999999999996</v>
      </c>
      <c r="G38" s="43">
        <f t="shared" si="0"/>
        <v>445.00198105852428</v>
      </c>
      <c r="H38">
        <f t="shared" si="2"/>
        <v>-4.6637717827502367E-3</v>
      </c>
      <c r="I38"/>
    </row>
    <row r="39" spans="1:9" x14ac:dyDescent="0.3">
      <c r="A39" s="16">
        <v>37</v>
      </c>
      <c r="B39" s="3">
        <v>45350</v>
      </c>
      <c r="C39" s="40">
        <v>5069.76</v>
      </c>
      <c r="D39" s="46">
        <f t="shared" si="1"/>
        <v>-1.6580743494716277E-3</v>
      </c>
      <c r="E39">
        <v>3426.61</v>
      </c>
      <c r="F39">
        <v>7.8278999999999996</v>
      </c>
      <c r="G39" s="43">
        <f t="shared" si="0"/>
        <v>437.74320060297146</v>
      </c>
      <c r="H39">
        <f t="shared" si="2"/>
        <v>-1.6311793575135125E-2</v>
      </c>
      <c r="I39"/>
    </row>
    <row r="40" spans="1:9" x14ac:dyDescent="0.3">
      <c r="A40" s="16">
        <v>38</v>
      </c>
      <c r="B40" s="3">
        <v>45351</v>
      </c>
      <c r="C40" s="40">
        <v>5096.2700000000004</v>
      </c>
      <c r="D40" s="46">
        <f t="shared" si="1"/>
        <v>5.229044372909275E-3</v>
      </c>
      <c r="E40">
        <v>3397.89</v>
      </c>
      <c r="F40">
        <v>7.8288000000000002</v>
      </c>
      <c r="G40" s="43">
        <f t="shared" si="0"/>
        <v>434.02437155119554</v>
      </c>
      <c r="H40">
        <f t="shared" si="2"/>
        <v>-8.4954581742295865E-3</v>
      </c>
      <c r="I40"/>
    </row>
    <row r="41" spans="1:9" x14ac:dyDescent="0.3">
      <c r="A41" s="16">
        <v>39</v>
      </c>
      <c r="B41" s="3">
        <v>45352</v>
      </c>
      <c r="C41" s="40">
        <v>5137.08</v>
      </c>
      <c r="D41" s="46">
        <f t="shared" si="1"/>
        <v>8.0078174821975878E-3</v>
      </c>
      <c r="E41">
        <v>3393.22</v>
      </c>
      <c r="F41">
        <v>7.8285</v>
      </c>
      <c r="G41" s="43">
        <f t="shared" si="0"/>
        <v>433.44446573417639</v>
      </c>
      <c r="H41">
        <f t="shared" si="2"/>
        <v>-1.3361134881586523E-3</v>
      </c>
      <c r="I41"/>
    </row>
    <row r="42" spans="1:9" x14ac:dyDescent="0.3">
      <c r="A42" s="16">
        <v>40</v>
      </c>
      <c r="B42" s="3">
        <v>45355</v>
      </c>
      <c r="C42" s="40">
        <v>5130.95</v>
      </c>
      <c r="D42" s="46">
        <f t="shared" si="1"/>
        <v>-1.1932849011501157E-3</v>
      </c>
      <c r="E42">
        <v>3378.68</v>
      </c>
      <c r="F42">
        <v>7.8247</v>
      </c>
      <c r="G42" s="43">
        <f t="shared" si="0"/>
        <v>431.79674620113229</v>
      </c>
      <c r="H42">
        <f t="shared" si="2"/>
        <v>-3.8014547728811854E-3</v>
      </c>
      <c r="I42"/>
    </row>
    <row r="43" spans="1:9" x14ac:dyDescent="0.3">
      <c r="A43" s="16">
        <v>41</v>
      </c>
      <c r="B43" s="3">
        <v>45356</v>
      </c>
      <c r="C43" s="40">
        <v>5078.6499999999996</v>
      </c>
      <c r="D43" s="46">
        <f t="shared" si="1"/>
        <v>-1.0193044173106403E-2</v>
      </c>
      <c r="E43">
        <v>3334.93</v>
      </c>
      <c r="F43">
        <v>7.8239999999999998</v>
      </c>
      <c r="G43" s="43">
        <f t="shared" si="0"/>
        <v>426.24360940695294</v>
      </c>
      <c r="H43">
        <f t="shared" si="2"/>
        <v>-1.2860534135643253E-2</v>
      </c>
      <c r="I43"/>
    </row>
    <row r="44" spans="1:9" x14ac:dyDescent="0.3">
      <c r="A44" s="16">
        <v>42</v>
      </c>
      <c r="B44" s="3">
        <v>45357</v>
      </c>
      <c r="C44" s="40">
        <v>5104.76</v>
      </c>
      <c r="D44" s="46">
        <f t="shared" si="1"/>
        <v>5.1411300247115044E-3</v>
      </c>
      <c r="E44">
        <v>3390.73</v>
      </c>
      <c r="F44">
        <v>7.8251999999999997</v>
      </c>
      <c r="G44" s="43">
        <f t="shared" si="0"/>
        <v>433.3090528037622</v>
      </c>
      <c r="H44">
        <f t="shared" si="2"/>
        <v>1.6576068804033506E-2</v>
      </c>
      <c r="I44"/>
    </row>
    <row r="45" spans="1:9" x14ac:dyDescent="0.3">
      <c r="A45" s="16">
        <v>43</v>
      </c>
      <c r="B45" s="3">
        <v>45358</v>
      </c>
      <c r="C45" s="40">
        <v>5157.3599999999997</v>
      </c>
      <c r="D45" s="46">
        <f t="shared" si="1"/>
        <v>1.0304108322428451E-2</v>
      </c>
      <c r="E45">
        <v>3384.24</v>
      </c>
      <c r="F45">
        <v>7.8207000000000004</v>
      </c>
      <c r="G45" s="43">
        <f t="shared" si="0"/>
        <v>432.72852813686751</v>
      </c>
      <c r="H45">
        <f t="shared" si="2"/>
        <v>-1.3397473769318768E-3</v>
      </c>
      <c r="I45"/>
    </row>
    <row r="46" spans="1:9" x14ac:dyDescent="0.3">
      <c r="A46" s="16">
        <v>44</v>
      </c>
      <c r="B46" s="3">
        <v>45359</v>
      </c>
      <c r="C46" s="40">
        <v>5123.6899999999996</v>
      </c>
      <c r="D46" s="46">
        <f t="shared" si="1"/>
        <v>-6.5285339786247398E-3</v>
      </c>
      <c r="E46">
        <v>3420.54</v>
      </c>
      <c r="F46">
        <v>7.8202999999999996</v>
      </c>
      <c r="G46" s="43">
        <f t="shared" si="0"/>
        <v>437.39242740048337</v>
      </c>
      <c r="H46">
        <f t="shared" si="2"/>
        <v>1.0777887198000213E-2</v>
      </c>
      <c r="I46"/>
    </row>
    <row r="47" spans="1:9" x14ac:dyDescent="0.3">
      <c r="A47" s="16">
        <v>45</v>
      </c>
      <c r="B47" s="3">
        <v>45362</v>
      </c>
      <c r="C47" s="40">
        <v>5117.9399999999996</v>
      </c>
      <c r="D47" s="46">
        <f t="shared" si="1"/>
        <v>-1.1222380745127269E-3</v>
      </c>
      <c r="E47">
        <v>3416.81</v>
      </c>
      <c r="F47">
        <v>7.8216000000000001</v>
      </c>
      <c r="G47" s="43">
        <f t="shared" si="0"/>
        <v>436.84284545361561</v>
      </c>
      <c r="H47">
        <f t="shared" si="2"/>
        <v>-1.2564962547112479E-3</v>
      </c>
      <c r="I47"/>
    </row>
    <row r="48" spans="1:9" x14ac:dyDescent="0.3">
      <c r="A48" s="16">
        <v>46</v>
      </c>
      <c r="B48" s="3">
        <v>45363</v>
      </c>
      <c r="C48" s="40">
        <v>5175.2700000000004</v>
      </c>
      <c r="D48" s="46">
        <f t="shared" si="1"/>
        <v>1.1201772588189884E-2</v>
      </c>
      <c r="E48">
        <v>3522.89</v>
      </c>
      <c r="F48">
        <v>7.8235000000000001</v>
      </c>
      <c r="G48" s="43">
        <f t="shared" si="0"/>
        <v>450.29590336805774</v>
      </c>
      <c r="H48">
        <f t="shared" si="2"/>
        <v>3.0796104490328879E-2</v>
      </c>
      <c r="I48"/>
    </row>
    <row r="49" spans="1:9" x14ac:dyDescent="0.3">
      <c r="A49" s="16">
        <v>47</v>
      </c>
      <c r="B49" s="3">
        <v>45364</v>
      </c>
      <c r="C49" s="40">
        <v>5165.3100000000004</v>
      </c>
      <c r="D49" s="46">
        <f t="shared" si="1"/>
        <v>-1.9245372705192221E-3</v>
      </c>
      <c r="E49">
        <v>3527.9</v>
      </c>
      <c r="F49">
        <v>7.8232999999999997</v>
      </c>
      <c r="G49" s="43">
        <f t="shared" si="0"/>
        <v>450.94780974780468</v>
      </c>
      <c r="H49">
        <f t="shared" si="2"/>
        <v>1.4477288708845126E-3</v>
      </c>
      <c r="I49"/>
    </row>
    <row r="50" spans="1:9" x14ac:dyDescent="0.3">
      <c r="A50" s="16">
        <v>48</v>
      </c>
      <c r="B50" s="3">
        <v>45365</v>
      </c>
      <c r="C50" s="40">
        <v>5150.4799999999996</v>
      </c>
      <c r="D50" s="46">
        <f t="shared" si="1"/>
        <v>-2.871076469757039E-3</v>
      </c>
      <c r="E50">
        <v>3540.62</v>
      </c>
      <c r="F50">
        <v>7.8221999999999996</v>
      </c>
      <c r="G50" s="43">
        <f t="shared" si="0"/>
        <v>452.63736544706092</v>
      </c>
      <c r="H50">
        <f t="shared" si="2"/>
        <v>3.7466768054625899E-3</v>
      </c>
      <c r="I50"/>
    </row>
    <row r="51" spans="1:9" x14ac:dyDescent="0.3">
      <c r="A51" s="16">
        <v>49</v>
      </c>
      <c r="B51" s="3">
        <v>45366</v>
      </c>
      <c r="C51" s="40">
        <v>5117.09</v>
      </c>
      <c r="D51" s="46">
        <f t="shared" si="1"/>
        <v>-6.4828909150214109E-3</v>
      </c>
      <c r="E51">
        <v>3517.77</v>
      </c>
      <c r="F51">
        <v>7.8215000000000003</v>
      </c>
      <c r="G51" s="43">
        <f t="shared" si="0"/>
        <v>449.75644058045128</v>
      </c>
      <c r="H51">
        <f t="shared" si="2"/>
        <v>-6.364752639818394E-3</v>
      </c>
      <c r="I51"/>
    </row>
    <row r="52" spans="1:9" x14ac:dyDescent="0.3">
      <c r="A52" s="16">
        <v>50</v>
      </c>
      <c r="B52" s="3">
        <v>45369</v>
      </c>
      <c r="C52" s="40">
        <v>5149.42</v>
      </c>
      <c r="D52" s="46">
        <f t="shared" si="1"/>
        <v>6.3180440445644859E-3</v>
      </c>
      <c r="E52">
        <v>3537.45</v>
      </c>
      <c r="F52">
        <v>7.8192000000000004</v>
      </c>
      <c r="G52" s="43">
        <f t="shared" si="0"/>
        <v>452.40561694290972</v>
      </c>
      <c r="H52">
        <f t="shared" si="2"/>
        <v>5.8902466389127994E-3</v>
      </c>
      <c r="I52"/>
    </row>
    <row r="53" spans="1:9" x14ac:dyDescent="0.3">
      <c r="A53" s="16">
        <v>51</v>
      </c>
      <c r="B53" s="3">
        <v>45370</v>
      </c>
      <c r="C53" s="40">
        <v>5178.51</v>
      </c>
      <c r="D53" s="46">
        <f t="shared" si="1"/>
        <v>5.6491799076401339E-3</v>
      </c>
      <c r="E53">
        <v>3489.49</v>
      </c>
      <c r="F53">
        <v>7.8230000000000004</v>
      </c>
      <c r="G53" s="43">
        <f t="shared" si="0"/>
        <v>446.05522178192507</v>
      </c>
      <c r="H53">
        <f t="shared" si="2"/>
        <v>-1.4036950301140938E-2</v>
      </c>
      <c r="I53"/>
    </row>
    <row r="54" spans="1:9" x14ac:dyDescent="0.3">
      <c r="A54" s="16">
        <v>52</v>
      </c>
      <c r="B54" s="3">
        <v>45371</v>
      </c>
      <c r="C54" s="40">
        <v>5224.62</v>
      </c>
      <c r="D54" s="46">
        <f t="shared" si="1"/>
        <v>8.9041056211149883E-3</v>
      </c>
      <c r="E54">
        <v>3485.52</v>
      </c>
      <c r="F54">
        <v>7.8228</v>
      </c>
      <c r="G54" s="43">
        <f t="shared" si="0"/>
        <v>445.55913483663136</v>
      </c>
      <c r="H54">
        <f t="shared" si="2"/>
        <v>-1.1121648645024962E-3</v>
      </c>
      <c r="I54"/>
    </row>
    <row r="55" spans="1:9" x14ac:dyDescent="0.3">
      <c r="A55" s="16">
        <v>53</v>
      </c>
      <c r="B55" s="3">
        <v>45372</v>
      </c>
      <c r="C55" s="40">
        <v>5241.53</v>
      </c>
      <c r="D55" s="46">
        <f t="shared" si="1"/>
        <v>3.2365990253835353E-3</v>
      </c>
      <c r="E55">
        <v>3559.39</v>
      </c>
      <c r="F55">
        <v>7.8216000000000001</v>
      </c>
      <c r="G55" s="43">
        <f t="shared" si="0"/>
        <v>455.07185230643347</v>
      </c>
      <c r="H55">
        <f t="shared" si="2"/>
        <v>2.1350067198801836E-2</v>
      </c>
      <c r="I55"/>
    </row>
    <row r="56" spans="1:9" x14ac:dyDescent="0.3">
      <c r="A56" s="16">
        <v>54</v>
      </c>
      <c r="B56" s="3">
        <v>45373</v>
      </c>
      <c r="C56" s="40">
        <v>5234.18</v>
      </c>
      <c r="D56" s="46">
        <f t="shared" si="1"/>
        <v>-1.4022623165372838E-3</v>
      </c>
      <c r="E56">
        <v>3485.45</v>
      </c>
      <c r="F56">
        <v>7.8216000000000001</v>
      </c>
      <c r="G56" s="43">
        <f t="shared" si="0"/>
        <v>445.61854352050727</v>
      </c>
      <c r="H56">
        <f t="shared" si="2"/>
        <v>-2.077322237799184E-2</v>
      </c>
      <c r="I56"/>
    </row>
    <row r="57" spans="1:9" x14ac:dyDescent="0.3">
      <c r="A57" s="16">
        <v>55</v>
      </c>
      <c r="B57" s="3">
        <v>45376</v>
      </c>
      <c r="C57" s="40">
        <v>5218.1899999999996</v>
      </c>
      <c r="D57" s="46">
        <f t="shared" si="1"/>
        <v>-3.0549197773100945E-3</v>
      </c>
      <c r="E57">
        <v>3487.47</v>
      </c>
      <c r="F57">
        <v>7.8216000000000001</v>
      </c>
      <c r="G57" s="43">
        <f t="shared" si="0"/>
        <v>445.87680270021474</v>
      </c>
      <c r="H57">
        <f t="shared" si="2"/>
        <v>5.7955213817439954E-4</v>
      </c>
      <c r="I57"/>
    </row>
    <row r="58" spans="1:9" x14ac:dyDescent="0.3">
      <c r="A58" s="16">
        <v>56</v>
      </c>
      <c r="B58" s="3">
        <v>45377</v>
      </c>
      <c r="C58" s="40">
        <v>5203.58</v>
      </c>
      <c r="D58" s="46">
        <f t="shared" si="1"/>
        <v>-2.7998213940082506E-3</v>
      </c>
      <c r="E58">
        <v>3462.95</v>
      </c>
      <c r="F58">
        <v>7.8236999999999997</v>
      </c>
      <c r="G58" s="43">
        <f t="shared" si="0"/>
        <v>442.62305558750973</v>
      </c>
      <c r="H58">
        <f t="shared" si="2"/>
        <v>-7.2974128570951757E-3</v>
      </c>
      <c r="I58"/>
    </row>
    <row r="59" spans="1:9" x14ac:dyDescent="0.3">
      <c r="A59" s="16">
        <v>57</v>
      </c>
      <c r="B59" s="3">
        <v>45378</v>
      </c>
      <c r="C59" s="40">
        <v>5248.49</v>
      </c>
      <c r="D59" s="46">
        <f t="shared" si="1"/>
        <v>8.6305966277062662E-3</v>
      </c>
      <c r="E59">
        <v>3396.88</v>
      </c>
      <c r="F59">
        <v>7.8239000000000001</v>
      </c>
      <c r="G59" s="43">
        <f t="shared" si="0"/>
        <v>434.16710336277305</v>
      </c>
      <c r="H59">
        <f t="shared" si="2"/>
        <v>-1.910418383767376E-2</v>
      </c>
      <c r="I59"/>
    </row>
    <row r="60" spans="1:9" x14ac:dyDescent="0.3">
      <c r="A60" s="16">
        <v>58</v>
      </c>
      <c r="B60" s="3">
        <v>45379</v>
      </c>
      <c r="C60" s="40">
        <v>5254.35</v>
      </c>
      <c r="D60" s="46">
        <f t="shared" si="1"/>
        <v>1.1165116061955249E-3</v>
      </c>
      <c r="E60">
        <v>3410.83</v>
      </c>
      <c r="F60">
        <v>7.8265000000000002</v>
      </c>
      <c r="G60" s="43">
        <f t="shared" si="0"/>
        <v>435.80527694371682</v>
      </c>
      <c r="H60">
        <f t="shared" si="2"/>
        <v>3.773140729123714E-3</v>
      </c>
      <c r="I60"/>
    </row>
    <row r="61" spans="1:9" x14ac:dyDescent="0.3">
      <c r="A61" s="16">
        <v>59</v>
      </c>
      <c r="B61" s="3">
        <v>45384</v>
      </c>
      <c r="C61" s="40">
        <v>5205.8100000000004</v>
      </c>
      <c r="D61" s="46">
        <f t="shared" si="1"/>
        <v>-9.2380598932313429E-3</v>
      </c>
      <c r="E61">
        <v>3502.65</v>
      </c>
      <c r="F61">
        <v>7.8291000000000004</v>
      </c>
      <c r="G61" s="43">
        <f t="shared" si="0"/>
        <v>447.38858872667356</v>
      </c>
      <c r="H61">
        <f t="shared" si="2"/>
        <v>2.657909941841452E-2</v>
      </c>
      <c r="I61"/>
    </row>
    <row r="62" spans="1:9" x14ac:dyDescent="0.3">
      <c r="A62" s="16">
        <v>60</v>
      </c>
      <c r="B62" s="3">
        <v>45385</v>
      </c>
      <c r="C62" s="40">
        <v>5211.49</v>
      </c>
      <c r="D62" s="46">
        <f t="shared" si="1"/>
        <v>1.0910886106099138E-3</v>
      </c>
      <c r="E62">
        <v>3472.51</v>
      </c>
      <c r="F62">
        <v>7.8287000000000004</v>
      </c>
      <c r="G62" s="43">
        <f t="shared" si="0"/>
        <v>443.56151085109917</v>
      </c>
      <c r="H62">
        <f t="shared" si="2"/>
        <v>-8.5542590312076561E-3</v>
      </c>
      <c r="I62"/>
    </row>
    <row r="63" spans="1:9" x14ac:dyDescent="0.3">
      <c r="A63" s="16">
        <v>61</v>
      </c>
      <c r="B63" s="3">
        <v>45387</v>
      </c>
      <c r="C63" s="40">
        <v>5204.34</v>
      </c>
      <c r="D63" s="46">
        <f t="shared" si="1"/>
        <v>-1.3719684773452201E-3</v>
      </c>
      <c r="E63">
        <v>3443.74</v>
      </c>
      <c r="F63">
        <v>7.8282999999999996</v>
      </c>
      <c r="G63" s="43">
        <f t="shared" si="0"/>
        <v>439.90904794144325</v>
      </c>
      <c r="H63">
        <f t="shared" si="2"/>
        <v>-8.2344000106042703E-3</v>
      </c>
      <c r="I63"/>
    </row>
    <row r="64" spans="1:9" x14ac:dyDescent="0.3">
      <c r="A64" s="16">
        <v>62</v>
      </c>
      <c r="B64" s="3">
        <v>45390</v>
      </c>
      <c r="C64" s="40">
        <v>5202.3900000000003</v>
      </c>
      <c r="D64" s="46">
        <f t="shared" si="1"/>
        <v>-3.7468728023148934E-4</v>
      </c>
      <c r="E64">
        <v>3455.05</v>
      </c>
      <c r="F64">
        <v>7.8315999999999999</v>
      </c>
      <c r="G64" s="43">
        <f t="shared" si="0"/>
        <v>441.16783288216971</v>
      </c>
      <c r="H64">
        <f t="shared" si="2"/>
        <v>2.8614663567774201E-3</v>
      </c>
      <c r="I64"/>
    </row>
    <row r="65" spans="1:11" x14ac:dyDescent="0.3">
      <c r="A65" s="16">
        <v>63</v>
      </c>
      <c r="B65" s="3">
        <v>45391</v>
      </c>
      <c r="C65" s="40">
        <v>5209.91</v>
      </c>
      <c r="D65" s="46">
        <f t="shared" si="1"/>
        <v>1.4454894769517779E-3</v>
      </c>
      <c r="E65">
        <v>3470.19</v>
      </c>
      <c r="F65">
        <v>7.8304</v>
      </c>
      <c r="G65" s="43">
        <f t="shared" si="0"/>
        <v>443.16893134450351</v>
      </c>
      <c r="H65">
        <f t="shared" si="2"/>
        <v>4.5359119890053812E-3</v>
      </c>
      <c r="I65"/>
    </row>
    <row r="66" spans="1:11" x14ac:dyDescent="0.3">
      <c r="A66" s="16">
        <v>64</v>
      </c>
      <c r="B66" s="3">
        <v>45392</v>
      </c>
      <c r="C66" s="40">
        <v>5160.6400000000003</v>
      </c>
      <c r="D66" s="46">
        <f t="shared" si="1"/>
        <v>-9.4569771838668437E-3</v>
      </c>
      <c r="E66">
        <v>3522.49</v>
      </c>
      <c r="F66">
        <v>7.8353999999999999</v>
      </c>
      <c r="G66" s="43">
        <f t="shared" si="0"/>
        <v>449.56096689384077</v>
      </c>
      <c r="H66">
        <f t="shared" si="2"/>
        <v>1.4423473978522949E-2</v>
      </c>
      <c r="I66"/>
    </row>
    <row r="67" spans="1:11" x14ac:dyDescent="0.3">
      <c r="A67" s="16">
        <v>65</v>
      </c>
      <c r="B67" s="3">
        <v>45393</v>
      </c>
      <c r="C67" s="40">
        <v>5199.0600000000004</v>
      </c>
      <c r="D67" s="46">
        <f t="shared" si="1"/>
        <v>7.4448130464439544E-3</v>
      </c>
      <c r="E67">
        <v>3532.61</v>
      </c>
      <c r="F67">
        <v>7.8379000000000003</v>
      </c>
      <c r="G67" s="43">
        <f t="shared" ref="G67:G130" si="3">E67/F67</f>
        <v>450.70873575830262</v>
      </c>
      <c r="H67">
        <f t="shared" si="2"/>
        <v>2.5530883439284224E-3</v>
      </c>
      <c r="I67"/>
    </row>
    <row r="68" spans="1:11" x14ac:dyDescent="0.3">
      <c r="A68" s="16">
        <v>66</v>
      </c>
      <c r="B68" s="3">
        <v>45394</v>
      </c>
      <c r="C68" s="40">
        <v>5123.41</v>
      </c>
      <c r="D68" s="46">
        <f t="shared" ref="D68:D131" si="4">$C68/$C67-1</f>
        <v>-1.4550707243232486E-2</v>
      </c>
      <c r="E68">
        <v>3461.57</v>
      </c>
      <c r="F68">
        <v>7.8372999999999999</v>
      </c>
      <c r="G68" s="43">
        <f t="shared" si="3"/>
        <v>441.67889451724449</v>
      </c>
      <c r="H68">
        <f t="shared" ref="H68:H131" si="5">$G68/$G67-1</f>
        <v>-2.003475975646607E-2</v>
      </c>
      <c r="I68"/>
      <c r="K68" s="38"/>
    </row>
    <row r="69" spans="1:11" x14ac:dyDescent="0.3">
      <c r="A69" s="16">
        <v>67</v>
      </c>
      <c r="B69" s="3">
        <v>45397</v>
      </c>
      <c r="C69" s="40">
        <v>5061.82</v>
      </c>
      <c r="D69" s="46">
        <f t="shared" si="4"/>
        <v>-1.2021290507689297E-2</v>
      </c>
      <c r="E69">
        <v>3461.2</v>
      </c>
      <c r="F69">
        <v>7.8285999999999998</v>
      </c>
      <c r="G69" s="43">
        <f t="shared" si="3"/>
        <v>442.1224740055693</v>
      </c>
      <c r="H69">
        <f t="shared" si="5"/>
        <v>1.0043031121278467E-3</v>
      </c>
      <c r="I69"/>
      <c r="K69" s="38"/>
    </row>
    <row r="70" spans="1:11" x14ac:dyDescent="0.3">
      <c r="A70" s="16">
        <v>68</v>
      </c>
      <c r="B70" s="3">
        <v>45398</v>
      </c>
      <c r="C70" s="40">
        <v>5051.41</v>
      </c>
      <c r="D70" s="46">
        <f t="shared" si="4"/>
        <v>-2.056572537150636E-3</v>
      </c>
      <c r="E70">
        <v>3410.52</v>
      </c>
      <c r="F70">
        <v>7.8315999999999999</v>
      </c>
      <c r="G70" s="43">
        <f t="shared" si="3"/>
        <v>435.48189386587671</v>
      </c>
      <c r="H70">
        <f t="shared" si="5"/>
        <v>-1.5019775130474255E-2</v>
      </c>
      <c r="I70"/>
      <c r="K70" s="38"/>
    </row>
    <row r="71" spans="1:11" x14ac:dyDescent="0.3">
      <c r="A71" s="16">
        <v>69</v>
      </c>
      <c r="B71" s="3">
        <v>45399</v>
      </c>
      <c r="C71" s="40">
        <v>5022.21</v>
      </c>
      <c r="D71" s="46">
        <f t="shared" si="4"/>
        <v>-5.780564238499708E-3</v>
      </c>
      <c r="E71">
        <v>3431.77</v>
      </c>
      <c r="F71">
        <v>7.8301999999999996</v>
      </c>
      <c r="G71" s="43">
        <f t="shared" si="3"/>
        <v>438.27360731526653</v>
      </c>
      <c r="H71">
        <f t="shared" si="5"/>
        <v>6.4106303584912094E-3</v>
      </c>
      <c r="I71"/>
      <c r="K71" s="38"/>
    </row>
    <row r="72" spans="1:11" x14ac:dyDescent="0.3">
      <c r="A72" s="16">
        <v>70</v>
      </c>
      <c r="B72" s="3">
        <v>45400</v>
      </c>
      <c r="C72" s="40">
        <v>5011.12</v>
      </c>
      <c r="D72" s="46">
        <f t="shared" si="4"/>
        <v>-2.2081912146246774E-3</v>
      </c>
      <c r="E72">
        <v>3443.08</v>
      </c>
      <c r="F72">
        <v>7.8311999999999999</v>
      </c>
      <c r="G72" s="43">
        <f t="shared" si="3"/>
        <v>439.6618653590765</v>
      </c>
      <c r="H72">
        <f t="shared" si="5"/>
        <v>3.1675602195486707E-3</v>
      </c>
      <c r="I72"/>
      <c r="K72" s="38"/>
    </row>
    <row r="73" spans="1:11" x14ac:dyDescent="0.3">
      <c r="A73" s="16">
        <v>71</v>
      </c>
      <c r="B73" s="3">
        <v>45401</v>
      </c>
      <c r="C73" s="40">
        <v>4967.2299999999996</v>
      </c>
      <c r="D73" s="46">
        <f t="shared" si="4"/>
        <v>-8.7585210491867294E-3</v>
      </c>
      <c r="E73">
        <v>3445.65</v>
      </c>
      <c r="F73">
        <v>7.8320999999999996</v>
      </c>
      <c r="G73" s="43">
        <f t="shared" si="3"/>
        <v>439.939479832995</v>
      </c>
      <c r="H73">
        <f t="shared" si="5"/>
        <v>6.3142723031428538E-4</v>
      </c>
      <c r="I73"/>
      <c r="K73" s="38"/>
    </row>
    <row r="74" spans="1:11" x14ac:dyDescent="0.3">
      <c r="A74" s="16">
        <v>72</v>
      </c>
      <c r="B74" s="3">
        <v>45404</v>
      </c>
      <c r="C74" s="40">
        <v>5010.6000000000004</v>
      </c>
      <c r="D74" s="46">
        <f t="shared" si="4"/>
        <v>8.7312244450128418E-3</v>
      </c>
      <c r="E74">
        <v>3463.72</v>
      </c>
      <c r="F74">
        <v>7.8354999999999997</v>
      </c>
      <c r="G74" s="43">
        <f t="shared" si="3"/>
        <v>442.05475081360476</v>
      </c>
      <c r="H74">
        <f t="shared" si="5"/>
        <v>4.8080953803297799E-3</v>
      </c>
      <c r="I74"/>
      <c r="K74" s="38"/>
    </row>
    <row r="75" spans="1:11" x14ac:dyDescent="0.3">
      <c r="A75" s="16">
        <v>73</v>
      </c>
      <c r="B75" s="3">
        <v>45405</v>
      </c>
      <c r="C75" s="40">
        <v>5070.55</v>
      </c>
      <c r="D75" s="46">
        <f t="shared" si="4"/>
        <v>1.1964634973855359E-2</v>
      </c>
      <c r="E75">
        <v>3491.02</v>
      </c>
      <c r="F75">
        <v>7.8345000000000002</v>
      </c>
      <c r="G75" s="43">
        <f t="shared" si="3"/>
        <v>445.59576233326948</v>
      </c>
      <c r="H75">
        <f t="shared" si="5"/>
        <v>8.0103460332627829E-3</v>
      </c>
      <c r="I75"/>
      <c r="K75" s="38"/>
    </row>
    <row r="76" spans="1:11" x14ac:dyDescent="0.3">
      <c r="A76" s="16">
        <v>74</v>
      </c>
      <c r="B76" s="3">
        <v>45406</v>
      </c>
      <c r="C76" s="40">
        <v>5071.63</v>
      </c>
      <c r="D76" s="46">
        <f t="shared" si="4"/>
        <v>2.129946455513565E-4</v>
      </c>
      <c r="E76">
        <v>3552.65</v>
      </c>
      <c r="F76">
        <v>7.8315999999999999</v>
      </c>
      <c r="G76" s="43">
        <f t="shared" si="3"/>
        <v>453.63016497267483</v>
      </c>
      <c r="H76">
        <f t="shared" si="5"/>
        <v>1.8030698041953785E-2</v>
      </c>
      <c r="I76"/>
      <c r="K76" s="38"/>
    </row>
    <row r="77" spans="1:11" x14ac:dyDescent="0.3">
      <c r="A77" s="16">
        <v>75</v>
      </c>
      <c r="B77" s="3">
        <v>45407</v>
      </c>
      <c r="C77" s="40">
        <v>5048.42</v>
      </c>
      <c r="D77" s="46">
        <f t="shared" si="4"/>
        <v>-4.5764379499293462E-3</v>
      </c>
      <c r="E77">
        <v>3605.28</v>
      </c>
      <c r="F77">
        <v>7.8277000000000001</v>
      </c>
      <c r="G77" s="43">
        <f t="shared" si="3"/>
        <v>460.57973606551099</v>
      </c>
      <c r="H77">
        <f t="shared" si="5"/>
        <v>1.5319905132972655E-2</v>
      </c>
      <c r="I77"/>
      <c r="K77" s="38"/>
    </row>
    <row r="78" spans="1:11" x14ac:dyDescent="0.3">
      <c r="A78" s="16">
        <v>76</v>
      </c>
      <c r="B78" s="3">
        <v>45408</v>
      </c>
      <c r="C78" s="40">
        <v>5099.96</v>
      </c>
      <c r="D78" s="46">
        <f t="shared" si="4"/>
        <v>1.0209134739185721E-2</v>
      </c>
      <c r="E78">
        <v>3672.68</v>
      </c>
      <c r="F78">
        <v>7.8282999999999996</v>
      </c>
      <c r="G78" s="43">
        <f t="shared" si="3"/>
        <v>469.15422250041519</v>
      </c>
      <c r="H78">
        <f t="shared" si="5"/>
        <v>1.8616725321334071E-2</v>
      </c>
      <c r="I78"/>
      <c r="K78" s="38"/>
    </row>
    <row r="79" spans="1:11" x14ac:dyDescent="0.3">
      <c r="A79" s="16">
        <v>77</v>
      </c>
      <c r="B79" s="3">
        <v>45411</v>
      </c>
      <c r="C79" s="40">
        <v>5116.17</v>
      </c>
      <c r="D79" s="46">
        <f t="shared" si="4"/>
        <v>3.178456301617949E-3</v>
      </c>
      <c r="E79">
        <v>3689.94</v>
      </c>
      <c r="F79">
        <v>7.8246000000000002</v>
      </c>
      <c r="G79" s="43">
        <f t="shared" si="3"/>
        <v>471.58193390077446</v>
      </c>
      <c r="H79">
        <f t="shared" si="5"/>
        <v>5.1746553349141244E-3</v>
      </c>
      <c r="I79"/>
      <c r="K79" s="38"/>
    </row>
    <row r="80" spans="1:11" x14ac:dyDescent="0.3">
      <c r="A80" s="16">
        <v>78</v>
      </c>
      <c r="B80" s="3">
        <v>45412</v>
      </c>
      <c r="C80" s="40">
        <v>5035.6899999999996</v>
      </c>
      <c r="D80" s="46">
        <f t="shared" si="4"/>
        <v>-1.5730517164206925E-2</v>
      </c>
      <c r="E80">
        <v>3697.42</v>
      </c>
      <c r="F80">
        <v>7.8235000000000001</v>
      </c>
      <c r="G80" s="43">
        <f t="shared" si="3"/>
        <v>472.60433309899662</v>
      </c>
      <c r="H80">
        <f t="shared" si="5"/>
        <v>2.1680202839096108E-3</v>
      </c>
      <c r="I80"/>
      <c r="K80" s="38"/>
    </row>
    <row r="81" spans="1:11" x14ac:dyDescent="0.3">
      <c r="A81" s="16">
        <v>79</v>
      </c>
      <c r="B81" s="3">
        <v>45414</v>
      </c>
      <c r="C81" s="40">
        <v>5064.2</v>
      </c>
      <c r="D81" s="46">
        <f t="shared" si="4"/>
        <v>5.6615875877983335E-3</v>
      </c>
      <c r="E81">
        <v>3727.94</v>
      </c>
      <c r="F81">
        <v>7.8127000000000004</v>
      </c>
      <c r="G81" s="43">
        <f t="shared" si="3"/>
        <v>477.16410459892222</v>
      </c>
      <c r="H81">
        <f t="shared" si="5"/>
        <v>9.6481796305716294E-3</v>
      </c>
      <c r="I81"/>
      <c r="K81" s="38"/>
    </row>
    <row r="82" spans="1:11" x14ac:dyDescent="0.3">
      <c r="A82" s="16">
        <v>80</v>
      </c>
      <c r="B82" s="3">
        <v>45415</v>
      </c>
      <c r="C82" s="40">
        <v>5127.79</v>
      </c>
      <c r="D82" s="46">
        <f t="shared" si="4"/>
        <v>1.2556771059594851E-2</v>
      </c>
      <c r="E82">
        <v>3764.69</v>
      </c>
      <c r="F82">
        <v>7.8105000000000002</v>
      </c>
      <c r="G82" s="43">
        <f t="shared" si="3"/>
        <v>482.00371295051531</v>
      </c>
      <c r="H82">
        <f t="shared" si="5"/>
        <v>1.0142440105927575E-2</v>
      </c>
      <c r="I82"/>
      <c r="K82" s="38"/>
    </row>
    <row r="83" spans="1:11" x14ac:dyDescent="0.3">
      <c r="A83" s="16">
        <v>81</v>
      </c>
      <c r="B83" s="3">
        <v>45418</v>
      </c>
      <c r="C83" s="40">
        <v>5180.74</v>
      </c>
      <c r="D83" s="46">
        <f t="shared" si="4"/>
        <v>1.0326085896653403E-2</v>
      </c>
      <c r="E83">
        <v>3767.98</v>
      </c>
      <c r="F83">
        <v>7.8182</v>
      </c>
      <c r="G83" s="43">
        <f t="shared" si="3"/>
        <v>481.94980941904788</v>
      </c>
      <c r="H83">
        <f t="shared" si="5"/>
        <v>-1.1183219136934319E-4</v>
      </c>
      <c r="I83"/>
      <c r="K83" s="38"/>
    </row>
    <row r="84" spans="1:11" x14ac:dyDescent="0.3">
      <c r="A84" s="16">
        <v>82</v>
      </c>
      <c r="B84" s="3">
        <v>45419</v>
      </c>
      <c r="C84" s="40">
        <v>5187.7</v>
      </c>
      <c r="D84" s="46">
        <f t="shared" si="4"/>
        <v>1.3434374239973401E-3</v>
      </c>
      <c r="E84">
        <v>3803.85</v>
      </c>
      <c r="F84">
        <v>7.8212999999999999</v>
      </c>
      <c r="G84" s="43">
        <f t="shared" si="3"/>
        <v>486.34498101338653</v>
      </c>
      <c r="H84">
        <f t="shared" si="5"/>
        <v>9.1195628848503851E-3</v>
      </c>
      <c r="I84"/>
      <c r="K84" s="38"/>
    </row>
    <row r="85" spans="1:11" x14ac:dyDescent="0.3">
      <c r="A85" s="16">
        <v>83</v>
      </c>
      <c r="B85" s="3">
        <v>45420</v>
      </c>
      <c r="C85" s="40">
        <v>5187.67</v>
      </c>
      <c r="D85" s="46">
        <f t="shared" si="4"/>
        <v>-5.7829095745365322E-6</v>
      </c>
      <c r="E85">
        <v>3744.5</v>
      </c>
      <c r="F85">
        <v>7.8170000000000002</v>
      </c>
      <c r="G85" s="43">
        <f t="shared" si="3"/>
        <v>479.02008443136754</v>
      </c>
      <c r="H85">
        <f t="shared" si="5"/>
        <v>-1.5061112724462089E-2</v>
      </c>
      <c r="I85"/>
      <c r="K85" s="38"/>
    </row>
    <row r="86" spans="1:11" x14ac:dyDescent="0.3">
      <c r="A86" s="16">
        <v>84</v>
      </c>
      <c r="B86" s="3">
        <v>45421</v>
      </c>
      <c r="C86" s="40">
        <v>5214.08</v>
      </c>
      <c r="D86" s="46">
        <f t="shared" si="4"/>
        <v>5.0909175024624886E-3</v>
      </c>
      <c r="E86">
        <v>3816.33</v>
      </c>
      <c r="F86">
        <v>7.8136000000000001</v>
      </c>
      <c r="G86" s="43">
        <f t="shared" si="3"/>
        <v>488.42147025698779</v>
      </c>
      <c r="H86">
        <f t="shared" si="5"/>
        <v>1.9626287354486127E-2</v>
      </c>
      <c r="I86"/>
      <c r="K86" s="38"/>
    </row>
    <row r="87" spans="1:11" x14ac:dyDescent="0.3">
      <c r="A87" s="16">
        <v>85</v>
      </c>
      <c r="B87" s="3">
        <v>45422</v>
      </c>
      <c r="C87" s="40">
        <v>5222.68</v>
      </c>
      <c r="D87" s="46">
        <f t="shared" si="4"/>
        <v>1.6493801399288799E-3</v>
      </c>
      <c r="E87">
        <v>3966.09</v>
      </c>
      <c r="F87">
        <v>7.8132000000000001</v>
      </c>
      <c r="G87" s="43">
        <f t="shared" si="3"/>
        <v>507.61403778221472</v>
      </c>
      <c r="H87">
        <f t="shared" si="5"/>
        <v>3.9295093876869469E-2</v>
      </c>
      <c r="I87"/>
      <c r="K87" s="38"/>
    </row>
    <row r="88" spans="1:11" x14ac:dyDescent="0.3">
      <c r="A88" s="16">
        <v>86</v>
      </c>
      <c r="B88" s="3">
        <v>45425</v>
      </c>
      <c r="C88" s="40">
        <v>5221.42</v>
      </c>
      <c r="D88" s="46">
        <f t="shared" si="4"/>
        <v>-2.4125544739483917E-4</v>
      </c>
      <c r="E88">
        <v>3981.52</v>
      </c>
      <c r="F88">
        <v>7.8117000000000001</v>
      </c>
      <c r="G88" s="43">
        <f t="shared" si="3"/>
        <v>509.68675192339697</v>
      </c>
      <c r="H88">
        <f t="shared" si="5"/>
        <v>4.0832482691732785E-3</v>
      </c>
      <c r="I88"/>
      <c r="K88" s="38"/>
    </row>
    <row r="89" spans="1:11" x14ac:dyDescent="0.3">
      <c r="A89" s="16">
        <v>87</v>
      </c>
      <c r="B89" s="3">
        <v>45426</v>
      </c>
      <c r="C89" s="40">
        <v>5246.68</v>
      </c>
      <c r="D89" s="46">
        <f t="shared" si="4"/>
        <v>4.8377644395585229E-3</v>
      </c>
      <c r="E89">
        <v>3955.67</v>
      </c>
      <c r="F89">
        <v>7.8112000000000004</v>
      </c>
      <c r="G89" s="43">
        <f t="shared" si="3"/>
        <v>506.41002662843096</v>
      </c>
      <c r="H89">
        <f t="shared" si="5"/>
        <v>-6.4289002658999284E-3</v>
      </c>
      <c r="I89"/>
      <c r="K89" s="38"/>
    </row>
    <row r="90" spans="1:11" x14ac:dyDescent="0.3">
      <c r="A90" s="16">
        <v>88</v>
      </c>
      <c r="B90" s="3">
        <v>45428</v>
      </c>
      <c r="C90" s="40">
        <v>5297.1</v>
      </c>
      <c r="D90" s="46">
        <f t="shared" si="4"/>
        <v>9.6098866330709409E-3</v>
      </c>
      <c r="E90">
        <v>3997.28</v>
      </c>
      <c r="F90">
        <v>7.8011999999999997</v>
      </c>
      <c r="G90" s="43">
        <f t="shared" si="3"/>
        <v>512.39296518484343</v>
      </c>
      <c r="H90">
        <f t="shared" si="5"/>
        <v>1.1814415674676892E-2</v>
      </c>
      <c r="I90"/>
      <c r="K90" s="38"/>
    </row>
    <row r="91" spans="1:11" x14ac:dyDescent="0.3">
      <c r="A91" s="16">
        <v>89</v>
      </c>
      <c r="B91" s="3">
        <v>45429</v>
      </c>
      <c r="C91" s="40">
        <v>5303.27</v>
      </c>
      <c r="D91" s="46">
        <f t="shared" si="4"/>
        <v>1.1647882803798026E-3</v>
      </c>
      <c r="E91">
        <v>4046</v>
      </c>
      <c r="F91">
        <v>7.8021000000000003</v>
      </c>
      <c r="G91" s="43">
        <f t="shared" si="3"/>
        <v>518.57833147485928</v>
      </c>
      <c r="H91">
        <f t="shared" si="5"/>
        <v>1.2071528514808083E-2</v>
      </c>
      <c r="I91"/>
      <c r="K91" s="38"/>
    </row>
    <row r="92" spans="1:11" x14ac:dyDescent="0.3">
      <c r="A92" s="16">
        <v>90</v>
      </c>
      <c r="B92" s="3">
        <v>45432</v>
      </c>
      <c r="C92" s="40">
        <v>5308.13</v>
      </c>
      <c r="D92" s="46">
        <f t="shared" si="4"/>
        <v>9.1641572086653689E-4</v>
      </c>
      <c r="E92">
        <v>4067.24</v>
      </c>
      <c r="F92">
        <v>7.7983000000000002</v>
      </c>
      <c r="G92" s="43">
        <f t="shared" si="3"/>
        <v>521.55469781875536</v>
      </c>
      <c r="H92">
        <f t="shared" si="5"/>
        <v>5.7394730231614677E-3</v>
      </c>
      <c r="I92"/>
      <c r="K92" s="38"/>
    </row>
    <row r="93" spans="1:11" x14ac:dyDescent="0.3">
      <c r="A93" s="16">
        <v>91</v>
      </c>
      <c r="B93" s="3">
        <v>45433</v>
      </c>
      <c r="C93" s="40">
        <v>5321.41</v>
      </c>
      <c r="D93" s="46">
        <f t="shared" si="4"/>
        <v>2.5018226757822504E-3</v>
      </c>
      <c r="E93">
        <v>4008.68</v>
      </c>
      <c r="F93">
        <v>7.8044000000000002</v>
      </c>
      <c r="G93" s="43">
        <f t="shared" si="3"/>
        <v>513.64358566962221</v>
      </c>
      <c r="H93">
        <f t="shared" si="5"/>
        <v>-1.516832689307368E-2</v>
      </c>
      <c r="I93"/>
      <c r="K93" s="38"/>
    </row>
    <row r="94" spans="1:11" x14ac:dyDescent="0.3">
      <c r="A94" s="16">
        <v>92</v>
      </c>
      <c r="B94" s="3">
        <v>45434</v>
      </c>
      <c r="C94" s="40">
        <v>5307.01</v>
      </c>
      <c r="D94" s="46">
        <f t="shared" si="4"/>
        <v>-2.7060497123881921E-3</v>
      </c>
      <c r="E94">
        <v>3997.43</v>
      </c>
      <c r="F94">
        <v>7.8078000000000003</v>
      </c>
      <c r="G94" s="43">
        <f t="shared" si="3"/>
        <v>511.97904659443117</v>
      </c>
      <c r="H94">
        <f t="shared" si="5"/>
        <v>-3.2406499791505228E-3</v>
      </c>
      <c r="I94"/>
      <c r="K94" s="38"/>
    </row>
    <row r="95" spans="1:11" x14ac:dyDescent="0.3">
      <c r="A95" s="16">
        <v>93</v>
      </c>
      <c r="B95" s="3">
        <v>45435</v>
      </c>
      <c r="C95" s="40">
        <v>5267.84</v>
      </c>
      <c r="D95" s="46">
        <f t="shared" si="4"/>
        <v>-7.3808038801509435E-3</v>
      </c>
      <c r="E95">
        <v>3955.43</v>
      </c>
      <c r="F95">
        <v>7.8091999999999997</v>
      </c>
      <c r="G95" s="43">
        <f t="shared" si="3"/>
        <v>506.50898939712135</v>
      </c>
      <c r="H95">
        <f t="shared" si="5"/>
        <v>-1.0684142707978794E-2</v>
      </c>
      <c r="I95"/>
      <c r="K95" s="38"/>
    </row>
    <row r="96" spans="1:11" x14ac:dyDescent="0.3">
      <c r="A96" s="16">
        <v>94</v>
      </c>
      <c r="B96" s="3">
        <v>45436</v>
      </c>
      <c r="C96" s="40">
        <v>5304.72</v>
      </c>
      <c r="D96" s="46">
        <f t="shared" si="4"/>
        <v>7.0009719353663069E-3</v>
      </c>
      <c r="E96">
        <v>3928.89</v>
      </c>
      <c r="F96">
        <v>7.8122999999999996</v>
      </c>
      <c r="G96" s="43">
        <f t="shared" si="3"/>
        <v>502.91079451633965</v>
      </c>
      <c r="H96">
        <f t="shared" si="5"/>
        <v>-7.1039111962544199E-3</v>
      </c>
      <c r="I96"/>
      <c r="K96" s="38"/>
    </row>
    <row r="97" spans="1:11" x14ac:dyDescent="0.3">
      <c r="A97" s="16">
        <v>95</v>
      </c>
      <c r="B97" s="3">
        <v>45440</v>
      </c>
      <c r="C97" s="40">
        <v>5306.04</v>
      </c>
      <c r="D97" s="46">
        <f t="shared" si="4"/>
        <v>2.4883499977379486E-4</v>
      </c>
      <c r="E97">
        <v>3999.44</v>
      </c>
      <c r="F97">
        <v>7.8113999999999999</v>
      </c>
      <c r="G97" s="43">
        <f t="shared" si="3"/>
        <v>512.00040965767982</v>
      </c>
      <c r="H97">
        <f t="shared" si="5"/>
        <v>1.8074010819516984E-2</v>
      </c>
      <c r="I97"/>
      <c r="K97" s="38"/>
    </row>
    <row r="98" spans="1:11" x14ac:dyDescent="0.3">
      <c r="A98" s="16">
        <v>96</v>
      </c>
      <c r="B98" s="3">
        <v>45441</v>
      </c>
      <c r="C98" s="40">
        <v>5266.95</v>
      </c>
      <c r="D98" s="46">
        <f t="shared" si="4"/>
        <v>-7.3670760114887823E-3</v>
      </c>
      <c r="E98">
        <v>3959.43</v>
      </c>
      <c r="F98">
        <v>7.8135000000000003</v>
      </c>
      <c r="G98" s="43">
        <f t="shared" si="3"/>
        <v>506.7421770013438</v>
      </c>
      <c r="H98">
        <f t="shared" si="5"/>
        <v>-1.0269977439767319E-2</v>
      </c>
      <c r="I98"/>
      <c r="K98" s="38"/>
    </row>
    <row r="99" spans="1:11" x14ac:dyDescent="0.3">
      <c r="A99" s="16">
        <v>97</v>
      </c>
      <c r="B99" s="3">
        <v>45442</v>
      </c>
      <c r="C99" s="40">
        <v>5235.4799999999996</v>
      </c>
      <c r="D99" s="46">
        <f t="shared" si="4"/>
        <v>-5.9749950160910004E-3</v>
      </c>
      <c r="E99">
        <v>3898.44</v>
      </c>
      <c r="F99">
        <v>7.8173000000000004</v>
      </c>
      <c r="G99" s="43">
        <f t="shared" si="3"/>
        <v>498.69392245404424</v>
      </c>
      <c r="H99">
        <f t="shared" si="5"/>
        <v>-1.5882345919823071E-2</v>
      </c>
      <c r="I99"/>
      <c r="K99" s="38"/>
    </row>
    <row r="100" spans="1:11" x14ac:dyDescent="0.3">
      <c r="A100" s="16">
        <v>98</v>
      </c>
      <c r="B100" s="3">
        <v>45443</v>
      </c>
      <c r="C100" s="40">
        <v>5277.51</v>
      </c>
      <c r="D100" s="46">
        <f t="shared" si="4"/>
        <v>8.0279172110295782E-3</v>
      </c>
      <c r="E100">
        <v>3868.63</v>
      </c>
      <c r="F100">
        <v>7.8186999999999998</v>
      </c>
      <c r="G100" s="43">
        <f t="shared" si="3"/>
        <v>494.79197309015569</v>
      </c>
      <c r="H100">
        <f t="shared" si="5"/>
        <v>-7.8243371097992398E-3</v>
      </c>
      <c r="I100"/>
      <c r="K100" s="38"/>
    </row>
    <row r="101" spans="1:11" x14ac:dyDescent="0.3">
      <c r="A101" s="16">
        <v>99</v>
      </c>
      <c r="B101" s="3">
        <v>45446</v>
      </c>
      <c r="C101" s="40">
        <v>5283.4</v>
      </c>
      <c r="D101" s="46">
        <f t="shared" si="4"/>
        <v>1.116056625188655E-3</v>
      </c>
      <c r="E101">
        <v>3927.74</v>
      </c>
      <c r="F101">
        <v>7.8194999999999997</v>
      </c>
      <c r="G101" s="43">
        <f t="shared" si="3"/>
        <v>502.30065860988555</v>
      </c>
      <c r="H101">
        <f t="shared" si="5"/>
        <v>1.5175439231229548E-2</v>
      </c>
      <c r="I101"/>
      <c r="K101" s="38"/>
    </row>
    <row r="102" spans="1:11" x14ac:dyDescent="0.3">
      <c r="A102" s="16">
        <v>100</v>
      </c>
      <c r="B102" s="3">
        <v>45447</v>
      </c>
      <c r="C102" s="40">
        <v>5291.34</v>
      </c>
      <c r="D102" s="46">
        <f t="shared" si="4"/>
        <v>1.5028201536890773E-3</v>
      </c>
      <c r="E102">
        <v>3974.3</v>
      </c>
      <c r="F102">
        <v>7.8132999999999999</v>
      </c>
      <c r="G102" s="43">
        <f t="shared" si="3"/>
        <v>508.65831338870902</v>
      </c>
      <c r="H102">
        <f t="shared" si="5"/>
        <v>1.2657070361839162E-2</v>
      </c>
      <c r="I102"/>
      <c r="K102" s="38"/>
    </row>
    <row r="103" spans="1:11" x14ac:dyDescent="0.3">
      <c r="A103" s="16">
        <v>101</v>
      </c>
      <c r="B103" s="3">
        <v>45448</v>
      </c>
      <c r="C103" s="40">
        <v>5354.03</v>
      </c>
      <c r="D103" s="46">
        <f t="shared" si="4"/>
        <v>1.1847660516995706E-2</v>
      </c>
      <c r="E103">
        <v>3920.71</v>
      </c>
      <c r="F103">
        <v>7.8116000000000003</v>
      </c>
      <c r="G103" s="43">
        <f t="shared" si="3"/>
        <v>501.90869988222641</v>
      </c>
      <c r="H103">
        <f t="shared" si="5"/>
        <v>-1.3269444986588996E-2</v>
      </c>
      <c r="I103"/>
      <c r="K103" s="38"/>
    </row>
    <row r="104" spans="1:11" x14ac:dyDescent="0.3">
      <c r="A104" s="16">
        <v>102</v>
      </c>
      <c r="B104" s="3">
        <v>45449</v>
      </c>
      <c r="C104" s="40">
        <v>5352.96</v>
      </c>
      <c r="D104" s="46">
        <f t="shared" si="4"/>
        <v>-1.9984945919238051E-4</v>
      </c>
      <c r="E104">
        <v>3935.43</v>
      </c>
      <c r="F104">
        <v>7.8094000000000001</v>
      </c>
      <c r="G104" s="43">
        <f t="shared" si="3"/>
        <v>503.93500140855889</v>
      </c>
      <c r="H104">
        <f t="shared" si="5"/>
        <v>4.0371914788643881E-3</v>
      </c>
      <c r="I104"/>
      <c r="K104" s="38"/>
    </row>
    <row r="105" spans="1:11" x14ac:dyDescent="0.3">
      <c r="A105" s="16">
        <v>103</v>
      </c>
      <c r="B105" s="3">
        <v>45450</v>
      </c>
      <c r="C105" s="40">
        <v>5346.99</v>
      </c>
      <c r="D105" s="46">
        <f t="shared" si="4"/>
        <v>-1.1152708034434244E-3</v>
      </c>
      <c r="E105">
        <v>3975.68</v>
      </c>
      <c r="F105">
        <v>7.8117999999999999</v>
      </c>
      <c r="G105" s="43">
        <f t="shared" si="3"/>
        <v>508.93264036457663</v>
      </c>
      <c r="H105">
        <f t="shared" si="5"/>
        <v>9.9172292895883807E-3</v>
      </c>
      <c r="I105"/>
      <c r="K105" s="38"/>
    </row>
    <row r="106" spans="1:11" x14ac:dyDescent="0.3">
      <c r="A106" s="16">
        <v>104</v>
      </c>
      <c r="B106" s="3">
        <v>45454</v>
      </c>
      <c r="C106" s="40">
        <v>5375.32</v>
      </c>
      <c r="D106" s="46">
        <f t="shared" si="4"/>
        <v>5.2983080200261767E-3</v>
      </c>
      <c r="E106">
        <v>3891.63</v>
      </c>
      <c r="F106">
        <v>7.8121</v>
      </c>
      <c r="G106" s="43">
        <f t="shared" si="3"/>
        <v>498.1541454922492</v>
      </c>
      <c r="H106">
        <f t="shared" si="5"/>
        <v>-2.1178627616822099E-2</v>
      </c>
      <c r="I106"/>
      <c r="K106" s="38"/>
    </row>
    <row r="107" spans="1:11" x14ac:dyDescent="0.3">
      <c r="A107" s="16">
        <v>105</v>
      </c>
      <c r="B107" s="3">
        <v>45455</v>
      </c>
      <c r="C107" s="40">
        <v>5421.03</v>
      </c>
      <c r="D107" s="46">
        <f t="shared" si="4"/>
        <v>8.503679780924589E-3</v>
      </c>
      <c r="E107">
        <v>3849.14</v>
      </c>
      <c r="F107">
        <v>7.8093000000000004</v>
      </c>
      <c r="G107" s="43">
        <f t="shared" si="3"/>
        <v>492.8918084847553</v>
      </c>
      <c r="H107">
        <f t="shared" si="5"/>
        <v>-1.0563672018214287E-2</v>
      </c>
      <c r="I107"/>
      <c r="K107" s="38"/>
    </row>
    <row r="108" spans="1:11" x14ac:dyDescent="0.3">
      <c r="A108" s="16">
        <v>106</v>
      </c>
      <c r="B108" s="3">
        <v>45456</v>
      </c>
      <c r="C108" s="40">
        <v>5433.74</v>
      </c>
      <c r="D108" s="46">
        <f t="shared" si="4"/>
        <v>2.3445728948188194E-3</v>
      </c>
      <c r="E108">
        <v>3885.27</v>
      </c>
      <c r="F108">
        <v>7.8101000000000003</v>
      </c>
      <c r="G108" s="43">
        <f t="shared" si="3"/>
        <v>497.46738197974418</v>
      </c>
      <c r="H108">
        <f t="shared" si="5"/>
        <v>9.2831193706688353E-3</v>
      </c>
      <c r="I108"/>
      <c r="K108" s="38"/>
    </row>
    <row r="109" spans="1:11" x14ac:dyDescent="0.3">
      <c r="A109" s="16">
        <v>107</v>
      </c>
      <c r="B109" s="3">
        <v>45457</v>
      </c>
      <c r="C109" s="40">
        <v>5431.6</v>
      </c>
      <c r="D109" s="46">
        <f t="shared" si="4"/>
        <v>-3.9383555341243603E-4</v>
      </c>
      <c r="E109">
        <v>3892.72</v>
      </c>
      <c r="F109">
        <v>7.8106</v>
      </c>
      <c r="G109" s="43">
        <f t="shared" si="3"/>
        <v>498.38936829436915</v>
      </c>
      <c r="H109">
        <f t="shared" si="5"/>
        <v>1.8533603368240392E-3</v>
      </c>
      <c r="I109"/>
      <c r="K109" s="38"/>
    </row>
    <row r="110" spans="1:11" x14ac:dyDescent="0.3">
      <c r="A110" s="16">
        <v>108</v>
      </c>
      <c r="B110" s="3">
        <v>45460</v>
      </c>
      <c r="C110" s="40">
        <v>5473.23</v>
      </c>
      <c r="D110" s="46">
        <f t="shared" si="4"/>
        <v>7.6644082774870448E-3</v>
      </c>
      <c r="E110">
        <v>3848.11</v>
      </c>
      <c r="F110">
        <v>7.8101000000000003</v>
      </c>
      <c r="G110" s="43">
        <f t="shared" si="3"/>
        <v>492.70944034007249</v>
      </c>
      <c r="H110">
        <f t="shared" si="5"/>
        <v>-1.1396567253701639E-2</v>
      </c>
      <c r="I110"/>
      <c r="K110" s="38"/>
    </row>
    <row r="111" spans="1:11" x14ac:dyDescent="0.3">
      <c r="A111" s="16">
        <v>109</v>
      </c>
      <c r="B111" s="3">
        <v>45461</v>
      </c>
      <c r="C111" s="40">
        <v>5487.03</v>
      </c>
      <c r="D111" s="46">
        <f t="shared" si="4"/>
        <v>2.5213630708009749E-3</v>
      </c>
      <c r="E111">
        <v>3851.29</v>
      </c>
      <c r="F111">
        <v>7.8071000000000002</v>
      </c>
      <c r="G111" s="43">
        <f t="shared" si="3"/>
        <v>493.3060931716002</v>
      </c>
      <c r="H111">
        <f t="shared" si="5"/>
        <v>1.210962856964759E-3</v>
      </c>
      <c r="I111"/>
      <c r="K111" s="38"/>
    </row>
    <row r="112" spans="1:11" x14ac:dyDescent="0.3">
      <c r="A112" s="16">
        <v>110</v>
      </c>
      <c r="B112" s="3">
        <v>45463</v>
      </c>
      <c r="C112" s="40">
        <v>5473.17</v>
      </c>
      <c r="D112" s="46">
        <f t="shared" si="4"/>
        <v>-2.5259566650810417E-3</v>
      </c>
      <c r="E112">
        <v>3944.52</v>
      </c>
      <c r="F112">
        <v>7.8042999999999996</v>
      </c>
      <c r="G112" s="43">
        <f t="shared" si="3"/>
        <v>505.42905833963329</v>
      </c>
      <c r="H112">
        <f t="shared" si="5"/>
        <v>2.4574934986290708E-2</v>
      </c>
      <c r="I112"/>
      <c r="K112" s="38"/>
    </row>
    <row r="113" spans="1:11" x14ac:dyDescent="0.3">
      <c r="A113" s="16">
        <v>111</v>
      </c>
      <c r="B113" s="3">
        <v>45464</v>
      </c>
      <c r="C113" s="40">
        <v>5464.62</v>
      </c>
      <c r="D113" s="46">
        <f t="shared" si="4"/>
        <v>-1.5621659842468549E-3</v>
      </c>
      <c r="E113">
        <v>3897.34</v>
      </c>
      <c r="F113">
        <v>7.8056999999999999</v>
      </c>
      <c r="G113" s="43">
        <f t="shared" si="3"/>
        <v>499.29410558950514</v>
      </c>
      <c r="H113">
        <f t="shared" si="5"/>
        <v>-1.2138108501877354E-2</v>
      </c>
      <c r="I113"/>
      <c r="K113" s="38"/>
    </row>
    <row r="114" spans="1:11" x14ac:dyDescent="0.3">
      <c r="A114" s="16">
        <v>112</v>
      </c>
      <c r="B114" s="3">
        <v>45467</v>
      </c>
      <c r="C114" s="40">
        <v>5447.87</v>
      </c>
      <c r="D114" s="46">
        <f t="shared" si="4"/>
        <v>-3.0651719607218686E-3</v>
      </c>
      <c r="E114">
        <v>3890.44</v>
      </c>
      <c r="F114">
        <v>7.8075000000000001</v>
      </c>
      <c r="G114" s="43">
        <f t="shared" si="3"/>
        <v>498.29522894652575</v>
      </c>
      <c r="H114">
        <f t="shared" si="5"/>
        <v>-2.0005776791617302E-3</v>
      </c>
      <c r="I114"/>
      <c r="K114" s="38"/>
    </row>
    <row r="115" spans="1:11" x14ac:dyDescent="0.3">
      <c r="A115" s="16">
        <v>113</v>
      </c>
      <c r="B115" s="3">
        <v>45468</v>
      </c>
      <c r="C115" s="40">
        <v>5469.3</v>
      </c>
      <c r="D115" s="46">
        <f t="shared" si="4"/>
        <v>3.9336474622191364E-3</v>
      </c>
      <c r="E115">
        <v>3924.79</v>
      </c>
      <c r="F115">
        <v>7.8085000000000004</v>
      </c>
      <c r="G115" s="43">
        <f t="shared" si="3"/>
        <v>502.63046679900106</v>
      </c>
      <c r="H115">
        <f t="shared" si="5"/>
        <v>8.7001391958752006E-3</v>
      </c>
      <c r="I115"/>
      <c r="K115" s="38"/>
    </row>
    <row r="116" spans="1:11" x14ac:dyDescent="0.3">
      <c r="A116" s="16">
        <v>114</v>
      </c>
      <c r="B116" s="3">
        <v>45469</v>
      </c>
      <c r="C116" s="40">
        <v>5477.9</v>
      </c>
      <c r="D116" s="46">
        <f t="shared" si="4"/>
        <v>1.5724132887204867E-3</v>
      </c>
      <c r="E116">
        <v>3912.66</v>
      </c>
      <c r="F116">
        <v>7.8090999999999999</v>
      </c>
      <c r="G116" s="43">
        <f t="shared" si="3"/>
        <v>501.03853196911297</v>
      </c>
      <c r="H116">
        <f t="shared" si="5"/>
        <v>-3.1672071930424206E-3</v>
      </c>
      <c r="I116"/>
      <c r="K116" s="38"/>
    </row>
    <row r="117" spans="1:11" x14ac:dyDescent="0.3">
      <c r="A117" s="16">
        <v>115</v>
      </c>
      <c r="B117" s="3">
        <v>45470</v>
      </c>
      <c r="C117" s="40">
        <v>5482.87</v>
      </c>
      <c r="D117" s="46">
        <f t="shared" si="4"/>
        <v>9.0728198762302092E-4</v>
      </c>
      <c r="E117">
        <v>3813.78</v>
      </c>
      <c r="F117">
        <v>7.8087</v>
      </c>
      <c r="G117" s="43">
        <f t="shared" si="3"/>
        <v>488.40139844020132</v>
      </c>
      <c r="H117">
        <f t="shared" si="5"/>
        <v>-2.522187960124922E-2</v>
      </c>
      <c r="I117"/>
      <c r="K117" s="38"/>
    </row>
    <row r="118" spans="1:11" x14ac:dyDescent="0.3">
      <c r="A118" s="16">
        <v>116</v>
      </c>
      <c r="B118" s="3">
        <v>45471</v>
      </c>
      <c r="C118" s="40">
        <v>5460.48</v>
      </c>
      <c r="D118" s="46">
        <f t="shared" si="4"/>
        <v>-4.0836277351096184E-3</v>
      </c>
      <c r="E118">
        <v>3867.09</v>
      </c>
      <c r="F118">
        <v>7.8079999999999998</v>
      </c>
      <c r="G118" s="43">
        <f t="shared" si="3"/>
        <v>495.27279713114757</v>
      </c>
      <c r="H118">
        <f t="shared" si="5"/>
        <v>1.4069162604553043E-2</v>
      </c>
      <c r="I118"/>
      <c r="K118" s="38"/>
    </row>
    <row r="119" spans="1:11" x14ac:dyDescent="0.3">
      <c r="A119" s="16">
        <v>117</v>
      </c>
      <c r="B119" s="3">
        <v>45475</v>
      </c>
      <c r="C119" s="40">
        <v>5509.01</v>
      </c>
      <c r="D119" s="46">
        <f t="shared" si="4"/>
        <v>8.8874970698546996E-3</v>
      </c>
      <c r="E119">
        <v>3932.61</v>
      </c>
      <c r="F119">
        <v>7.8133999999999997</v>
      </c>
      <c r="G119" s="43">
        <f t="shared" si="3"/>
        <v>503.3160979855121</v>
      </c>
      <c r="H119">
        <f t="shared" si="5"/>
        <v>1.6240142606166019E-2</v>
      </c>
      <c r="I119"/>
      <c r="K119" s="38"/>
    </row>
    <row r="120" spans="1:11" x14ac:dyDescent="0.3">
      <c r="A120" s="16">
        <v>118</v>
      </c>
      <c r="B120" s="3">
        <v>45476</v>
      </c>
      <c r="C120" s="40">
        <v>5537.02</v>
      </c>
      <c r="D120" s="46">
        <f t="shared" si="4"/>
        <v>5.0843981041965858E-3</v>
      </c>
      <c r="E120">
        <v>3928.16</v>
      </c>
      <c r="F120">
        <v>7.8097000000000003</v>
      </c>
      <c r="G120" s="43">
        <f t="shared" si="3"/>
        <v>502.98474973430473</v>
      </c>
      <c r="H120">
        <f t="shared" si="5"/>
        <v>-6.5833032667461655E-4</v>
      </c>
      <c r="I120"/>
      <c r="K120" s="38"/>
    </row>
    <row r="121" spans="1:11" x14ac:dyDescent="0.3">
      <c r="A121" s="16">
        <v>119</v>
      </c>
      <c r="B121" s="3">
        <v>45478</v>
      </c>
      <c r="C121" s="40">
        <v>5567.19</v>
      </c>
      <c r="D121" s="46">
        <f t="shared" si="4"/>
        <v>5.4487793072806046E-3</v>
      </c>
      <c r="E121">
        <v>3881.05</v>
      </c>
      <c r="F121">
        <v>7.8129</v>
      </c>
      <c r="G121" s="43">
        <f t="shared" si="3"/>
        <v>496.74896645291761</v>
      </c>
      <c r="H121">
        <f t="shared" si="5"/>
        <v>-1.2397559338888642E-2</v>
      </c>
      <c r="I121"/>
      <c r="K121" s="38"/>
    </row>
    <row r="122" spans="1:11" x14ac:dyDescent="0.3">
      <c r="A122" s="16">
        <v>120</v>
      </c>
      <c r="B122" s="3">
        <v>45481</v>
      </c>
      <c r="C122" s="40">
        <v>5572.85</v>
      </c>
      <c r="D122" s="46">
        <f t="shared" si="4"/>
        <v>1.0166708878267539E-3</v>
      </c>
      <c r="E122">
        <v>3831.45</v>
      </c>
      <c r="F122">
        <v>7.8095999999999997</v>
      </c>
      <c r="G122" s="43">
        <f t="shared" si="3"/>
        <v>490.60771358328213</v>
      </c>
      <c r="H122">
        <f t="shared" si="5"/>
        <v>-1.2362890080049205E-2</v>
      </c>
      <c r="I122"/>
      <c r="K122" s="38"/>
    </row>
    <row r="123" spans="1:11" x14ac:dyDescent="0.3">
      <c r="A123" s="16">
        <v>121</v>
      </c>
      <c r="B123" s="3">
        <v>45482</v>
      </c>
      <c r="C123" s="40">
        <v>5576.98</v>
      </c>
      <c r="D123" s="46">
        <f t="shared" si="4"/>
        <v>7.410929775606423E-4</v>
      </c>
      <c r="E123">
        <v>3812.51</v>
      </c>
      <c r="F123">
        <v>7.8117999999999999</v>
      </c>
      <c r="G123" s="43">
        <f t="shared" si="3"/>
        <v>488.04500883279144</v>
      </c>
      <c r="H123">
        <f t="shared" si="5"/>
        <v>-5.2235313052322319E-3</v>
      </c>
      <c r="I123"/>
      <c r="K123" s="38"/>
    </row>
    <row r="124" spans="1:11" x14ac:dyDescent="0.3">
      <c r="A124" s="16">
        <v>122</v>
      </c>
      <c r="B124" s="3">
        <v>45483</v>
      </c>
      <c r="C124" s="40">
        <v>5633.91</v>
      </c>
      <c r="D124" s="46">
        <f t="shared" si="4"/>
        <v>1.0208033738690059E-2</v>
      </c>
      <c r="E124">
        <v>3738.74</v>
      </c>
      <c r="F124">
        <v>7.8108000000000004</v>
      </c>
      <c r="G124" s="43">
        <f t="shared" si="3"/>
        <v>478.66287704204427</v>
      </c>
      <c r="H124">
        <f t="shared" si="5"/>
        <v>-1.9223906854790918E-2</v>
      </c>
      <c r="I124"/>
      <c r="K124" s="38"/>
    </row>
    <row r="125" spans="1:11" x14ac:dyDescent="0.3">
      <c r="A125" s="16">
        <v>123</v>
      </c>
      <c r="B125" s="3">
        <v>45484</v>
      </c>
      <c r="C125" s="40">
        <v>5584.54</v>
      </c>
      <c r="D125" s="46">
        <f t="shared" si="4"/>
        <v>-8.763008283767415E-3</v>
      </c>
      <c r="E125">
        <v>3799.4</v>
      </c>
      <c r="F125">
        <v>7.8074000000000003</v>
      </c>
      <c r="G125" s="43">
        <f t="shared" si="3"/>
        <v>486.6408791659195</v>
      </c>
      <c r="H125">
        <f t="shared" si="5"/>
        <v>1.6667267311758716E-2</v>
      </c>
      <c r="I125"/>
      <c r="K125" s="38"/>
    </row>
    <row r="126" spans="1:11" x14ac:dyDescent="0.3">
      <c r="A126" s="16">
        <v>124</v>
      </c>
      <c r="B126" s="3">
        <v>45485</v>
      </c>
      <c r="C126" s="40">
        <v>5615.35</v>
      </c>
      <c r="D126" s="46">
        <f t="shared" si="4"/>
        <v>5.5170166208855509E-3</v>
      </c>
      <c r="E126">
        <v>3840.25</v>
      </c>
      <c r="F126">
        <v>7.8072999999999997</v>
      </c>
      <c r="G126" s="43">
        <f t="shared" si="3"/>
        <v>491.87939492526226</v>
      </c>
      <c r="H126">
        <f t="shared" si="5"/>
        <v>1.0764643875215141E-2</v>
      </c>
      <c r="I126"/>
      <c r="K126" s="38"/>
    </row>
    <row r="127" spans="1:11" x14ac:dyDescent="0.3">
      <c r="A127" s="16">
        <v>125</v>
      </c>
      <c r="B127" s="3">
        <v>45488</v>
      </c>
      <c r="C127" s="40">
        <v>5631.22</v>
      </c>
      <c r="D127" s="46">
        <f t="shared" si="4"/>
        <v>2.826181805230199E-3</v>
      </c>
      <c r="E127">
        <v>3805.8</v>
      </c>
      <c r="F127">
        <v>7.8064</v>
      </c>
      <c r="G127" s="43">
        <f t="shared" si="3"/>
        <v>487.5230580036893</v>
      </c>
      <c r="H127">
        <f t="shared" si="5"/>
        <v>-8.8565143539603985E-3</v>
      </c>
      <c r="I127"/>
      <c r="K127" s="38"/>
    </row>
    <row r="128" spans="1:11" x14ac:dyDescent="0.3">
      <c r="A128" s="16">
        <v>126</v>
      </c>
      <c r="B128" s="3">
        <v>45489</v>
      </c>
      <c r="C128" s="40">
        <v>5667.2</v>
      </c>
      <c r="D128" s="46">
        <f t="shared" si="4"/>
        <v>6.3893792108991043E-3</v>
      </c>
      <c r="E128">
        <v>3765.11</v>
      </c>
      <c r="F128">
        <v>7.8075999999999999</v>
      </c>
      <c r="G128" s="43">
        <f t="shared" si="3"/>
        <v>482.23653875710846</v>
      </c>
      <c r="H128">
        <f t="shared" si="5"/>
        <v>-1.0843629157209711E-2</v>
      </c>
      <c r="I128"/>
      <c r="K128" s="38"/>
    </row>
    <row r="129" spans="1:11" x14ac:dyDescent="0.3">
      <c r="A129" s="16">
        <v>127</v>
      </c>
      <c r="B129" s="3">
        <v>45490</v>
      </c>
      <c r="C129" s="40">
        <v>5588.27</v>
      </c>
      <c r="D129" s="46">
        <f t="shared" si="4"/>
        <v>-1.3927512704686507E-2</v>
      </c>
      <c r="E129">
        <v>3720.7</v>
      </c>
      <c r="F129">
        <v>7.8071000000000002</v>
      </c>
      <c r="G129" s="43">
        <f t="shared" si="3"/>
        <v>476.57901141268843</v>
      </c>
      <c r="H129">
        <f t="shared" si="5"/>
        <v>-1.1731851259138226E-2</v>
      </c>
      <c r="I129"/>
      <c r="K129" s="38"/>
    </row>
    <row r="130" spans="1:11" x14ac:dyDescent="0.3">
      <c r="A130" s="16">
        <v>128</v>
      </c>
      <c r="B130" s="3">
        <v>45491</v>
      </c>
      <c r="C130" s="40">
        <v>5544.59</v>
      </c>
      <c r="D130" s="46">
        <f t="shared" si="4"/>
        <v>-7.8163725088444824E-3</v>
      </c>
      <c r="E130">
        <v>3762.71</v>
      </c>
      <c r="F130">
        <v>7.8101000000000003</v>
      </c>
      <c r="G130" s="43">
        <f t="shared" si="3"/>
        <v>481.774881243518</v>
      </c>
      <c r="H130">
        <f t="shared" si="5"/>
        <v>1.0902431089921061E-2</v>
      </c>
      <c r="I130"/>
      <c r="K130" s="38"/>
    </row>
    <row r="131" spans="1:11" x14ac:dyDescent="0.3">
      <c r="A131" s="16">
        <v>129</v>
      </c>
      <c r="B131" s="3">
        <v>45492</v>
      </c>
      <c r="C131" s="40">
        <v>5505</v>
      </c>
      <c r="D131" s="46">
        <f t="shared" si="4"/>
        <v>-7.1402935113327182E-3</v>
      </c>
      <c r="E131">
        <v>3662.77</v>
      </c>
      <c r="F131">
        <v>7.8101000000000003</v>
      </c>
      <c r="G131" s="43">
        <f t="shared" ref="G131:G194" si="6">E131/F131</f>
        <v>468.97863023520824</v>
      </c>
      <c r="H131">
        <f t="shared" si="5"/>
        <v>-2.6560643791309957E-2</v>
      </c>
      <c r="I131"/>
      <c r="K131" s="38"/>
    </row>
    <row r="132" spans="1:11" x14ac:dyDescent="0.3">
      <c r="A132" s="16">
        <v>130</v>
      </c>
      <c r="B132" s="3">
        <v>45495</v>
      </c>
      <c r="C132" s="40">
        <v>5564.41</v>
      </c>
      <c r="D132" s="46">
        <f t="shared" ref="D132:D195" si="7">$C132/$C131-1</f>
        <v>1.0792007266121617E-2</v>
      </c>
      <c r="E132">
        <v>3703.58</v>
      </c>
      <c r="F132">
        <v>7.8071000000000002</v>
      </c>
      <c r="G132" s="43">
        <f t="shared" si="6"/>
        <v>474.38613569699373</v>
      </c>
      <c r="H132">
        <f t="shared" ref="H132:H195" si="8">$G132/$G131-1</f>
        <v>1.1530387768571515E-2</v>
      </c>
      <c r="I132"/>
      <c r="K132" s="38"/>
    </row>
    <row r="133" spans="1:11" x14ac:dyDescent="0.3">
      <c r="A133" s="16">
        <v>131</v>
      </c>
      <c r="B133" s="3">
        <v>45496</v>
      </c>
      <c r="C133" s="40">
        <v>5555.74</v>
      </c>
      <c r="D133" s="46">
        <f t="shared" si="7"/>
        <v>-1.558116673645582E-3</v>
      </c>
      <c r="E133">
        <v>3671.09</v>
      </c>
      <c r="F133">
        <v>7.8093000000000004</v>
      </c>
      <c r="G133" s="43">
        <f t="shared" si="6"/>
        <v>470.09206971175394</v>
      </c>
      <c r="H133">
        <f t="shared" si="8"/>
        <v>-9.0518370207651744E-3</v>
      </c>
      <c r="I133"/>
      <c r="K133" s="38"/>
    </row>
    <row r="134" spans="1:11" x14ac:dyDescent="0.3">
      <c r="A134" s="16">
        <v>132</v>
      </c>
      <c r="B134" s="3">
        <v>45497</v>
      </c>
      <c r="C134" s="40">
        <v>5427.13</v>
      </c>
      <c r="D134" s="46">
        <f t="shared" si="7"/>
        <v>-2.3149031452155744E-2</v>
      </c>
      <c r="E134">
        <v>3671.99</v>
      </c>
      <c r="F134">
        <v>7.8083999999999998</v>
      </c>
      <c r="G134" s="43">
        <f t="shared" si="6"/>
        <v>470.26151324214948</v>
      </c>
      <c r="H134">
        <f t="shared" si="8"/>
        <v>3.6044754062625195E-4</v>
      </c>
      <c r="I134"/>
      <c r="K134" s="38"/>
    </row>
    <row r="135" spans="1:11" x14ac:dyDescent="0.3">
      <c r="A135" s="16">
        <v>133</v>
      </c>
      <c r="B135" s="3">
        <v>45498</v>
      </c>
      <c r="C135" s="40">
        <v>5399.22</v>
      </c>
      <c r="D135" s="46">
        <f t="shared" si="7"/>
        <v>-5.1426813066942634E-3</v>
      </c>
      <c r="E135">
        <v>3592.85</v>
      </c>
      <c r="F135">
        <v>7.8064</v>
      </c>
      <c r="G135" s="43">
        <f t="shared" si="6"/>
        <v>460.24415863906535</v>
      </c>
      <c r="H135">
        <f t="shared" si="8"/>
        <v>-2.1301667946460157E-2</v>
      </c>
      <c r="I135"/>
      <c r="K135" s="38"/>
    </row>
    <row r="136" spans="1:11" x14ac:dyDescent="0.3">
      <c r="A136" s="16">
        <v>134</v>
      </c>
      <c r="B136" s="3">
        <v>45499</v>
      </c>
      <c r="C136" s="40">
        <v>5459.1</v>
      </c>
      <c r="D136" s="46">
        <f t="shared" si="7"/>
        <v>1.1090490848678192E-2</v>
      </c>
      <c r="E136">
        <v>3574.16</v>
      </c>
      <c r="F136">
        <v>7.8066000000000004</v>
      </c>
      <c r="G136" s="43">
        <f t="shared" si="6"/>
        <v>457.83823943842384</v>
      </c>
      <c r="H136">
        <f t="shared" si="8"/>
        <v>-5.2274844894408812E-3</v>
      </c>
      <c r="I136"/>
      <c r="K136" s="38"/>
    </row>
    <row r="137" spans="1:11" x14ac:dyDescent="0.3">
      <c r="A137" s="16">
        <v>135</v>
      </c>
      <c r="B137" s="3">
        <v>45502</v>
      </c>
      <c r="C137" s="40">
        <v>5463.54</v>
      </c>
      <c r="D137" s="46">
        <f t="shared" si="7"/>
        <v>8.1332087706753597E-4</v>
      </c>
      <c r="E137">
        <v>3579.61</v>
      </c>
      <c r="F137">
        <v>7.8098000000000001</v>
      </c>
      <c r="G137" s="43">
        <f t="shared" si="6"/>
        <v>458.34848523649777</v>
      </c>
      <c r="H137">
        <f t="shared" si="8"/>
        <v>1.1144674125511678E-3</v>
      </c>
      <c r="I137"/>
      <c r="K137" s="38"/>
    </row>
    <row r="138" spans="1:11" x14ac:dyDescent="0.3">
      <c r="A138" s="16">
        <v>136</v>
      </c>
      <c r="B138" s="3">
        <v>45503</v>
      </c>
      <c r="C138" s="40">
        <v>5436.44</v>
      </c>
      <c r="D138" s="46">
        <f t="shared" si="7"/>
        <v>-4.9601540393225951E-3</v>
      </c>
      <c r="E138">
        <v>3522.7</v>
      </c>
      <c r="F138">
        <v>7.8132000000000001</v>
      </c>
      <c r="G138" s="43">
        <f t="shared" si="6"/>
        <v>450.86520247785796</v>
      </c>
      <c r="H138">
        <f t="shared" si="8"/>
        <v>-1.6326622645602473E-2</v>
      </c>
      <c r="I138"/>
      <c r="K138" s="38"/>
    </row>
    <row r="139" spans="1:11" x14ac:dyDescent="0.3">
      <c r="A139" s="16">
        <v>137</v>
      </c>
      <c r="B139" s="3">
        <v>45504</v>
      </c>
      <c r="C139" s="40">
        <v>5522.3</v>
      </c>
      <c r="D139" s="46">
        <f t="shared" si="7"/>
        <v>1.579342363752767E-2</v>
      </c>
      <c r="E139">
        <v>3569.81</v>
      </c>
      <c r="F139">
        <v>7.8120000000000003</v>
      </c>
      <c r="G139" s="43">
        <f t="shared" si="6"/>
        <v>456.96492575524832</v>
      </c>
      <c r="H139">
        <f t="shared" si="8"/>
        <v>1.3528928921255456E-2</v>
      </c>
      <c r="I139"/>
      <c r="K139" s="38"/>
    </row>
    <row r="140" spans="1:11" x14ac:dyDescent="0.3">
      <c r="A140" s="16">
        <v>138</v>
      </c>
      <c r="B140" s="3">
        <v>45505</v>
      </c>
      <c r="C140" s="40">
        <v>5446.68</v>
      </c>
      <c r="D140" s="46">
        <f t="shared" si="7"/>
        <v>-1.3693569708273734E-2</v>
      </c>
      <c r="E140">
        <v>3563.46</v>
      </c>
      <c r="F140">
        <v>7.8147000000000002</v>
      </c>
      <c r="G140" s="43">
        <f t="shared" si="6"/>
        <v>455.994471956697</v>
      </c>
      <c r="H140">
        <f t="shared" si="8"/>
        <v>-2.1236942790464619E-3</v>
      </c>
      <c r="I140"/>
      <c r="K140" s="38"/>
    </row>
    <row r="141" spans="1:11" x14ac:dyDescent="0.3">
      <c r="A141" s="16">
        <v>139</v>
      </c>
      <c r="B141" s="3">
        <v>45506</v>
      </c>
      <c r="C141" s="40">
        <v>5346.56</v>
      </c>
      <c r="D141" s="46">
        <f t="shared" si="7"/>
        <v>-1.8381839946536194E-2</v>
      </c>
      <c r="E141">
        <v>3544.48</v>
      </c>
      <c r="F141">
        <v>7.8061999999999996</v>
      </c>
      <c r="G141" s="43">
        <f t="shared" si="6"/>
        <v>454.05959365632447</v>
      </c>
      <c r="H141">
        <f t="shared" si="8"/>
        <v>-4.2432056074492852E-3</v>
      </c>
      <c r="I141"/>
      <c r="K141" s="38"/>
    </row>
    <row r="142" spans="1:11" x14ac:dyDescent="0.3">
      <c r="A142" s="16">
        <v>140</v>
      </c>
      <c r="B142" s="3">
        <v>45509</v>
      </c>
      <c r="C142" s="40">
        <v>5186.33</v>
      </c>
      <c r="D142" s="46">
        <f t="shared" si="7"/>
        <v>-2.9968802370122227E-2</v>
      </c>
      <c r="E142">
        <v>3463.65</v>
      </c>
      <c r="F142">
        <v>7.7885</v>
      </c>
      <c r="G142" s="43">
        <f t="shared" si="6"/>
        <v>444.71335944020029</v>
      </c>
      <c r="H142">
        <f t="shared" si="8"/>
        <v>-2.05837170862605E-2</v>
      </c>
      <c r="I142"/>
      <c r="K142" s="38"/>
    </row>
    <row r="143" spans="1:11" x14ac:dyDescent="0.3">
      <c r="A143" s="16">
        <v>141</v>
      </c>
      <c r="B143" s="3">
        <v>45510</v>
      </c>
      <c r="C143" s="40">
        <v>5240.03</v>
      </c>
      <c r="D143" s="46">
        <f t="shared" si="7"/>
        <v>1.0354142524675369E-2</v>
      </c>
      <c r="E143">
        <v>3466.73</v>
      </c>
      <c r="F143">
        <v>7.7944000000000004</v>
      </c>
      <c r="G143" s="43">
        <f t="shared" si="6"/>
        <v>444.7718875089808</v>
      </c>
      <c r="H143">
        <f t="shared" si="8"/>
        <v>1.3160852386850941E-4</v>
      </c>
      <c r="I143"/>
      <c r="K143" s="38"/>
    </row>
    <row r="144" spans="1:11" x14ac:dyDescent="0.3">
      <c r="A144" s="16">
        <v>142</v>
      </c>
      <c r="B144" s="3">
        <v>45511</v>
      </c>
      <c r="C144" s="40">
        <v>5199.5</v>
      </c>
      <c r="D144" s="46">
        <f t="shared" si="7"/>
        <v>-7.7346885418594358E-3</v>
      </c>
      <c r="E144">
        <v>3524.17</v>
      </c>
      <c r="F144">
        <v>7.7984</v>
      </c>
      <c r="G144" s="43">
        <f t="shared" si="6"/>
        <v>451.90936602379975</v>
      </c>
      <c r="H144">
        <f t="shared" si="8"/>
        <v>1.6047503709808675E-2</v>
      </c>
      <c r="I144"/>
      <c r="K144" s="38"/>
    </row>
    <row r="145" spans="1:11" x14ac:dyDescent="0.3">
      <c r="A145" s="16">
        <v>143</v>
      </c>
      <c r="B145" s="3">
        <v>45512</v>
      </c>
      <c r="C145" s="40">
        <v>5319.31</v>
      </c>
      <c r="D145" s="46">
        <f t="shared" si="7"/>
        <v>2.3042600250024137E-2</v>
      </c>
      <c r="E145">
        <v>3523.18</v>
      </c>
      <c r="F145">
        <v>7.7946</v>
      </c>
      <c r="G145" s="43">
        <f t="shared" si="6"/>
        <v>452.00266851409947</v>
      </c>
      <c r="H145">
        <f t="shared" si="8"/>
        <v>2.0646283815861644E-4</v>
      </c>
      <c r="I145"/>
      <c r="K145" s="38"/>
    </row>
    <row r="146" spans="1:11" x14ac:dyDescent="0.3">
      <c r="A146" s="16">
        <v>144</v>
      </c>
      <c r="B146" s="3">
        <v>45513</v>
      </c>
      <c r="C146" s="40">
        <v>5344.16</v>
      </c>
      <c r="D146" s="46">
        <f t="shared" si="7"/>
        <v>4.6716585421793244E-3</v>
      </c>
      <c r="E146">
        <v>3554.56</v>
      </c>
      <c r="F146">
        <v>7.7975000000000003</v>
      </c>
      <c r="G146" s="43">
        <f t="shared" si="6"/>
        <v>455.85892914395635</v>
      </c>
      <c r="H146">
        <f t="shared" si="8"/>
        <v>8.5314996978531621E-3</v>
      </c>
      <c r="I146"/>
      <c r="K146" s="38"/>
    </row>
    <row r="147" spans="1:11" x14ac:dyDescent="0.3">
      <c r="A147" s="16">
        <v>145</v>
      </c>
      <c r="B147" s="3">
        <v>45516</v>
      </c>
      <c r="C147" s="40">
        <v>5344.39</v>
      </c>
      <c r="D147" s="46">
        <f t="shared" si="7"/>
        <v>4.3037633603804082E-5</v>
      </c>
      <c r="E147">
        <v>3537.68</v>
      </c>
      <c r="F147">
        <v>7.7907999999999999</v>
      </c>
      <c r="G147" s="43">
        <f t="shared" si="6"/>
        <v>454.08430456435792</v>
      </c>
      <c r="H147">
        <f t="shared" si="8"/>
        <v>-3.8929249075606576E-3</v>
      </c>
      <c r="I147"/>
      <c r="K147" s="38"/>
    </row>
    <row r="148" spans="1:11" x14ac:dyDescent="0.3">
      <c r="A148" s="16">
        <v>146</v>
      </c>
      <c r="B148" s="3">
        <v>45517</v>
      </c>
      <c r="C148" s="40">
        <v>5434.43</v>
      </c>
      <c r="D148" s="46">
        <f t="shared" si="7"/>
        <v>1.6847572875482442E-2</v>
      </c>
      <c r="E148">
        <v>3556.71</v>
      </c>
      <c r="F148">
        <v>7.7881</v>
      </c>
      <c r="G148" s="43">
        <f t="shared" si="6"/>
        <v>456.68519921418573</v>
      </c>
      <c r="H148">
        <f t="shared" si="8"/>
        <v>5.727779233248409E-3</v>
      </c>
      <c r="I148"/>
      <c r="K148" s="38"/>
    </row>
    <row r="149" spans="1:11" x14ac:dyDescent="0.3">
      <c r="A149" s="16">
        <v>147</v>
      </c>
      <c r="B149" s="3">
        <v>45518</v>
      </c>
      <c r="C149" s="40">
        <v>5455.21</v>
      </c>
      <c r="D149" s="46">
        <f t="shared" si="7"/>
        <v>3.8237680860733203E-3</v>
      </c>
      <c r="E149">
        <v>3546.65</v>
      </c>
      <c r="F149">
        <v>7.7919999999999998</v>
      </c>
      <c r="G149" s="43">
        <f t="shared" si="6"/>
        <v>455.16555441478442</v>
      </c>
      <c r="H149">
        <f t="shared" si="8"/>
        <v>-3.3275543022110998E-3</v>
      </c>
      <c r="I149"/>
      <c r="K149" s="38"/>
    </row>
    <row r="150" spans="1:11" x14ac:dyDescent="0.3">
      <c r="A150" s="16">
        <v>148</v>
      </c>
      <c r="B150" s="3">
        <v>45519</v>
      </c>
      <c r="C150" s="40">
        <v>5543.22</v>
      </c>
      <c r="D150" s="46">
        <f t="shared" si="7"/>
        <v>1.6133201104998829E-2</v>
      </c>
      <c r="E150">
        <v>3558.66</v>
      </c>
      <c r="F150">
        <v>7.7968000000000002</v>
      </c>
      <c r="G150" s="43">
        <f t="shared" si="6"/>
        <v>456.42571311307199</v>
      </c>
      <c r="H150">
        <f t="shared" si="8"/>
        <v>2.7685721954679998E-3</v>
      </c>
      <c r="I150"/>
      <c r="K150" s="38"/>
    </row>
    <row r="151" spans="1:11" x14ac:dyDescent="0.3">
      <c r="A151" s="16">
        <v>149</v>
      </c>
      <c r="B151" s="3">
        <v>45520</v>
      </c>
      <c r="C151" s="40">
        <v>5554.25</v>
      </c>
      <c r="D151" s="46">
        <f t="shared" si="7"/>
        <v>1.9898181923141411E-3</v>
      </c>
      <c r="E151">
        <v>3585.6</v>
      </c>
      <c r="F151">
        <v>7.7942999999999998</v>
      </c>
      <c r="G151" s="43">
        <f t="shared" si="6"/>
        <v>460.02848235248837</v>
      </c>
      <c r="H151">
        <f t="shared" si="8"/>
        <v>7.8934405663597662E-3</v>
      </c>
      <c r="I151"/>
      <c r="K151" s="38"/>
    </row>
    <row r="152" spans="1:11" x14ac:dyDescent="0.3">
      <c r="A152" s="16">
        <v>150</v>
      </c>
      <c r="B152" s="3">
        <v>45523</v>
      </c>
      <c r="C152" s="40">
        <v>5608.25</v>
      </c>
      <c r="D152" s="46">
        <f t="shared" si="7"/>
        <v>9.7222847369131671E-3</v>
      </c>
      <c r="E152">
        <v>3611.02</v>
      </c>
      <c r="F152">
        <v>7.7882999999999996</v>
      </c>
      <c r="G152" s="43">
        <f t="shared" si="6"/>
        <v>463.64675217955141</v>
      </c>
      <c r="H152">
        <f t="shared" si="8"/>
        <v>7.8653169659408384E-3</v>
      </c>
      <c r="I152"/>
      <c r="K152" s="38"/>
    </row>
    <row r="153" spans="1:11" x14ac:dyDescent="0.3">
      <c r="A153" s="16">
        <v>151</v>
      </c>
      <c r="B153" s="3">
        <v>45524</v>
      </c>
      <c r="C153" s="40">
        <v>5597.12</v>
      </c>
      <c r="D153" s="46">
        <f t="shared" si="7"/>
        <v>-1.9845762938528466E-3</v>
      </c>
      <c r="E153">
        <v>3576.8</v>
      </c>
      <c r="F153">
        <v>7.7880000000000003</v>
      </c>
      <c r="G153" s="43">
        <f t="shared" si="6"/>
        <v>459.27067282999485</v>
      </c>
      <c r="H153">
        <f t="shared" si="8"/>
        <v>-9.4383910358157852E-3</v>
      </c>
      <c r="I153"/>
      <c r="K153" s="38"/>
    </row>
    <row r="154" spans="1:11" x14ac:dyDescent="0.3">
      <c r="A154" s="16">
        <v>152</v>
      </c>
      <c r="B154" s="3">
        <v>45525</v>
      </c>
      <c r="C154" s="40">
        <v>5620.85</v>
      </c>
      <c r="D154" s="46">
        <f t="shared" si="7"/>
        <v>4.2396804070665706E-3</v>
      </c>
      <c r="E154">
        <v>3564.8</v>
      </c>
      <c r="F154">
        <v>7.7937000000000003</v>
      </c>
      <c r="G154" s="43">
        <f t="shared" si="6"/>
        <v>457.39507550970654</v>
      </c>
      <c r="H154">
        <f t="shared" si="8"/>
        <v>-4.0838604144501911E-3</v>
      </c>
      <c r="I154"/>
      <c r="K154" s="38"/>
    </row>
    <row r="155" spans="1:11" x14ac:dyDescent="0.3">
      <c r="A155" s="16">
        <v>153</v>
      </c>
      <c r="B155" s="3">
        <v>45526</v>
      </c>
      <c r="C155" s="40">
        <v>5570.64</v>
      </c>
      <c r="D155" s="46">
        <f t="shared" si="7"/>
        <v>-8.9328126528905871E-3</v>
      </c>
      <c r="E155">
        <v>3556.4</v>
      </c>
      <c r="F155">
        <v>7.7965</v>
      </c>
      <c r="G155" s="43">
        <f t="shared" si="6"/>
        <v>456.15340216763934</v>
      </c>
      <c r="H155">
        <f t="shared" si="8"/>
        <v>-2.7146626812357688E-3</v>
      </c>
      <c r="I155"/>
      <c r="K155" s="38"/>
    </row>
    <row r="156" spans="1:11" x14ac:dyDescent="0.3">
      <c r="A156" s="16">
        <v>154</v>
      </c>
      <c r="B156" s="3">
        <v>45527</v>
      </c>
      <c r="C156" s="40">
        <v>5634.61</v>
      </c>
      <c r="D156" s="46">
        <f t="shared" si="7"/>
        <v>1.1483420217425433E-2</v>
      </c>
      <c r="E156">
        <v>3544.67</v>
      </c>
      <c r="F156">
        <v>7.7953999999999999</v>
      </c>
      <c r="G156" s="43">
        <f t="shared" si="6"/>
        <v>454.71303589296252</v>
      </c>
      <c r="H156">
        <f t="shared" si="8"/>
        <v>-3.1576357160381097E-3</v>
      </c>
      <c r="I156"/>
      <c r="K156" s="38"/>
    </row>
    <row r="157" spans="1:11" x14ac:dyDescent="0.3">
      <c r="A157" s="16">
        <v>155</v>
      </c>
      <c r="B157" s="3">
        <v>45530</v>
      </c>
      <c r="C157" s="40">
        <v>5616.84</v>
      </c>
      <c r="D157" s="46">
        <f t="shared" si="7"/>
        <v>-3.1537231503155905E-3</v>
      </c>
      <c r="E157">
        <v>3558.87</v>
      </c>
      <c r="F157">
        <v>7.7958999999999996</v>
      </c>
      <c r="G157" s="43">
        <f t="shared" si="6"/>
        <v>456.5053425518542</v>
      </c>
      <c r="H157">
        <f t="shared" si="8"/>
        <v>3.9416214566445618E-3</v>
      </c>
      <c r="I157"/>
      <c r="K157" s="38"/>
    </row>
    <row r="158" spans="1:11" x14ac:dyDescent="0.3">
      <c r="A158" s="16">
        <v>156</v>
      </c>
      <c r="B158" s="3">
        <v>45531</v>
      </c>
      <c r="C158" s="40">
        <v>5625.8</v>
      </c>
      <c r="D158" s="46">
        <f t="shared" si="7"/>
        <v>1.5952029967027936E-3</v>
      </c>
      <c r="E158">
        <v>3621.12</v>
      </c>
      <c r="F158">
        <v>7.8010999999999999</v>
      </c>
      <c r="G158" s="43">
        <f t="shared" si="6"/>
        <v>464.18069246644706</v>
      </c>
      <c r="H158">
        <f t="shared" si="8"/>
        <v>1.681327511237396E-2</v>
      </c>
      <c r="I158"/>
      <c r="K158" s="38"/>
    </row>
    <row r="159" spans="1:11" x14ac:dyDescent="0.3">
      <c r="A159" s="16">
        <v>157</v>
      </c>
      <c r="B159" s="3">
        <v>45532</v>
      </c>
      <c r="C159" s="40">
        <v>5592.18</v>
      </c>
      <c r="D159" s="46">
        <f t="shared" si="7"/>
        <v>-5.9760389633474187E-3</v>
      </c>
      <c r="E159">
        <v>3560.61</v>
      </c>
      <c r="F159">
        <v>7.8007</v>
      </c>
      <c r="G159" s="43">
        <f t="shared" si="6"/>
        <v>456.44749830143451</v>
      </c>
      <c r="H159">
        <f t="shared" si="8"/>
        <v>-1.6659878987904109E-2</v>
      </c>
      <c r="I159"/>
      <c r="K159" s="38"/>
    </row>
    <row r="160" spans="1:11" x14ac:dyDescent="0.3">
      <c r="A160" s="16">
        <v>158</v>
      </c>
      <c r="B160" s="3">
        <v>45533</v>
      </c>
      <c r="C160" s="40">
        <v>5591.96</v>
      </c>
      <c r="D160" s="46">
        <f t="shared" si="7"/>
        <v>-3.9340650694441592E-5</v>
      </c>
      <c r="E160">
        <v>3576.95</v>
      </c>
      <c r="F160">
        <v>7.7975000000000003</v>
      </c>
      <c r="G160" s="43">
        <f t="shared" si="6"/>
        <v>458.73036229560751</v>
      </c>
      <c r="H160">
        <f t="shared" si="8"/>
        <v>5.0013725623827554E-3</v>
      </c>
      <c r="I160"/>
      <c r="K160" s="38"/>
    </row>
    <row r="161" spans="1:11" x14ac:dyDescent="0.3">
      <c r="A161" s="16">
        <v>159</v>
      </c>
      <c r="B161" s="3">
        <v>45534</v>
      </c>
      <c r="C161" s="40">
        <v>5648.4</v>
      </c>
      <c r="D161" s="46">
        <f t="shared" si="7"/>
        <v>1.0093062182132906E-2</v>
      </c>
      <c r="E161">
        <v>3620.96</v>
      </c>
      <c r="F161">
        <v>7.7972999999999999</v>
      </c>
      <c r="G161" s="43">
        <f t="shared" si="6"/>
        <v>464.38639016069664</v>
      </c>
      <c r="H161">
        <f t="shared" si="8"/>
        <v>1.2329743853850994E-2</v>
      </c>
      <c r="I161"/>
      <c r="K161" s="38"/>
    </row>
    <row r="162" spans="1:11" x14ac:dyDescent="0.3">
      <c r="A162" s="16">
        <v>160</v>
      </c>
      <c r="B162" s="3">
        <v>45538</v>
      </c>
      <c r="C162" s="40">
        <v>5528.93</v>
      </c>
      <c r="D162" s="46">
        <f t="shared" si="7"/>
        <v>-2.1151122441753323E-2</v>
      </c>
      <c r="E162">
        <v>3576.35</v>
      </c>
      <c r="F162">
        <v>7.7986000000000004</v>
      </c>
      <c r="G162" s="43">
        <f t="shared" si="6"/>
        <v>458.58872105249657</v>
      </c>
      <c r="H162">
        <f t="shared" si="8"/>
        <v>-1.248458014928866E-2</v>
      </c>
      <c r="I162"/>
      <c r="K162" s="38"/>
    </row>
    <row r="163" spans="1:11" x14ac:dyDescent="0.3">
      <c r="A163" s="16">
        <v>161</v>
      </c>
      <c r="B163" s="3">
        <v>45539</v>
      </c>
      <c r="C163" s="40">
        <v>5520.07</v>
      </c>
      <c r="D163" s="46">
        <f t="shared" si="7"/>
        <v>-1.6024800458679378E-3</v>
      </c>
      <c r="E163">
        <v>3513.37</v>
      </c>
      <c r="F163">
        <v>7.7967000000000004</v>
      </c>
      <c r="G163" s="43">
        <f t="shared" si="6"/>
        <v>450.62269934715965</v>
      </c>
      <c r="H163">
        <f t="shared" si="8"/>
        <v>-1.7370731855450572E-2</v>
      </c>
      <c r="I163"/>
      <c r="K163" s="38"/>
    </row>
    <row r="164" spans="1:11" x14ac:dyDescent="0.3">
      <c r="A164" s="16">
        <v>162</v>
      </c>
      <c r="B164" s="3">
        <v>45540</v>
      </c>
      <c r="C164" s="40">
        <v>5503.41</v>
      </c>
      <c r="D164" s="46">
        <f t="shared" si="7"/>
        <v>-3.0180776693048417E-3</v>
      </c>
      <c r="E164">
        <v>3513.59</v>
      </c>
      <c r="F164">
        <v>7.7930000000000001</v>
      </c>
      <c r="G164" s="43">
        <f t="shared" si="6"/>
        <v>450.86487873732835</v>
      </c>
      <c r="H164">
        <f t="shared" si="8"/>
        <v>5.374327358997899E-4</v>
      </c>
      <c r="I164"/>
      <c r="K164" s="38"/>
    </row>
    <row r="165" spans="1:11" x14ac:dyDescent="0.3">
      <c r="A165" s="16">
        <v>163</v>
      </c>
      <c r="B165" s="3">
        <v>45541</v>
      </c>
      <c r="C165" s="40">
        <v>5408.42</v>
      </c>
      <c r="D165" s="46">
        <f t="shared" si="7"/>
        <v>-1.726020776209658E-2</v>
      </c>
      <c r="E165">
        <v>3425.1</v>
      </c>
      <c r="F165">
        <v>7.7953999999999999</v>
      </c>
      <c r="G165" s="43">
        <f t="shared" si="6"/>
        <v>439.37450291197371</v>
      </c>
      <c r="H165">
        <f t="shared" si="8"/>
        <v>-2.548518717522219E-2</v>
      </c>
      <c r="I165"/>
      <c r="K165" s="38"/>
    </row>
    <row r="166" spans="1:11" x14ac:dyDescent="0.3">
      <c r="A166" s="16">
        <v>164</v>
      </c>
      <c r="B166" s="3">
        <v>45544</v>
      </c>
      <c r="C166" s="40">
        <v>5471.05</v>
      </c>
      <c r="D166" s="46">
        <f t="shared" si="7"/>
        <v>1.1580091782812829E-2</v>
      </c>
      <c r="E166">
        <v>3390.18</v>
      </c>
      <c r="F166">
        <v>7.7965</v>
      </c>
      <c r="G166" s="43">
        <f t="shared" si="6"/>
        <v>434.83357917014041</v>
      </c>
      <c r="H166">
        <f t="shared" si="8"/>
        <v>-1.0334973267083325E-2</v>
      </c>
      <c r="I166"/>
      <c r="K166" s="38"/>
    </row>
    <row r="167" spans="1:11" x14ac:dyDescent="0.3">
      <c r="A167" s="16">
        <v>165</v>
      </c>
      <c r="B167" s="3">
        <v>45545</v>
      </c>
      <c r="C167" s="40">
        <v>5495.52</v>
      </c>
      <c r="D167" s="46">
        <f t="shared" si="7"/>
        <v>4.4726332239699573E-3</v>
      </c>
      <c r="E167">
        <v>3330.97</v>
      </c>
      <c r="F167">
        <v>7.7972999999999999</v>
      </c>
      <c r="G167" s="43">
        <f t="shared" si="6"/>
        <v>427.19531119746574</v>
      </c>
      <c r="H167">
        <f t="shared" si="8"/>
        <v>-1.7565957043271463E-2</v>
      </c>
      <c r="I167"/>
      <c r="K167" s="38"/>
    </row>
    <row r="168" spans="1:11" x14ac:dyDescent="0.3">
      <c r="A168" s="16">
        <v>166</v>
      </c>
      <c r="B168" s="3">
        <v>45546</v>
      </c>
      <c r="C168" s="40">
        <v>5554.13</v>
      </c>
      <c r="D168" s="46">
        <f t="shared" si="7"/>
        <v>1.0665050805019227E-2</v>
      </c>
      <c r="E168">
        <v>3316.68</v>
      </c>
      <c r="F168">
        <v>7.7984999999999998</v>
      </c>
      <c r="G168" s="43">
        <f t="shared" si="6"/>
        <v>425.29717253317943</v>
      </c>
      <c r="H168">
        <f t="shared" si="8"/>
        <v>-4.4432572515031854E-3</v>
      </c>
      <c r="I168"/>
      <c r="K168" s="38"/>
    </row>
    <row r="169" spans="1:11" x14ac:dyDescent="0.3">
      <c r="A169" s="16">
        <v>167</v>
      </c>
      <c r="B169" s="3">
        <v>45547</v>
      </c>
      <c r="C169" s="40">
        <v>5595.76</v>
      </c>
      <c r="D169" s="46">
        <f t="shared" si="7"/>
        <v>7.4953232999588337E-3</v>
      </c>
      <c r="E169">
        <v>3355.97</v>
      </c>
      <c r="F169">
        <v>7.8029999999999999</v>
      </c>
      <c r="G169" s="43">
        <f t="shared" si="6"/>
        <v>430.08714596949886</v>
      </c>
      <c r="H169">
        <f t="shared" si="8"/>
        <v>1.1262650555114551E-2</v>
      </c>
      <c r="I169"/>
      <c r="K169" s="38"/>
    </row>
    <row r="170" spans="1:11" x14ac:dyDescent="0.3">
      <c r="A170" s="16">
        <v>168</v>
      </c>
      <c r="B170" s="3">
        <v>45548</v>
      </c>
      <c r="C170" s="40">
        <v>5626.02</v>
      </c>
      <c r="D170" s="46">
        <f t="shared" si="7"/>
        <v>5.4076658041088965E-3</v>
      </c>
      <c r="E170">
        <v>3337.99</v>
      </c>
      <c r="F170">
        <v>7.7987000000000002</v>
      </c>
      <c r="G170" s="43">
        <f t="shared" si="6"/>
        <v>428.01877235949576</v>
      </c>
      <c r="H170">
        <f t="shared" si="8"/>
        <v>-4.8091965300208761E-3</v>
      </c>
      <c r="I170"/>
      <c r="K170" s="38"/>
    </row>
    <row r="171" spans="1:11" x14ac:dyDescent="0.3">
      <c r="A171" s="16">
        <v>169</v>
      </c>
      <c r="B171" s="3">
        <v>45551</v>
      </c>
      <c r="C171" s="40">
        <v>5633.09</v>
      </c>
      <c r="D171" s="46">
        <f t="shared" si="7"/>
        <v>1.2566610143582846E-3</v>
      </c>
      <c r="E171">
        <v>3371.64</v>
      </c>
      <c r="F171">
        <v>7.7927</v>
      </c>
      <c r="G171" s="43">
        <f t="shared" si="6"/>
        <v>432.6664699013179</v>
      </c>
      <c r="H171">
        <f t="shared" si="8"/>
        <v>1.0858630139517489E-2</v>
      </c>
      <c r="I171"/>
      <c r="K171" s="38"/>
    </row>
    <row r="172" spans="1:11" x14ac:dyDescent="0.3">
      <c r="A172" s="16">
        <v>170</v>
      </c>
      <c r="B172" s="3">
        <v>45552</v>
      </c>
      <c r="C172" s="40">
        <v>5634.58</v>
      </c>
      <c r="D172" s="46">
        <f t="shared" si="7"/>
        <v>2.6450846693371055E-4</v>
      </c>
      <c r="E172">
        <v>3457.11</v>
      </c>
      <c r="F172">
        <v>7.7942</v>
      </c>
      <c r="G172" s="43">
        <f t="shared" si="6"/>
        <v>443.54904929306412</v>
      </c>
      <c r="H172">
        <f t="shared" si="8"/>
        <v>2.5152352097513653E-2</v>
      </c>
      <c r="I172"/>
      <c r="K172" s="38"/>
    </row>
    <row r="173" spans="1:11" x14ac:dyDescent="0.3">
      <c r="A173" s="16">
        <v>171</v>
      </c>
      <c r="B173" s="3">
        <v>45554</v>
      </c>
      <c r="C173" s="40">
        <v>5713.64</v>
      </c>
      <c r="D173" s="46">
        <f t="shared" si="7"/>
        <v>1.4031214393974478E-2</v>
      </c>
      <c r="E173">
        <v>3495.61</v>
      </c>
      <c r="F173">
        <v>7.7946</v>
      </c>
      <c r="G173" s="43">
        <f t="shared" si="6"/>
        <v>448.46560439278477</v>
      </c>
      <c r="H173">
        <f t="shared" si="8"/>
        <v>1.1084580403355027E-2</v>
      </c>
      <c r="I173"/>
      <c r="K173" s="38"/>
    </row>
    <row r="174" spans="1:11" x14ac:dyDescent="0.3">
      <c r="A174" s="16">
        <v>172</v>
      </c>
      <c r="B174" s="3">
        <v>45555</v>
      </c>
      <c r="C174" s="40">
        <v>5702.55</v>
      </c>
      <c r="D174" s="46">
        <f t="shared" si="7"/>
        <v>-1.9409693295342478E-3</v>
      </c>
      <c r="E174">
        <v>3509.13</v>
      </c>
      <c r="F174">
        <v>7.7897999999999996</v>
      </c>
      <c r="G174" s="43">
        <f t="shared" si="6"/>
        <v>450.47754756219678</v>
      </c>
      <c r="H174">
        <f t="shared" si="8"/>
        <v>4.4862820017961269E-3</v>
      </c>
      <c r="I174"/>
      <c r="K174" s="38"/>
    </row>
    <row r="175" spans="1:11" x14ac:dyDescent="0.3">
      <c r="A175" s="16">
        <v>173</v>
      </c>
      <c r="B175" s="3">
        <v>45558</v>
      </c>
      <c r="C175" s="40">
        <v>5718.57</v>
      </c>
      <c r="D175" s="46">
        <f t="shared" si="7"/>
        <v>2.8092695373120868E-3</v>
      </c>
      <c r="E175">
        <v>3654.61</v>
      </c>
      <c r="F175">
        <v>7.7858000000000001</v>
      </c>
      <c r="G175" s="43">
        <f t="shared" si="6"/>
        <v>469.39428189781398</v>
      </c>
      <c r="H175">
        <f t="shared" si="8"/>
        <v>4.1992624134070455E-2</v>
      </c>
      <c r="I175"/>
      <c r="K175" s="38"/>
    </row>
    <row r="176" spans="1:11" x14ac:dyDescent="0.3">
      <c r="A176" s="16">
        <v>174</v>
      </c>
      <c r="B176" s="3">
        <v>45559</v>
      </c>
      <c r="C176" s="40">
        <v>5732.93</v>
      </c>
      <c r="D176" s="46">
        <f t="shared" si="7"/>
        <v>2.5111172898120149E-3</v>
      </c>
      <c r="E176">
        <v>3672.49</v>
      </c>
      <c r="F176">
        <v>7.7845000000000004</v>
      </c>
      <c r="G176" s="43">
        <f t="shared" si="6"/>
        <v>471.76954203866654</v>
      </c>
      <c r="H176">
        <f t="shared" si="8"/>
        <v>5.0602664592527269E-3</v>
      </c>
      <c r="I176"/>
      <c r="K176" s="38"/>
    </row>
    <row r="177" spans="1:11" x14ac:dyDescent="0.3">
      <c r="A177" s="16">
        <v>175</v>
      </c>
      <c r="B177" s="3">
        <v>45560</v>
      </c>
      <c r="C177" s="40">
        <v>5722.26</v>
      </c>
      <c r="D177" s="46">
        <f t="shared" si="7"/>
        <v>-1.8611774432969463E-3</v>
      </c>
      <c r="E177">
        <v>3843.66</v>
      </c>
      <c r="F177">
        <v>7.7845000000000004</v>
      </c>
      <c r="G177" s="43">
        <f t="shared" si="6"/>
        <v>493.75810906288132</v>
      </c>
      <c r="H177">
        <f t="shared" si="8"/>
        <v>4.6608704176185567E-2</v>
      </c>
      <c r="I177"/>
      <c r="K177" s="38"/>
    </row>
    <row r="178" spans="1:11" x14ac:dyDescent="0.3">
      <c r="A178" s="16">
        <v>176</v>
      </c>
      <c r="B178" s="3">
        <v>45561</v>
      </c>
      <c r="C178" s="40">
        <v>5745.37</v>
      </c>
      <c r="D178" s="46">
        <f t="shared" si="7"/>
        <v>4.0386141140038578E-3</v>
      </c>
      <c r="E178">
        <v>3965.11</v>
      </c>
      <c r="F178">
        <v>7.7789000000000001</v>
      </c>
      <c r="G178" s="43">
        <f t="shared" si="6"/>
        <v>509.7263109179961</v>
      </c>
      <c r="H178">
        <f t="shared" si="8"/>
        <v>3.2340130849539461E-2</v>
      </c>
      <c r="I178"/>
      <c r="K178" s="38"/>
    </row>
    <row r="179" spans="1:11" x14ac:dyDescent="0.3">
      <c r="A179" s="16">
        <v>177</v>
      </c>
      <c r="B179" s="3">
        <v>45562</v>
      </c>
      <c r="C179" s="40">
        <v>5738.17</v>
      </c>
      <c r="D179" s="46">
        <f t="shared" si="7"/>
        <v>-1.2531829977877607E-3</v>
      </c>
      <c r="E179">
        <v>4042.52</v>
      </c>
      <c r="F179">
        <v>7.7721</v>
      </c>
      <c r="G179" s="43">
        <f t="shared" si="6"/>
        <v>520.13226798419987</v>
      </c>
      <c r="H179">
        <f t="shared" si="8"/>
        <v>2.0414792886525923E-2</v>
      </c>
      <c r="I179"/>
      <c r="K179" s="38"/>
    </row>
    <row r="180" spans="1:11" x14ac:dyDescent="0.3">
      <c r="A180" s="16">
        <v>178</v>
      </c>
      <c r="B180" s="3">
        <v>45565</v>
      </c>
      <c r="C180" s="40">
        <v>5762.48</v>
      </c>
      <c r="D180" s="46">
        <f t="shared" si="7"/>
        <v>4.2365423122701085E-3</v>
      </c>
      <c r="E180">
        <v>4293.54</v>
      </c>
      <c r="F180">
        <v>7.7727000000000004</v>
      </c>
      <c r="G180" s="43">
        <f t="shared" si="6"/>
        <v>552.38720135860126</v>
      </c>
      <c r="H180">
        <f t="shared" si="8"/>
        <v>6.2012944321657049E-2</v>
      </c>
      <c r="I180"/>
      <c r="K180" s="38"/>
    </row>
    <row r="181" spans="1:11" x14ac:dyDescent="0.3">
      <c r="A181" s="16">
        <v>179</v>
      </c>
      <c r="B181" s="3">
        <v>45567</v>
      </c>
      <c r="C181" s="40">
        <v>5709.54</v>
      </c>
      <c r="D181" s="46">
        <f t="shared" si="7"/>
        <v>-9.1870167011425252E-3</v>
      </c>
      <c r="E181">
        <v>4201.04</v>
      </c>
      <c r="F181">
        <v>7.7625999999999999</v>
      </c>
      <c r="G181" s="43">
        <f t="shared" si="6"/>
        <v>541.18980753871131</v>
      </c>
      <c r="H181">
        <f t="shared" si="8"/>
        <v>-2.0270914663391704E-2</v>
      </c>
      <c r="I181"/>
      <c r="K181" s="38"/>
    </row>
    <row r="182" spans="1:11" x14ac:dyDescent="0.3">
      <c r="A182" s="16">
        <v>180</v>
      </c>
      <c r="B182" s="3">
        <v>45568</v>
      </c>
      <c r="C182" s="40">
        <v>5699.94</v>
      </c>
      <c r="D182" s="46">
        <f t="shared" si="7"/>
        <v>-1.681396399709989E-3</v>
      </c>
      <c r="E182">
        <v>4289.79</v>
      </c>
      <c r="F182">
        <v>7.7637999999999998</v>
      </c>
      <c r="G182" s="43">
        <f t="shared" si="6"/>
        <v>552.53741724413305</v>
      </c>
      <c r="H182">
        <f t="shared" si="8"/>
        <v>2.0967892497883112E-2</v>
      </c>
      <c r="I182"/>
      <c r="K182" s="38"/>
    </row>
    <row r="183" spans="1:11" x14ac:dyDescent="0.3">
      <c r="A183" s="16">
        <v>181</v>
      </c>
      <c r="B183" s="3">
        <v>45569</v>
      </c>
      <c r="C183" s="40">
        <v>5751.07</v>
      </c>
      <c r="D183" s="46">
        <f t="shared" si="7"/>
        <v>8.9702698624898325E-3</v>
      </c>
      <c r="E183">
        <v>4441.76</v>
      </c>
      <c r="F183">
        <v>7.7662000000000004</v>
      </c>
      <c r="G183" s="43">
        <f t="shared" si="6"/>
        <v>571.93479436532664</v>
      </c>
      <c r="H183">
        <f t="shared" si="8"/>
        <v>3.5105997378315212E-2</v>
      </c>
      <c r="I183"/>
      <c r="K183" s="38"/>
    </row>
    <row r="184" spans="1:11" x14ac:dyDescent="0.3">
      <c r="A184" s="16">
        <v>182</v>
      </c>
      <c r="B184" s="3">
        <v>45572</v>
      </c>
      <c r="C184" s="40">
        <v>5695.94</v>
      </c>
      <c r="D184" s="46">
        <f t="shared" si="7"/>
        <v>-9.5860422495291919E-3</v>
      </c>
      <c r="E184">
        <v>3999.02</v>
      </c>
      <c r="F184">
        <v>7.7656999999999998</v>
      </c>
      <c r="G184" s="43">
        <f t="shared" si="6"/>
        <v>514.95937262577752</v>
      </c>
      <c r="H184">
        <f t="shared" si="8"/>
        <v>-9.9618736787599138E-2</v>
      </c>
      <c r="I184"/>
      <c r="K184" s="38"/>
    </row>
    <row r="185" spans="1:11" x14ac:dyDescent="0.3">
      <c r="A185" s="16">
        <v>183</v>
      </c>
      <c r="B185" s="3">
        <v>45573</v>
      </c>
      <c r="C185" s="40">
        <v>5751.13</v>
      </c>
      <c r="D185" s="46">
        <f t="shared" si="7"/>
        <v>9.68935768284096E-3</v>
      </c>
      <c r="E185">
        <v>3861.8</v>
      </c>
      <c r="F185">
        <v>7.7747999999999999</v>
      </c>
      <c r="G185" s="43">
        <f t="shared" si="6"/>
        <v>496.70731079899161</v>
      </c>
      <c r="H185">
        <f t="shared" si="8"/>
        <v>-3.5443692836812812E-2</v>
      </c>
      <c r="I185"/>
      <c r="K185" s="38"/>
    </row>
    <row r="186" spans="1:11" x14ac:dyDescent="0.3">
      <c r="A186" s="16">
        <v>184</v>
      </c>
      <c r="B186" s="3">
        <v>45574</v>
      </c>
      <c r="C186" s="40">
        <v>5792.04</v>
      </c>
      <c r="D186" s="46">
        <f t="shared" si="7"/>
        <v>7.1133846739683815E-3</v>
      </c>
      <c r="E186">
        <v>4013.03</v>
      </c>
      <c r="F186">
        <v>7.7708000000000004</v>
      </c>
      <c r="G186" s="43">
        <f t="shared" si="6"/>
        <v>516.42430637772168</v>
      </c>
      <c r="H186">
        <f t="shared" si="8"/>
        <v>3.9695400389846869E-2</v>
      </c>
      <c r="I186"/>
      <c r="K186" s="38"/>
    </row>
    <row r="187" spans="1:11" x14ac:dyDescent="0.3">
      <c r="A187" s="16">
        <v>185</v>
      </c>
      <c r="B187" s="3">
        <v>45575</v>
      </c>
      <c r="C187" s="40">
        <v>5780.05</v>
      </c>
      <c r="D187" s="46">
        <f t="shared" si="7"/>
        <v>-2.0700823889336917E-3</v>
      </c>
      <c r="E187">
        <v>4053.24</v>
      </c>
      <c r="F187">
        <v>7.7698</v>
      </c>
      <c r="G187" s="43">
        <f t="shared" si="6"/>
        <v>521.66593734716469</v>
      </c>
      <c r="H187">
        <f t="shared" si="8"/>
        <v>1.0149853337091397E-2</v>
      </c>
      <c r="I187"/>
      <c r="K187" s="38"/>
    </row>
    <row r="188" spans="1:11" x14ac:dyDescent="0.3">
      <c r="A188" s="16">
        <v>186</v>
      </c>
      <c r="B188" s="3">
        <v>45579</v>
      </c>
      <c r="C188" s="40">
        <v>5859.85</v>
      </c>
      <c r="D188" s="46">
        <f t="shared" si="7"/>
        <v>1.3806108943694273E-2</v>
      </c>
      <c r="E188">
        <v>3900.69</v>
      </c>
      <c r="F188">
        <v>7.7638999999999996</v>
      </c>
      <c r="G188" s="43">
        <f t="shared" si="6"/>
        <v>502.41373536495837</v>
      </c>
      <c r="H188">
        <f t="shared" si="8"/>
        <v>-3.6905231114206516E-2</v>
      </c>
      <c r="I188"/>
      <c r="K188" s="38"/>
    </row>
    <row r="189" spans="1:11" x14ac:dyDescent="0.3">
      <c r="A189" s="16">
        <v>187</v>
      </c>
      <c r="B189" s="3">
        <v>45580</v>
      </c>
      <c r="C189" s="40">
        <v>5815.26</v>
      </c>
      <c r="D189" s="46">
        <f t="shared" si="7"/>
        <v>-7.6094097971791674E-3</v>
      </c>
      <c r="E189">
        <v>3936.7</v>
      </c>
      <c r="F189">
        <v>7.7671999999999999</v>
      </c>
      <c r="G189" s="43">
        <f t="shared" si="6"/>
        <v>506.83644041610876</v>
      </c>
      <c r="H189">
        <f t="shared" si="8"/>
        <v>8.8029142912220415E-3</v>
      </c>
      <c r="I189"/>
      <c r="K189" s="38"/>
    </row>
    <row r="190" spans="1:11" x14ac:dyDescent="0.3">
      <c r="A190" s="16">
        <v>188</v>
      </c>
      <c r="B190" s="3">
        <v>45581</v>
      </c>
      <c r="C190" s="40">
        <v>5842.47</v>
      </c>
      <c r="D190" s="46">
        <f t="shared" si="7"/>
        <v>4.6790685197222182E-3</v>
      </c>
      <c r="E190">
        <v>3848.25</v>
      </c>
      <c r="F190">
        <v>7.7705000000000002</v>
      </c>
      <c r="G190" s="43">
        <f t="shared" si="6"/>
        <v>495.23840164725561</v>
      </c>
      <c r="H190">
        <f t="shared" si="8"/>
        <v>-2.2883198294367357E-2</v>
      </c>
      <c r="I190"/>
      <c r="K190" s="38"/>
    </row>
    <row r="191" spans="1:11" x14ac:dyDescent="0.3">
      <c r="A191" s="16">
        <v>189</v>
      </c>
      <c r="B191" s="3">
        <v>45582</v>
      </c>
      <c r="C191" s="40">
        <v>5841.47</v>
      </c>
      <c r="D191" s="46">
        <f t="shared" si="7"/>
        <v>-1.7116048520571248E-4</v>
      </c>
      <c r="E191">
        <v>3958.08</v>
      </c>
      <c r="F191">
        <v>7.7736000000000001</v>
      </c>
      <c r="G191" s="43">
        <f t="shared" si="6"/>
        <v>509.16949675825873</v>
      </c>
      <c r="H191">
        <f t="shared" si="8"/>
        <v>2.8130078492834443E-2</v>
      </c>
      <c r="I191"/>
      <c r="K191" s="38"/>
    </row>
    <row r="192" spans="1:11" x14ac:dyDescent="0.3">
      <c r="A192" s="16">
        <v>190</v>
      </c>
      <c r="B192" s="3">
        <v>45583</v>
      </c>
      <c r="C192" s="40">
        <v>5864.67</v>
      </c>
      <c r="D192" s="46">
        <f t="shared" si="7"/>
        <v>3.9716030382763723E-3</v>
      </c>
      <c r="E192">
        <v>3907.96</v>
      </c>
      <c r="F192">
        <v>7.77</v>
      </c>
      <c r="G192" s="43">
        <f t="shared" si="6"/>
        <v>502.95495495495499</v>
      </c>
      <c r="H192">
        <f t="shared" si="8"/>
        <v>-1.2205251577068199E-2</v>
      </c>
      <c r="I192"/>
      <c r="K192" s="38"/>
    </row>
    <row r="193" spans="1:11" x14ac:dyDescent="0.3">
      <c r="A193" s="16">
        <v>191</v>
      </c>
      <c r="B193" s="3">
        <v>45586</v>
      </c>
      <c r="C193" s="40">
        <v>5853.98</v>
      </c>
      <c r="D193" s="46">
        <f t="shared" si="7"/>
        <v>-1.8227794573267841E-3</v>
      </c>
      <c r="E193">
        <v>3922.33</v>
      </c>
      <c r="F193">
        <v>7.7728999999999999</v>
      </c>
      <c r="G193" s="43">
        <f t="shared" si="6"/>
        <v>504.61603777226003</v>
      </c>
      <c r="H193">
        <f t="shared" si="8"/>
        <v>3.3026472866815038E-3</v>
      </c>
      <c r="I193"/>
      <c r="K193" s="38"/>
    </row>
    <row r="194" spans="1:11" x14ac:dyDescent="0.3">
      <c r="A194" s="16">
        <v>192</v>
      </c>
      <c r="B194" s="3">
        <v>45587</v>
      </c>
      <c r="C194" s="40">
        <v>5851.2</v>
      </c>
      <c r="D194" s="46">
        <f t="shared" si="7"/>
        <v>-4.7489058725858069E-4</v>
      </c>
      <c r="E194">
        <v>3920.78</v>
      </c>
      <c r="F194">
        <v>7.7721</v>
      </c>
      <c r="G194" s="43">
        <f t="shared" si="6"/>
        <v>504.46854775414624</v>
      </c>
      <c r="H194">
        <f t="shared" si="8"/>
        <v>-2.9228166977190995E-4</v>
      </c>
      <c r="I194"/>
      <c r="K194" s="38"/>
    </row>
    <row r="195" spans="1:11" x14ac:dyDescent="0.3">
      <c r="A195" s="16">
        <v>193</v>
      </c>
      <c r="B195" s="3">
        <v>45588</v>
      </c>
      <c r="C195" s="40">
        <v>5797.42</v>
      </c>
      <c r="D195" s="46">
        <f t="shared" si="7"/>
        <v>-9.1912770030079249E-3</v>
      </c>
      <c r="E195">
        <v>3874.88</v>
      </c>
      <c r="F195">
        <v>7.7686000000000002</v>
      </c>
      <c r="G195" s="43">
        <f t="shared" ref="G195:G258" si="9">E195/F195</f>
        <v>498.78742630589812</v>
      </c>
      <c r="H195">
        <f t="shared" si="8"/>
        <v>-1.1261596929164397E-2</v>
      </c>
      <c r="I195"/>
      <c r="K195" s="38"/>
    </row>
    <row r="196" spans="1:11" x14ac:dyDescent="0.3">
      <c r="A196" s="16">
        <v>194</v>
      </c>
      <c r="B196" s="3">
        <v>45589</v>
      </c>
      <c r="C196" s="40">
        <v>5809.86</v>
      </c>
      <c r="D196" s="46">
        <f t="shared" ref="D196:D259" si="10">$C196/$C195-1</f>
        <v>2.1457820892740731E-3</v>
      </c>
      <c r="E196">
        <v>3850.28</v>
      </c>
      <c r="F196">
        <v>7.7701000000000002</v>
      </c>
      <c r="G196" s="43">
        <f t="shared" si="9"/>
        <v>495.52515411642065</v>
      </c>
      <c r="H196">
        <f t="shared" ref="H196:H259" si="11">$G196/$G195-1</f>
        <v>-6.5404058270642773E-3</v>
      </c>
      <c r="I196"/>
      <c r="K196" s="38"/>
    </row>
    <row r="197" spans="1:11" x14ac:dyDescent="0.3">
      <c r="A197" s="16">
        <v>195</v>
      </c>
      <c r="B197" s="3">
        <v>45590</v>
      </c>
      <c r="C197" s="40">
        <v>5808.12</v>
      </c>
      <c r="D197" s="46">
        <f t="shared" si="10"/>
        <v>-2.994908655286066E-4</v>
      </c>
      <c r="E197">
        <v>3865.6</v>
      </c>
      <c r="F197">
        <v>7.7701000000000002</v>
      </c>
      <c r="G197" s="43">
        <f t="shared" si="9"/>
        <v>497.49681471280934</v>
      </c>
      <c r="H197">
        <f t="shared" si="11"/>
        <v>3.9789314023914724E-3</v>
      </c>
      <c r="I197"/>
      <c r="K197" s="38"/>
    </row>
    <row r="198" spans="1:11" x14ac:dyDescent="0.3">
      <c r="A198" s="16">
        <v>196</v>
      </c>
      <c r="B198" s="3">
        <v>45593</v>
      </c>
      <c r="C198" s="40">
        <v>5823.52</v>
      </c>
      <c r="D198" s="46">
        <f t="shared" si="10"/>
        <v>2.6514603692762151E-3</v>
      </c>
      <c r="E198">
        <v>3813.88</v>
      </c>
      <c r="F198">
        <v>7.7713999999999999</v>
      </c>
      <c r="G198" s="43">
        <f t="shared" si="9"/>
        <v>490.7584219059629</v>
      </c>
      <c r="H198">
        <f t="shared" si="11"/>
        <v>-1.3544594874916549E-2</v>
      </c>
      <c r="I198"/>
      <c r="K198" s="38"/>
    </row>
    <row r="199" spans="1:11" x14ac:dyDescent="0.3">
      <c r="A199" s="16">
        <v>197</v>
      </c>
      <c r="B199" s="3">
        <v>45594</v>
      </c>
      <c r="C199" s="40">
        <v>5832.92</v>
      </c>
      <c r="D199" s="46">
        <f t="shared" si="10"/>
        <v>1.6141440228589765E-3</v>
      </c>
      <c r="E199">
        <v>3759.15</v>
      </c>
      <c r="F199">
        <v>7.7709999999999999</v>
      </c>
      <c r="G199" s="43">
        <f t="shared" si="9"/>
        <v>483.74083129584352</v>
      </c>
      <c r="H199">
        <f t="shared" si="11"/>
        <v>-1.4299480756468919E-2</v>
      </c>
      <c r="I199"/>
      <c r="K199" s="38"/>
    </row>
    <row r="200" spans="1:11" x14ac:dyDescent="0.3">
      <c r="A200" s="16">
        <v>198</v>
      </c>
      <c r="B200" s="3">
        <v>45595</v>
      </c>
      <c r="C200" s="40">
        <v>5813.67</v>
      </c>
      <c r="D200" s="46">
        <f t="shared" si="10"/>
        <v>-3.3002338451409985E-3</v>
      </c>
      <c r="E200">
        <v>3764.77</v>
      </c>
      <c r="F200">
        <v>7.7718999999999996</v>
      </c>
      <c r="G200" s="43">
        <f t="shared" si="9"/>
        <v>484.40793113653035</v>
      </c>
      <c r="H200">
        <f t="shared" si="11"/>
        <v>1.3790438960874507E-3</v>
      </c>
      <c r="I200"/>
      <c r="K200" s="38"/>
    </row>
    <row r="201" spans="1:11" x14ac:dyDescent="0.3">
      <c r="A201" s="16">
        <v>199</v>
      </c>
      <c r="B201" s="3">
        <v>45596</v>
      </c>
      <c r="C201" s="40">
        <v>5705.45</v>
      </c>
      <c r="D201" s="46">
        <f t="shared" si="10"/>
        <v>-1.8614747655095742E-2</v>
      </c>
      <c r="E201">
        <v>3816</v>
      </c>
      <c r="F201">
        <v>7.7728999999999999</v>
      </c>
      <c r="G201" s="43">
        <f t="shared" si="9"/>
        <v>490.93645872196993</v>
      </c>
      <c r="H201">
        <f t="shared" si="11"/>
        <v>1.3477334217303572E-2</v>
      </c>
      <c r="I201"/>
      <c r="K201" s="38"/>
    </row>
    <row r="202" spans="1:11" x14ac:dyDescent="0.3">
      <c r="A202" s="16">
        <v>200</v>
      </c>
      <c r="B202" s="3">
        <v>45597</v>
      </c>
      <c r="C202" s="40">
        <v>5728.8</v>
      </c>
      <c r="D202" s="46">
        <f t="shared" si="10"/>
        <v>4.0925781489629109E-3</v>
      </c>
      <c r="E202">
        <v>3804.79</v>
      </c>
      <c r="F202">
        <v>7.7769000000000004</v>
      </c>
      <c r="G202" s="43">
        <f t="shared" si="9"/>
        <v>489.24250022502537</v>
      </c>
      <c r="H202">
        <f t="shared" si="11"/>
        <v>-3.4504638367138796E-3</v>
      </c>
      <c r="I202"/>
      <c r="K202" s="38"/>
    </row>
    <row r="203" spans="1:11" x14ac:dyDescent="0.3">
      <c r="A203" s="16">
        <v>201</v>
      </c>
      <c r="B203" s="3">
        <v>45600</v>
      </c>
      <c r="C203" s="40">
        <v>5712.69</v>
      </c>
      <c r="D203" s="46">
        <f t="shared" si="10"/>
        <v>-2.8121072475911779E-3</v>
      </c>
      <c r="E203">
        <v>3870.89</v>
      </c>
      <c r="F203">
        <v>7.7721</v>
      </c>
      <c r="G203" s="43">
        <f t="shared" si="9"/>
        <v>498.04943322911436</v>
      </c>
      <c r="H203">
        <f t="shared" si="11"/>
        <v>1.8001160978529551E-2</v>
      </c>
      <c r="I203"/>
      <c r="K203" s="38"/>
    </row>
    <row r="204" spans="1:11" x14ac:dyDescent="0.3">
      <c r="A204" s="16">
        <v>202</v>
      </c>
      <c r="B204" s="3">
        <v>45601</v>
      </c>
      <c r="C204" s="40">
        <v>5782.76</v>
      </c>
      <c r="D204" s="46">
        <f t="shared" si="10"/>
        <v>1.2265675189796932E-2</v>
      </c>
      <c r="E204">
        <v>3796.71</v>
      </c>
      <c r="F204">
        <v>7.7727000000000004</v>
      </c>
      <c r="G204" s="43">
        <f t="shared" si="9"/>
        <v>488.46732795553669</v>
      </c>
      <c r="H204">
        <f t="shared" si="11"/>
        <v>-1.9239265491081681E-2</v>
      </c>
      <c r="I204"/>
      <c r="K204" s="38"/>
    </row>
    <row r="205" spans="1:11" x14ac:dyDescent="0.3">
      <c r="A205" s="16">
        <v>203</v>
      </c>
      <c r="B205" s="3">
        <v>45602</v>
      </c>
      <c r="C205" s="40">
        <v>5929.04</v>
      </c>
      <c r="D205" s="46">
        <f t="shared" si="10"/>
        <v>2.5295879476236127E-2</v>
      </c>
      <c r="E205">
        <v>3894.8</v>
      </c>
      <c r="F205">
        <v>7.7759</v>
      </c>
      <c r="G205" s="43">
        <f t="shared" si="9"/>
        <v>500.88092696665342</v>
      </c>
      <c r="H205">
        <f t="shared" si="11"/>
        <v>2.541336605474398E-2</v>
      </c>
      <c r="I205"/>
      <c r="K205" s="38"/>
    </row>
    <row r="206" spans="1:11" x14ac:dyDescent="0.3">
      <c r="A206" s="16">
        <v>204</v>
      </c>
      <c r="B206" s="3">
        <v>45603</v>
      </c>
      <c r="C206" s="40">
        <v>5973.1</v>
      </c>
      <c r="D206" s="46">
        <f t="shared" si="10"/>
        <v>7.4312198939459062E-3</v>
      </c>
      <c r="E206">
        <v>3819.64</v>
      </c>
      <c r="F206">
        <v>7.7706</v>
      </c>
      <c r="G206" s="43">
        <f t="shared" si="9"/>
        <v>491.55020204360022</v>
      </c>
      <c r="H206">
        <f t="shared" si="11"/>
        <v>-1.862862892296635E-2</v>
      </c>
      <c r="I206"/>
      <c r="K206" s="38"/>
    </row>
    <row r="207" spans="1:11" x14ac:dyDescent="0.3">
      <c r="A207" s="16">
        <v>205</v>
      </c>
      <c r="B207" s="3">
        <v>45604</v>
      </c>
      <c r="C207" s="40">
        <v>5995.54</v>
      </c>
      <c r="D207" s="46">
        <f t="shared" si="10"/>
        <v>3.7568431802581514E-3</v>
      </c>
      <c r="E207">
        <v>3750.37</v>
      </c>
      <c r="F207">
        <v>7.7744999999999997</v>
      </c>
      <c r="G207" s="43">
        <f t="shared" si="9"/>
        <v>482.39372306900765</v>
      </c>
      <c r="H207">
        <f t="shared" si="11"/>
        <v>-1.862775955848428E-2</v>
      </c>
      <c r="I207"/>
      <c r="K207" s="38"/>
    </row>
    <row r="208" spans="1:11" x14ac:dyDescent="0.3">
      <c r="A208" s="16">
        <v>206</v>
      </c>
      <c r="B208" s="3">
        <v>45607</v>
      </c>
      <c r="C208" s="40">
        <v>6001.35</v>
      </c>
      <c r="D208" s="46">
        <f t="shared" si="10"/>
        <v>9.6905366322297404E-4</v>
      </c>
      <c r="E208">
        <v>3658.64</v>
      </c>
      <c r="F208">
        <v>7.7755999999999998</v>
      </c>
      <c r="G208" s="43">
        <f t="shared" si="9"/>
        <v>470.52831935799168</v>
      </c>
      <c r="H208">
        <f t="shared" si="11"/>
        <v>-2.4596928076774716E-2</v>
      </c>
      <c r="I208"/>
      <c r="K208" s="38"/>
    </row>
    <row r="209" spans="1:11" x14ac:dyDescent="0.3">
      <c r="A209" s="16">
        <v>207</v>
      </c>
      <c r="B209" s="3">
        <v>45608</v>
      </c>
      <c r="C209" s="40">
        <v>5983.99</v>
      </c>
      <c r="D209" s="46">
        <f t="shared" si="10"/>
        <v>-2.8926824797754769E-3</v>
      </c>
      <c r="E209">
        <v>3662.17</v>
      </c>
      <c r="F209">
        <v>7.7778999999999998</v>
      </c>
      <c r="G209" s="43">
        <f t="shared" si="9"/>
        <v>470.84302960953471</v>
      </c>
      <c r="H209">
        <f t="shared" si="11"/>
        <v>6.6884444271586574E-4</v>
      </c>
      <c r="I209"/>
      <c r="K209" s="38"/>
    </row>
    <row r="210" spans="1:11" x14ac:dyDescent="0.3">
      <c r="A210" s="16">
        <v>208</v>
      </c>
      <c r="B210" s="3">
        <v>45609</v>
      </c>
      <c r="C210" s="40">
        <v>5985.38</v>
      </c>
      <c r="D210" s="46">
        <f t="shared" si="10"/>
        <v>2.3228648443596178E-4</v>
      </c>
      <c r="E210">
        <v>3580.19</v>
      </c>
      <c r="F210">
        <v>7.7805999999999997</v>
      </c>
      <c r="G210" s="43">
        <f t="shared" si="9"/>
        <v>460.14317661876976</v>
      </c>
      <c r="H210">
        <f t="shared" si="11"/>
        <v>-2.2724883491719639E-2</v>
      </c>
      <c r="I210"/>
      <c r="K210" s="38"/>
    </row>
    <row r="211" spans="1:11" x14ac:dyDescent="0.3">
      <c r="A211" s="16">
        <v>209</v>
      </c>
      <c r="B211" s="3">
        <v>45610</v>
      </c>
      <c r="C211" s="40">
        <v>5949.17</v>
      </c>
      <c r="D211" s="46">
        <f t="shared" si="10"/>
        <v>-6.0497412027306074E-3</v>
      </c>
      <c r="E211">
        <v>3588.23</v>
      </c>
      <c r="F211">
        <v>7.7812000000000001</v>
      </c>
      <c r="G211" s="43">
        <f t="shared" si="9"/>
        <v>461.1409551226032</v>
      </c>
      <c r="H211">
        <f t="shared" si="11"/>
        <v>2.1684087791224993E-3</v>
      </c>
      <c r="I211"/>
      <c r="K211" s="38"/>
    </row>
    <row r="212" spans="1:11" x14ac:dyDescent="0.3">
      <c r="A212" s="16">
        <v>210</v>
      </c>
      <c r="B212" s="3">
        <v>45611</v>
      </c>
      <c r="C212" s="40">
        <v>5870.62</v>
      </c>
      <c r="D212" s="46">
        <f t="shared" si="10"/>
        <v>-1.3203522508181798E-2</v>
      </c>
      <c r="E212">
        <v>3614.48</v>
      </c>
      <c r="F212">
        <v>7.7850999999999999</v>
      </c>
      <c r="G212" s="43">
        <f t="shared" si="9"/>
        <v>464.28176902030805</v>
      </c>
      <c r="H212">
        <f t="shared" si="11"/>
        <v>6.810962814764121E-3</v>
      </c>
      <c r="I212"/>
      <c r="K212" s="38"/>
    </row>
    <row r="213" spans="1:11" x14ac:dyDescent="0.3">
      <c r="A213" s="16">
        <v>211</v>
      </c>
      <c r="B213" s="3">
        <v>45614</v>
      </c>
      <c r="C213" s="40">
        <v>5893.62</v>
      </c>
      <c r="D213" s="46">
        <f t="shared" si="10"/>
        <v>3.9178144727474162E-3</v>
      </c>
      <c r="E213">
        <v>3625.57</v>
      </c>
      <c r="F213">
        <v>7.7835999999999999</v>
      </c>
      <c r="G213" s="43">
        <f t="shared" si="9"/>
        <v>465.79603268410506</v>
      </c>
      <c r="H213">
        <f t="shared" si="11"/>
        <v>3.2615186829159093E-3</v>
      </c>
      <c r="I213"/>
      <c r="K213" s="38"/>
    </row>
    <row r="214" spans="1:11" x14ac:dyDescent="0.3">
      <c r="A214" s="16">
        <v>212</v>
      </c>
      <c r="B214" s="3">
        <v>45615</v>
      </c>
      <c r="C214" s="40">
        <v>5916.98</v>
      </c>
      <c r="D214" s="46">
        <f t="shared" si="10"/>
        <v>3.9636081050355987E-3</v>
      </c>
      <c r="E214">
        <v>3639.8</v>
      </c>
      <c r="F214">
        <v>7.7831000000000001</v>
      </c>
      <c r="G214" s="43">
        <f t="shared" si="9"/>
        <v>467.65427657360181</v>
      </c>
      <c r="H214">
        <f t="shared" si="11"/>
        <v>3.9893939817150503E-3</v>
      </c>
      <c r="I214"/>
      <c r="K214" s="38"/>
    </row>
    <row r="215" spans="1:11" x14ac:dyDescent="0.3">
      <c r="A215" s="16">
        <v>213</v>
      </c>
      <c r="B215" s="3">
        <v>45616</v>
      </c>
      <c r="C215" s="40">
        <v>5917.11</v>
      </c>
      <c r="D215" s="46">
        <f t="shared" si="10"/>
        <v>2.1970667468895755E-5</v>
      </c>
      <c r="E215">
        <v>3625.56</v>
      </c>
      <c r="F215">
        <v>7.7835000000000001</v>
      </c>
      <c r="G215" s="43">
        <f t="shared" si="9"/>
        <v>465.80073231836576</v>
      </c>
      <c r="H215">
        <f t="shared" si="11"/>
        <v>-3.9634925800668963E-3</v>
      </c>
      <c r="I215"/>
      <c r="K215" s="38"/>
    </row>
    <row r="216" spans="1:11" x14ac:dyDescent="0.3">
      <c r="A216" s="16">
        <v>214</v>
      </c>
      <c r="B216" s="3">
        <v>45617</v>
      </c>
      <c r="C216" s="40">
        <v>5948.71</v>
      </c>
      <c r="D216" s="46">
        <f t="shared" si="10"/>
        <v>5.3404449131417842E-3</v>
      </c>
      <c r="E216">
        <v>3547.92</v>
      </c>
      <c r="F216">
        <v>7.7826000000000004</v>
      </c>
      <c r="G216" s="43">
        <f t="shared" si="9"/>
        <v>455.87849818826612</v>
      </c>
      <c r="H216">
        <f t="shared" si="11"/>
        <v>-2.1301456699552745E-2</v>
      </c>
      <c r="I216"/>
      <c r="K216" s="38"/>
    </row>
    <row r="217" spans="1:11" x14ac:dyDescent="0.3">
      <c r="A217" s="16">
        <v>215</v>
      </c>
      <c r="B217" s="3">
        <v>45618</v>
      </c>
      <c r="C217" s="40">
        <v>5969.34</v>
      </c>
      <c r="D217" s="46">
        <f t="shared" si="10"/>
        <v>3.4679787718681077E-3</v>
      </c>
      <c r="E217">
        <v>3540.8</v>
      </c>
      <c r="F217">
        <v>7.7840999999999996</v>
      </c>
      <c r="G217" s="43">
        <f t="shared" si="9"/>
        <v>454.87596510836198</v>
      </c>
      <c r="H217">
        <f t="shared" si="11"/>
        <v>-2.1991234153143635E-3</v>
      </c>
      <c r="I217"/>
      <c r="K217" s="38"/>
    </row>
    <row r="218" spans="1:11" x14ac:dyDescent="0.3">
      <c r="A218" s="16">
        <v>216</v>
      </c>
      <c r="B218" s="3">
        <v>45621</v>
      </c>
      <c r="C218" s="40">
        <v>5987.37</v>
      </c>
      <c r="D218" s="46">
        <f t="shared" si="10"/>
        <v>3.0204344198856425E-3</v>
      </c>
      <c r="E218">
        <v>3534.74</v>
      </c>
      <c r="F218">
        <v>7.7821999999999996</v>
      </c>
      <c r="G218" s="43">
        <f t="shared" si="9"/>
        <v>454.20832155431629</v>
      </c>
      <c r="H218">
        <f t="shared" si="11"/>
        <v>-1.4677485847963689E-3</v>
      </c>
      <c r="I218"/>
      <c r="K218" s="38"/>
    </row>
    <row r="219" spans="1:11" x14ac:dyDescent="0.3">
      <c r="A219" s="16">
        <v>217</v>
      </c>
      <c r="B219" s="3">
        <v>45622</v>
      </c>
      <c r="C219" s="40">
        <v>6021.63</v>
      </c>
      <c r="D219" s="46">
        <f t="shared" si="10"/>
        <v>5.722044904524104E-3</v>
      </c>
      <c r="E219">
        <v>3591.53</v>
      </c>
      <c r="F219">
        <v>7.7828999999999997</v>
      </c>
      <c r="G219" s="43">
        <f t="shared" si="9"/>
        <v>461.46423569620583</v>
      </c>
      <c r="H219">
        <f t="shared" si="11"/>
        <v>1.5974859546957543E-2</v>
      </c>
      <c r="I219"/>
      <c r="K219" s="38"/>
    </row>
    <row r="220" spans="1:11" x14ac:dyDescent="0.3">
      <c r="A220" s="16">
        <v>218</v>
      </c>
      <c r="B220" s="3">
        <v>45623</v>
      </c>
      <c r="C220" s="40">
        <v>5998.74</v>
      </c>
      <c r="D220" s="46">
        <f t="shared" si="10"/>
        <v>-3.8012963267421984E-3</v>
      </c>
      <c r="E220">
        <v>3541.29</v>
      </c>
      <c r="F220">
        <v>7.7816000000000001</v>
      </c>
      <c r="G220" s="43">
        <f t="shared" si="9"/>
        <v>455.0850724786676</v>
      </c>
      <c r="H220">
        <f t="shared" si="11"/>
        <v>-1.3823743475838479E-2</v>
      </c>
      <c r="I220"/>
      <c r="K220" s="38"/>
    </row>
    <row r="221" spans="1:11" x14ac:dyDescent="0.3">
      <c r="A221" s="16">
        <v>219</v>
      </c>
      <c r="B221" s="3">
        <v>45625</v>
      </c>
      <c r="C221" s="40">
        <v>6032.38</v>
      </c>
      <c r="D221" s="46">
        <f t="shared" si="10"/>
        <v>5.6078443139726541E-3</v>
      </c>
      <c r="E221">
        <v>3568.78</v>
      </c>
      <c r="F221">
        <v>7.7817999999999996</v>
      </c>
      <c r="G221" s="43">
        <f t="shared" si="9"/>
        <v>458.60597805135063</v>
      </c>
      <c r="H221">
        <f t="shared" si="11"/>
        <v>7.7368074358186156E-3</v>
      </c>
      <c r="I221"/>
      <c r="K221" s="38"/>
    </row>
    <row r="222" spans="1:11" x14ac:dyDescent="0.3">
      <c r="A222" s="16">
        <v>220</v>
      </c>
      <c r="B222" s="3">
        <v>45628</v>
      </c>
      <c r="C222" s="40">
        <v>6047.15</v>
      </c>
      <c r="D222" s="46">
        <f t="shared" si="10"/>
        <v>2.4484531809998433E-3</v>
      </c>
      <c r="E222">
        <v>3621.61</v>
      </c>
      <c r="F222">
        <v>7.7815000000000003</v>
      </c>
      <c r="G222" s="43">
        <f t="shared" si="9"/>
        <v>465.41283814174642</v>
      </c>
      <c r="H222">
        <f t="shared" si="11"/>
        <v>1.4842501877796233E-2</v>
      </c>
      <c r="I222"/>
      <c r="K222" s="38"/>
    </row>
    <row r="223" spans="1:11" x14ac:dyDescent="0.3">
      <c r="A223" s="16">
        <v>221</v>
      </c>
      <c r="B223" s="3">
        <v>45629</v>
      </c>
      <c r="C223" s="40">
        <v>6049.88</v>
      </c>
      <c r="D223" s="46">
        <f t="shared" si="10"/>
        <v>4.5145233705135013E-4</v>
      </c>
      <c r="E223">
        <v>3633.02</v>
      </c>
      <c r="F223">
        <v>7.7827000000000002</v>
      </c>
      <c r="G223" s="43">
        <f t="shared" si="9"/>
        <v>466.80714918986985</v>
      </c>
      <c r="H223">
        <f t="shared" si="11"/>
        <v>2.9958585880236477E-3</v>
      </c>
      <c r="I223"/>
      <c r="K223" s="38"/>
    </row>
    <row r="224" spans="1:11" x14ac:dyDescent="0.3">
      <c r="A224" s="16">
        <v>222</v>
      </c>
      <c r="B224" s="3">
        <v>45630</v>
      </c>
      <c r="C224" s="40">
        <v>6086.49</v>
      </c>
      <c r="D224" s="46">
        <f t="shared" si="10"/>
        <v>6.0513596963907013E-3</v>
      </c>
      <c r="E224">
        <v>3600.99</v>
      </c>
      <c r="F224">
        <v>7.7843999999999998</v>
      </c>
      <c r="G224" s="43">
        <f t="shared" si="9"/>
        <v>462.59056574687838</v>
      </c>
      <c r="H224">
        <f t="shared" si="11"/>
        <v>-9.0328167645016277E-3</v>
      </c>
      <c r="I224"/>
      <c r="K224" s="38"/>
    </row>
    <row r="225" spans="1:11" x14ac:dyDescent="0.3">
      <c r="A225" s="16">
        <v>223</v>
      </c>
      <c r="B225" s="3">
        <v>45631</v>
      </c>
      <c r="C225" s="40">
        <v>6075.11</v>
      </c>
      <c r="D225" s="46">
        <f t="shared" si="10"/>
        <v>-1.8697147288503357E-3</v>
      </c>
      <c r="E225">
        <v>3652.83</v>
      </c>
      <c r="F225">
        <v>7.7820999999999998</v>
      </c>
      <c r="G225" s="43">
        <f t="shared" si="9"/>
        <v>469.3887254083088</v>
      </c>
      <c r="H225">
        <f t="shared" si="11"/>
        <v>1.4695845883615055E-2</v>
      </c>
      <c r="I225"/>
      <c r="K225" s="38"/>
    </row>
    <row r="226" spans="1:11" x14ac:dyDescent="0.3">
      <c r="A226" s="16">
        <v>224</v>
      </c>
      <c r="B226" s="3">
        <v>45632</v>
      </c>
      <c r="C226" s="40">
        <v>6090.27</v>
      </c>
      <c r="D226" s="46">
        <f t="shared" si="10"/>
        <v>2.4954280663231909E-3</v>
      </c>
      <c r="E226">
        <v>3757.66</v>
      </c>
      <c r="F226">
        <v>7.7790999999999997</v>
      </c>
      <c r="G226" s="43">
        <f t="shared" si="9"/>
        <v>483.04559653430346</v>
      </c>
      <c r="H226">
        <f t="shared" si="11"/>
        <v>2.9095013123962232E-2</v>
      </c>
      <c r="I226"/>
      <c r="K226" s="38"/>
    </row>
    <row r="227" spans="1:11" x14ac:dyDescent="0.3">
      <c r="A227" s="16">
        <v>225</v>
      </c>
      <c r="B227" s="3">
        <v>45635</v>
      </c>
      <c r="C227" s="40">
        <v>6052.85</v>
      </c>
      <c r="D227" s="46">
        <f t="shared" si="10"/>
        <v>-6.1442267748391677E-3</v>
      </c>
      <c r="E227">
        <v>3716.12</v>
      </c>
      <c r="F227">
        <v>7.7742000000000004</v>
      </c>
      <c r="G227" s="43">
        <f t="shared" si="9"/>
        <v>478.00674024336905</v>
      </c>
      <c r="H227">
        <f t="shared" si="11"/>
        <v>-1.0431429925221503E-2</v>
      </c>
      <c r="I227"/>
      <c r="K227" s="38"/>
    </row>
    <row r="228" spans="1:11" x14ac:dyDescent="0.3">
      <c r="A228" s="16">
        <v>226</v>
      </c>
      <c r="B228" s="3">
        <v>45636</v>
      </c>
      <c r="C228" s="40">
        <v>6034.91</v>
      </c>
      <c r="D228" s="46">
        <f t="shared" si="10"/>
        <v>-2.9638930421207466E-3</v>
      </c>
      <c r="E228">
        <v>3722.17</v>
      </c>
      <c r="F228">
        <v>7.7740999999999998</v>
      </c>
      <c r="G228" s="43">
        <f t="shared" si="9"/>
        <v>478.79111408394544</v>
      </c>
      <c r="H228">
        <f t="shared" si="11"/>
        <v>1.6409263186896172E-3</v>
      </c>
      <c r="I228"/>
      <c r="K228" s="38"/>
    </row>
    <row r="229" spans="1:11" x14ac:dyDescent="0.3">
      <c r="A229" s="16">
        <v>227</v>
      </c>
      <c r="B229" s="3">
        <v>45637</v>
      </c>
      <c r="C229" s="40">
        <v>6084.19</v>
      </c>
      <c r="D229" s="46">
        <f t="shared" si="10"/>
        <v>8.1658218598121834E-3</v>
      </c>
      <c r="E229">
        <v>3757.46</v>
      </c>
      <c r="F229">
        <v>7.7746000000000004</v>
      </c>
      <c r="G229" s="43">
        <f t="shared" si="9"/>
        <v>483.29946235176084</v>
      </c>
      <c r="H229">
        <f t="shared" si="11"/>
        <v>9.4161068056599628E-3</v>
      </c>
      <c r="I229"/>
      <c r="K229" s="38"/>
    </row>
    <row r="230" spans="1:11" x14ac:dyDescent="0.3">
      <c r="A230" s="16">
        <v>228</v>
      </c>
      <c r="B230" s="3">
        <v>45638</v>
      </c>
      <c r="C230" s="40">
        <v>6051.25</v>
      </c>
      <c r="D230" s="46">
        <f t="shared" si="10"/>
        <v>-5.4140321061636465E-3</v>
      </c>
      <c r="E230">
        <v>3694.46</v>
      </c>
      <c r="F230">
        <v>7.7746000000000004</v>
      </c>
      <c r="G230" s="43">
        <f t="shared" si="9"/>
        <v>475.19615157049878</v>
      </c>
      <c r="H230">
        <f t="shared" si="11"/>
        <v>-1.6766645553113024E-2</v>
      </c>
      <c r="I230"/>
      <c r="K230" s="38"/>
    </row>
    <row r="231" spans="1:11" x14ac:dyDescent="0.3">
      <c r="A231" s="16">
        <v>229</v>
      </c>
      <c r="B231" s="3">
        <v>45639</v>
      </c>
      <c r="C231" s="40">
        <v>6051.09</v>
      </c>
      <c r="D231" s="46">
        <f t="shared" si="10"/>
        <v>-2.6440818012729572E-5</v>
      </c>
      <c r="E231">
        <v>3695.56</v>
      </c>
      <c r="F231">
        <v>7.7751000000000001</v>
      </c>
      <c r="G231" s="43">
        <f t="shared" si="9"/>
        <v>475.30707000553048</v>
      </c>
      <c r="H231">
        <f t="shared" si="11"/>
        <v>2.3341610546534497E-4</v>
      </c>
      <c r="I231"/>
      <c r="K231" s="38"/>
    </row>
    <row r="232" spans="1:11" x14ac:dyDescent="0.3">
      <c r="A232" s="16">
        <v>230</v>
      </c>
      <c r="B232" s="3">
        <v>45642</v>
      </c>
      <c r="C232" s="40">
        <v>6074.08</v>
      </c>
      <c r="D232" s="46">
        <f t="shared" si="10"/>
        <v>3.7993154952247199E-3</v>
      </c>
      <c r="E232">
        <v>3670.97</v>
      </c>
      <c r="F232">
        <v>7.774</v>
      </c>
      <c r="G232" s="43">
        <f t="shared" si="9"/>
        <v>472.21121687676867</v>
      </c>
      <c r="H232">
        <f t="shared" si="11"/>
        <v>-6.5133748772677746E-3</v>
      </c>
      <c r="I232"/>
      <c r="K232" s="38"/>
    </row>
    <row r="233" spans="1:11" x14ac:dyDescent="0.3">
      <c r="A233" s="16">
        <v>231</v>
      </c>
      <c r="B233" s="3">
        <v>45643</v>
      </c>
      <c r="C233" s="40">
        <v>6050.61</v>
      </c>
      <c r="D233" s="46">
        <f t="shared" si="10"/>
        <v>-3.8639596449174807E-3</v>
      </c>
      <c r="E233">
        <v>3714.38</v>
      </c>
      <c r="F233">
        <v>7.7691999999999997</v>
      </c>
      <c r="G233" s="43">
        <f t="shared" si="9"/>
        <v>478.09040827884468</v>
      </c>
      <c r="H233">
        <f t="shared" si="11"/>
        <v>1.2450342541545867E-2</v>
      </c>
      <c r="I233"/>
      <c r="K233" s="38"/>
    </row>
    <row r="234" spans="1:11" x14ac:dyDescent="0.3">
      <c r="A234" s="16">
        <v>232</v>
      </c>
      <c r="B234" s="3">
        <v>45644</v>
      </c>
      <c r="C234" s="40">
        <v>5872.16</v>
      </c>
      <c r="D234" s="46">
        <f t="shared" si="10"/>
        <v>-2.9492894104891865E-2</v>
      </c>
      <c r="E234">
        <v>3688.76</v>
      </c>
      <c r="F234">
        <v>7.7704000000000004</v>
      </c>
      <c r="G234" s="43">
        <f t="shared" si="9"/>
        <v>474.71944816225675</v>
      </c>
      <c r="H234">
        <f t="shared" si="11"/>
        <v>-7.0508842223453438E-3</v>
      </c>
      <c r="I234"/>
      <c r="K234" s="38"/>
    </row>
    <row r="235" spans="1:11" x14ac:dyDescent="0.3">
      <c r="A235" s="16">
        <v>233</v>
      </c>
      <c r="B235" s="3">
        <v>45645</v>
      </c>
      <c r="C235" s="40">
        <v>5867.08</v>
      </c>
      <c r="D235" s="46">
        <f t="shared" si="10"/>
        <v>-8.6509904362275236E-4</v>
      </c>
      <c r="E235">
        <v>3673.14</v>
      </c>
      <c r="F235">
        <v>7.7694999999999999</v>
      </c>
      <c r="G235" s="43">
        <f t="shared" si="9"/>
        <v>472.76401312825794</v>
      </c>
      <c r="H235">
        <f t="shared" si="11"/>
        <v>-4.119138243795839E-3</v>
      </c>
      <c r="I235"/>
      <c r="K235" s="38"/>
    </row>
    <row r="236" spans="1:11" x14ac:dyDescent="0.3">
      <c r="A236" s="16">
        <v>234</v>
      </c>
      <c r="B236" s="3">
        <v>45646</v>
      </c>
      <c r="C236" s="40">
        <v>5930.85</v>
      </c>
      <c r="D236" s="46">
        <f t="shared" si="10"/>
        <v>1.0869120584686254E-2</v>
      </c>
      <c r="E236">
        <v>3721.35</v>
      </c>
      <c r="F236">
        <v>7.7750000000000004</v>
      </c>
      <c r="G236" s="43">
        <f t="shared" si="9"/>
        <v>478.6302250803858</v>
      </c>
      <c r="H236">
        <f t="shared" si="11"/>
        <v>1.2408330137718027E-2</v>
      </c>
      <c r="I236"/>
      <c r="K236" s="38"/>
    </row>
    <row r="237" spans="1:11" x14ac:dyDescent="0.3">
      <c r="A237" s="16">
        <v>235</v>
      </c>
      <c r="B237" s="3">
        <v>45649</v>
      </c>
      <c r="C237" s="40">
        <v>5974.07</v>
      </c>
      <c r="D237" s="46">
        <f t="shared" si="10"/>
        <v>7.2873196927927264E-3</v>
      </c>
      <c r="E237">
        <v>3751.97</v>
      </c>
      <c r="F237">
        <v>7.7698999999999998</v>
      </c>
      <c r="G237" s="43">
        <f t="shared" si="9"/>
        <v>482.88523661823189</v>
      </c>
      <c r="H237">
        <f t="shared" si="11"/>
        <v>8.8899766769461319E-3</v>
      </c>
      <c r="I237"/>
      <c r="K237" s="38"/>
    </row>
    <row r="238" spans="1:11" x14ac:dyDescent="0.3">
      <c r="A238" s="16">
        <v>236</v>
      </c>
      <c r="B238" s="3">
        <v>45650</v>
      </c>
      <c r="C238" s="40">
        <v>6040.04</v>
      </c>
      <c r="D238" s="46">
        <f t="shared" si="10"/>
        <v>1.1042722967758989E-2</v>
      </c>
      <c r="E238">
        <v>3754.48</v>
      </c>
      <c r="F238">
        <v>7.7672999999999996</v>
      </c>
      <c r="G238" s="43">
        <f t="shared" si="9"/>
        <v>483.37002562022843</v>
      </c>
      <c r="H238">
        <f t="shared" si="11"/>
        <v>1.0039424799805907E-3</v>
      </c>
      <c r="I238"/>
      <c r="K238" s="38"/>
    </row>
    <row r="239" spans="1:11" x14ac:dyDescent="0.3">
      <c r="A239" s="16">
        <v>237</v>
      </c>
      <c r="B239" s="3">
        <v>45652</v>
      </c>
      <c r="C239" s="40">
        <v>6037.59</v>
      </c>
      <c r="D239" s="46">
        <f t="shared" si="10"/>
        <v>-4.0562645280495246E-4</v>
      </c>
      <c r="E239">
        <v>3755.41</v>
      </c>
      <c r="F239">
        <v>7.7618</v>
      </c>
      <c r="G239" s="43">
        <f t="shared" si="9"/>
        <v>483.8323584735499</v>
      </c>
      <c r="H239">
        <f t="shared" si="11"/>
        <v>9.5647811990051679E-4</v>
      </c>
      <c r="I239"/>
      <c r="K239" s="38"/>
    </row>
    <row r="240" spans="1:11" x14ac:dyDescent="0.3">
      <c r="A240" s="16">
        <v>238</v>
      </c>
      <c r="B240" s="3">
        <v>45653</v>
      </c>
      <c r="C240" s="40">
        <v>5970.84</v>
      </c>
      <c r="D240" s="46">
        <f t="shared" si="10"/>
        <v>-1.1055735815118317E-2</v>
      </c>
      <c r="E240">
        <v>3780.97</v>
      </c>
      <c r="F240">
        <v>7.7663000000000002</v>
      </c>
      <c r="G240" s="43">
        <f t="shared" si="9"/>
        <v>486.84315568546151</v>
      </c>
      <c r="H240">
        <f t="shared" si="11"/>
        <v>6.22281077150455E-3</v>
      </c>
      <c r="I240"/>
      <c r="K240" s="38"/>
    </row>
    <row r="241" spans="1:11" x14ac:dyDescent="0.3">
      <c r="A241" s="16">
        <v>239</v>
      </c>
      <c r="B241" s="3">
        <v>45656</v>
      </c>
      <c r="C241" s="40">
        <v>5906.94</v>
      </c>
      <c r="D241" s="46">
        <f t="shared" si="10"/>
        <v>-1.0702011777237508E-2</v>
      </c>
      <c r="E241">
        <v>3686.19</v>
      </c>
      <c r="F241">
        <v>7.7676999999999996</v>
      </c>
      <c r="G241" s="43">
        <f t="shared" si="9"/>
        <v>474.553600164785</v>
      </c>
      <c r="H241">
        <f t="shared" si="11"/>
        <v>-2.5243356874090517E-2</v>
      </c>
      <c r="I241"/>
      <c r="K241" s="38"/>
    </row>
    <row r="242" spans="1:11" x14ac:dyDescent="0.3">
      <c r="A242" s="16">
        <v>240</v>
      </c>
      <c r="B242" s="3">
        <v>45657</v>
      </c>
      <c r="C242" s="40">
        <v>5881.63</v>
      </c>
      <c r="D242" s="46">
        <f t="shared" si="10"/>
        <v>-4.2847904329482711E-3</v>
      </c>
      <c r="E242">
        <v>3671.1</v>
      </c>
      <c r="F242">
        <v>7.7766999999999999</v>
      </c>
      <c r="G242" s="43">
        <f t="shared" si="9"/>
        <v>472.06398600948989</v>
      </c>
      <c r="H242">
        <f t="shared" si="11"/>
        <v>-5.2462233021319804E-3</v>
      </c>
      <c r="I242"/>
      <c r="K242" s="38"/>
    </row>
    <row r="243" spans="1:11" x14ac:dyDescent="0.3">
      <c r="A243" s="16">
        <v>241</v>
      </c>
      <c r="B243" s="3">
        <v>45659</v>
      </c>
      <c r="C243" s="40">
        <v>5868.55</v>
      </c>
      <c r="D243" s="46">
        <f t="shared" si="10"/>
        <v>-2.2238733140302891E-3</v>
      </c>
      <c r="E243">
        <v>3653.69</v>
      </c>
      <c r="F243">
        <v>7.7778999999999998</v>
      </c>
      <c r="G243" s="43">
        <f t="shared" si="9"/>
        <v>469.75276102804099</v>
      </c>
      <c r="H243">
        <f t="shared" si="11"/>
        <v>-4.8959993770896215E-3</v>
      </c>
      <c r="I243"/>
      <c r="K243" s="38"/>
    </row>
    <row r="244" spans="1:11" x14ac:dyDescent="0.3">
      <c r="A244" s="16">
        <v>242</v>
      </c>
      <c r="B244" s="3">
        <v>45660</v>
      </c>
      <c r="C244" s="40">
        <v>5942.47</v>
      </c>
      <c r="D244" s="46">
        <f t="shared" si="10"/>
        <v>1.2595956411720177E-2</v>
      </c>
      <c r="E244">
        <v>3630.59</v>
      </c>
      <c r="F244">
        <v>7.7752999999999997</v>
      </c>
      <c r="G244" s="43">
        <f t="shared" si="9"/>
        <v>466.9388962483763</v>
      </c>
      <c r="H244">
        <f t="shared" si="11"/>
        <v>-5.9900973727257112E-3</v>
      </c>
      <c r="I244"/>
      <c r="K244" s="38"/>
    </row>
    <row r="245" spans="1:11" x14ac:dyDescent="0.3">
      <c r="A245" s="16">
        <v>243</v>
      </c>
      <c r="B245" s="3">
        <v>45663</v>
      </c>
      <c r="C245" s="40">
        <v>5975.38</v>
      </c>
      <c r="D245" s="46">
        <f t="shared" si="10"/>
        <v>5.5381011599553442E-3</v>
      </c>
      <c r="E245">
        <v>3611.07</v>
      </c>
      <c r="F245">
        <v>7.7766999999999999</v>
      </c>
      <c r="G245" s="43">
        <f t="shared" si="9"/>
        <v>464.34477349004078</v>
      </c>
      <c r="H245">
        <f t="shared" si="11"/>
        <v>-5.5555936315822008E-3</v>
      </c>
      <c r="I245"/>
      <c r="K245" s="38"/>
    </row>
    <row r="246" spans="1:11" x14ac:dyDescent="0.3">
      <c r="A246" s="16">
        <v>244</v>
      </c>
      <c r="B246" s="3">
        <v>45664</v>
      </c>
      <c r="C246" s="40">
        <v>5909.03</v>
      </c>
      <c r="D246" s="46">
        <f t="shared" si="10"/>
        <v>-1.1103896321238205E-2</v>
      </c>
      <c r="E246">
        <v>3598.34</v>
      </c>
      <c r="F246">
        <v>7.7781000000000002</v>
      </c>
      <c r="G246" s="43">
        <f t="shared" si="9"/>
        <v>462.6245484115658</v>
      </c>
      <c r="H246">
        <f t="shared" si="11"/>
        <v>-3.7046289237750996E-3</v>
      </c>
      <c r="I246"/>
      <c r="K246" s="38"/>
    </row>
    <row r="247" spans="1:11" x14ac:dyDescent="0.3">
      <c r="A247" s="16">
        <v>245</v>
      </c>
      <c r="B247" s="3">
        <v>45665</v>
      </c>
      <c r="C247" s="40">
        <v>5918.25</v>
      </c>
      <c r="D247" s="46">
        <f t="shared" si="10"/>
        <v>1.5603237756451893E-3</v>
      </c>
      <c r="E247">
        <v>3550.98</v>
      </c>
      <c r="F247">
        <v>7.7824999999999998</v>
      </c>
      <c r="G247" s="43">
        <f t="shared" si="9"/>
        <v>456.277545775779</v>
      </c>
      <c r="H247">
        <f t="shared" si="11"/>
        <v>-1.3719554350454133E-2</v>
      </c>
      <c r="I247"/>
      <c r="K247" s="38"/>
    </row>
    <row r="248" spans="1:11" x14ac:dyDescent="0.3">
      <c r="A248" s="16">
        <v>246</v>
      </c>
      <c r="B248" s="3">
        <v>45667</v>
      </c>
      <c r="C248" s="40">
        <v>5827.04</v>
      </c>
      <c r="D248" s="46">
        <f t="shared" si="10"/>
        <v>-1.5411650403413191E-2</v>
      </c>
      <c r="E248">
        <v>3563.23</v>
      </c>
      <c r="F248">
        <v>7.7873000000000001</v>
      </c>
      <c r="G248" s="43">
        <f t="shared" si="9"/>
        <v>457.56937577851119</v>
      </c>
      <c r="H248">
        <f t="shared" si="11"/>
        <v>2.8312372911880601E-3</v>
      </c>
      <c r="I248"/>
      <c r="K248" s="38"/>
    </row>
    <row r="249" spans="1:11" x14ac:dyDescent="0.3">
      <c r="A249" s="16">
        <v>247</v>
      </c>
      <c r="B249" s="3">
        <v>45670</v>
      </c>
      <c r="C249" s="40">
        <v>5836.22</v>
      </c>
      <c r="D249" s="46">
        <f t="shared" si="10"/>
        <v>1.5754139322881056E-3</v>
      </c>
      <c r="E249">
        <v>3596.76</v>
      </c>
      <c r="F249">
        <v>7.7858000000000001</v>
      </c>
      <c r="G249" s="43">
        <f t="shared" si="9"/>
        <v>461.96408846875084</v>
      </c>
      <c r="H249">
        <f t="shared" si="11"/>
        <v>9.6044729452500199E-3</v>
      </c>
      <c r="I249"/>
      <c r="K249" s="38"/>
    </row>
    <row r="250" spans="1:11" x14ac:dyDescent="0.3">
      <c r="A250" s="16">
        <v>248</v>
      </c>
      <c r="B250" s="3">
        <v>45671</v>
      </c>
      <c r="C250" s="40">
        <v>5842.91</v>
      </c>
      <c r="D250" s="46">
        <f t="shared" si="10"/>
        <v>1.146289893115604E-3</v>
      </c>
      <c r="E250">
        <v>3605.09</v>
      </c>
      <c r="F250">
        <v>7.7866</v>
      </c>
      <c r="G250" s="43">
        <f t="shared" si="9"/>
        <v>462.98641255490202</v>
      </c>
      <c r="H250">
        <f t="shared" si="11"/>
        <v>2.2129947146753981E-3</v>
      </c>
      <c r="I250"/>
      <c r="K250" s="38"/>
    </row>
    <row r="251" spans="1:11" x14ac:dyDescent="0.3">
      <c r="A251" s="16">
        <v>249</v>
      </c>
      <c r="B251" s="3">
        <v>45672</v>
      </c>
      <c r="C251" s="40">
        <v>5949.91</v>
      </c>
      <c r="D251" s="46">
        <f t="shared" si="10"/>
        <v>1.8312792769356268E-2</v>
      </c>
      <c r="E251">
        <v>3631.13</v>
      </c>
      <c r="F251">
        <v>7.7866999999999997</v>
      </c>
      <c r="G251" s="43">
        <f t="shared" si="9"/>
        <v>466.32463045962993</v>
      </c>
      <c r="H251">
        <f t="shared" si="11"/>
        <v>7.2101854702530943E-3</v>
      </c>
      <c r="I251"/>
      <c r="K251" s="38"/>
    </row>
    <row r="252" spans="1:11" x14ac:dyDescent="0.3">
      <c r="A252" s="16">
        <v>250</v>
      </c>
      <c r="B252" s="3">
        <v>45673</v>
      </c>
      <c r="C252" s="40">
        <v>5937.34</v>
      </c>
      <c r="D252" s="46">
        <f t="shared" si="10"/>
        <v>-2.112636997870454E-3</v>
      </c>
      <c r="E252">
        <v>3641.02</v>
      </c>
      <c r="F252">
        <v>7.7869999999999999</v>
      </c>
      <c r="G252" s="43">
        <f t="shared" si="9"/>
        <v>467.57673044818284</v>
      </c>
      <c r="H252">
        <f t="shared" si="11"/>
        <v>2.6850393626405289E-3</v>
      </c>
      <c r="I252"/>
      <c r="K252" s="38"/>
    </row>
    <row r="253" spans="1:11" x14ac:dyDescent="0.3">
      <c r="A253" s="16">
        <v>251</v>
      </c>
      <c r="B253" s="3">
        <v>45674</v>
      </c>
      <c r="C253" s="40">
        <v>5996.66</v>
      </c>
      <c r="D253" s="46">
        <f t="shared" si="10"/>
        <v>9.9910060734267336E-3</v>
      </c>
      <c r="E253">
        <v>3626.56</v>
      </c>
      <c r="F253">
        <v>7.7858999999999998</v>
      </c>
      <c r="G253" s="43">
        <f t="shared" si="9"/>
        <v>465.78558676582026</v>
      </c>
      <c r="H253">
        <f t="shared" si="11"/>
        <v>-3.8306946554969024E-3</v>
      </c>
      <c r="I253"/>
      <c r="K253" s="38"/>
    </row>
    <row r="254" spans="1:11" x14ac:dyDescent="0.3">
      <c r="A254" s="16">
        <v>252</v>
      </c>
      <c r="B254" s="3">
        <v>45678</v>
      </c>
      <c r="C254" s="40">
        <v>6049.24</v>
      </c>
      <c r="D254" s="46">
        <f t="shared" si="10"/>
        <v>8.7682143059637507E-3</v>
      </c>
      <c r="E254">
        <v>3588.77</v>
      </c>
      <c r="F254">
        <v>7.7850999999999999</v>
      </c>
      <c r="G254" s="43">
        <f t="shared" si="9"/>
        <v>460.97930662419236</v>
      </c>
      <c r="H254">
        <f t="shared" si="11"/>
        <v>-1.031865364276352E-2</v>
      </c>
      <c r="I254"/>
      <c r="K254" s="38"/>
    </row>
    <row r="255" spans="1:11" x14ac:dyDescent="0.3">
      <c r="A255" s="16">
        <v>253</v>
      </c>
      <c r="B255" s="3">
        <v>45679</v>
      </c>
      <c r="C255" s="40">
        <v>6086.37</v>
      </c>
      <c r="D255" s="46">
        <f t="shared" si="10"/>
        <v>6.1379611323075789E-3</v>
      </c>
      <c r="E255">
        <v>3571.98</v>
      </c>
      <c r="F255">
        <v>7.7884000000000002</v>
      </c>
      <c r="G255" s="43">
        <f t="shared" si="9"/>
        <v>458.6282163217092</v>
      </c>
      <c r="H255">
        <f t="shared" si="11"/>
        <v>-5.1002079023904079E-3</v>
      </c>
      <c r="I255"/>
      <c r="K255" s="38"/>
    </row>
    <row r="256" spans="1:11" x14ac:dyDescent="0.3">
      <c r="A256" s="16">
        <v>254</v>
      </c>
      <c r="B256" s="3">
        <v>45680</v>
      </c>
      <c r="C256" s="40">
        <v>6118.71</v>
      </c>
      <c r="D256" s="46">
        <f t="shared" si="10"/>
        <v>5.31351199483443E-3</v>
      </c>
      <c r="E256">
        <v>3590.72</v>
      </c>
      <c r="F256">
        <v>7.7892000000000001</v>
      </c>
      <c r="G256" s="43">
        <f t="shared" si="9"/>
        <v>460.98700765162016</v>
      </c>
      <c r="H256">
        <f t="shared" si="11"/>
        <v>5.1431448087275733E-3</v>
      </c>
      <c r="I256"/>
      <c r="K256" s="38"/>
    </row>
    <row r="257" spans="1:11" x14ac:dyDescent="0.3">
      <c r="A257" s="16">
        <v>255</v>
      </c>
      <c r="B257" s="3">
        <v>45681</v>
      </c>
      <c r="C257" s="40">
        <v>6101.24</v>
      </c>
      <c r="D257" s="46">
        <f t="shared" si="10"/>
        <v>-2.8551769899211044E-3</v>
      </c>
      <c r="E257">
        <v>3620.12</v>
      </c>
      <c r="F257">
        <v>7.7869000000000002</v>
      </c>
      <c r="G257" s="43">
        <f t="shared" si="9"/>
        <v>464.89874019186067</v>
      </c>
      <c r="H257">
        <f t="shared" si="11"/>
        <v>8.4855591921513263E-3</v>
      </c>
      <c r="I257"/>
      <c r="K257" s="38"/>
    </row>
    <row r="258" spans="1:11" x14ac:dyDescent="0.3">
      <c r="A258" s="16">
        <v>256</v>
      </c>
      <c r="B258" s="3">
        <v>45684</v>
      </c>
      <c r="C258" s="40">
        <v>6012.28</v>
      </c>
      <c r="D258" s="46">
        <f t="shared" si="10"/>
        <v>-1.45806426234667E-2</v>
      </c>
      <c r="E258">
        <v>3603.82</v>
      </c>
      <c r="F258">
        <v>7.7881</v>
      </c>
      <c r="G258" s="43">
        <f t="shared" si="9"/>
        <v>462.73417136400406</v>
      </c>
      <c r="H258">
        <f t="shared" si="11"/>
        <v>-4.6560006313703939E-3</v>
      </c>
      <c r="I258"/>
      <c r="K258" s="38"/>
    </row>
    <row r="259" spans="1:11" x14ac:dyDescent="0.3">
      <c r="A259" s="16">
        <v>257</v>
      </c>
      <c r="B259" s="3">
        <v>45691</v>
      </c>
      <c r="C259" s="40">
        <v>5994.57</v>
      </c>
      <c r="D259" s="46">
        <f t="shared" si="10"/>
        <v>-2.945637927707967E-3</v>
      </c>
      <c r="E259">
        <v>3575.93</v>
      </c>
      <c r="F259">
        <v>7.7927</v>
      </c>
      <c r="G259" s="43">
        <f t="shared" ref="G259:G317" si="12">E259/F259</f>
        <v>458.88203061839926</v>
      </c>
      <c r="H259">
        <f t="shared" si="11"/>
        <v>-8.3247380115668568E-3</v>
      </c>
      <c r="I259"/>
      <c r="K259" s="38"/>
    </row>
    <row r="260" spans="1:11" x14ac:dyDescent="0.3">
      <c r="A260" s="16">
        <v>258</v>
      </c>
      <c r="B260" s="3">
        <v>45692</v>
      </c>
      <c r="C260" s="40">
        <v>6037.88</v>
      </c>
      <c r="D260" s="46">
        <f t="shared" ref="D260:D317" si="13">$C260/$C259-1</f>
        <v>7.2248718423506553E-3</v>
      </c>
      <c r="E260">
        <v>3612.71</v>
      </c>
      <c r="F260">
        <v>7.7869000000000002</v>
      </c>
      <c r="G260" s="43">
        <f t="shared" si="12"/>
        <v>463.94714199488885</v>
      </c>
      <c r="H260">
        <f t="shared" ref="H260:H317" si="14">$G260/$G259-1</f>
        <v>1.1037937941618114E-2</v>
      </c>
      <c r="I260"/>
      <c r="K260" s="38"/>
    </row>
    <row r="261" spans="1:11" x14ac:dyDescent="0.3">
      <c r="A261" s="16">
        <v>259</v>
      </c>
      <c r="B261" s="3">
        <v>45693</v>
      </c>
      <c r="C261" s="40">
        <v>6061.48</v>
      </c>
      <c r="D261" s="46">
        <f t="shared" si="13"/>
        <v>3.9086566808217427E-3</v>
      </c>
      <c r="E261">
        <v>3580.66</v>
      </c>
      <c r="F261">
        <v>7.7864000000000004</v>
      </c>
      <c r="G261" s="43">
        <f t="shared" si="12"/>
        <v>459.86078290352407</v>
      </c>
      <c r="H261">
        <f t="shared" si="14"/>
        <v>-8.8078117558698654E-3</v>
      </c>
      <c r="I261"/>
      <c r="K261" s="38"/>
    </row>
    <row r="262" spans="1:11" x14ac:dyDescent="0.3">
      <c r="A262" s="16">
        <v>260</v>
      </c>
      <c r="B262" s="3">
        <v>45694</v>
      </c>
      <c r="C262" s="40">
        <v>6083.57</v>
      </c>
      <c r="D262" s="46">
        <f t="shared" si="13"/>
        <v>3.64432448840879E-3</v>
      </c>
      <c r="E262">
        <v>3625.5</v>
      </c>
      <c r="F262">
        <v>7.7862999999999998</v>
      </c>
      <c r="G262" s="43">
        <f t="shared" si="12"/>
        <v>465.62552174973996</v>
      </c>
      <c r="H262">
        <f t="shared" si="14"/>
        <v>1.2535834888589115E-2</v>
      </c>
      <c r="I262"/>
      <c r="K262" s="38"/>
    </row>
    <row r="263" spans="1:11" x14ac:dyDescent="0.3">
      <c r="A263" s="16">
        <v>261</v>
      </c>
      <c r="B263" s="3">
        <v>45695</v>
      </c>
      <c r="C263" s="40">
        <v>6025.99</v>
      </c>
      <c r="D263" s="46">
        <f t="shared" si="13"/>
        <v>-9.464837258386094E-3</v>
      </c>
      <c r="E263">
        <v>3637.89</v>
      </c>
      <c r="F263">
        <v>7.7906000000000004</v>
      </c>
      <c r="G263" s="43">
        <f t="shared" si="12"/>
        <v>466.95889918619872</v>
      </c>
      <c r="H263">
        <f t="shared" si="14"/>
        <v>2.8636261849397382E-3</v>
      </c>
      <c r="I263"/>
      <c r="K263" s="38"/>
    </row>
    <row r="264" spans="1:11" x14ac:dyDescent="0.3">
      <c r="A264" s="16">
        <v>262</v>
      </c>
      <c r="B264" s="3">
        <v>45698</v>
      </c>
      <c r="C264" s="40">
        <v>6066.44</v>
      </c>
      <c r="D264" s="46">
        <f t="shared" si="13"/>
        <v>6.712589964470439E-3</v>
      </c>
      <c r="E264">
        <v>3653.57</v>
      </c>
      <c r="F264">
        <v>7.7885999999999997</v>
      </c>
      <c r="G264" s="43">
        <f t="shared" si="12"/>
        <v>469.09200626556765</v>
      </c>
      <c r="H264">
        <f t="shared" si="14"/>
        <v>4.5680831505436892E-3</v>
      </c>
      <c r="I264"/>
      <c r="K264" s="38"/>
    </row>
    <row r="265" spans="1:11" x14ac:dyDescent="0.3">
      <c r="A265" s="16">
        <v>263</v>
      </c>
      <c r="B265" s="3">
        <v>45699</v>
      </c>
      <c r="C265" s="40">
        <v>6068.5</v>
      </c>
      <c r="D265" s="46">
        <f t="shared" si="13"/>
        <v>3.3957312690802155E-4</v>
      </c>
      <c r="E265">
        <v>3615.27</v>
      </c>
      <c r="F265">
        <v>7.7916999999999996</v>
      </c>
      <c r="G265" s="43">
        <f t="shared" si="12"/>
        <v>463.98988667428165</v>
      </c>
      <c r="H265">
        <f t="shared" si="14"/>
        <v>-1.0876586092148255E-2</v>
      </c>
      <c r="I265"/>
      <c r="K265" s="38"/>
    </row>
    <row r="266" spans="1:11" x14ac:dyDescent="0.3">
      <c r="A266" s="16">
        <v>264</v>
      </c>
      <c r="B266" s="3">
        <v>45700</v>
      </c>
      <c r="C266" s="40">
        <v>6051.97</v>
      </c>
      <c r="D266" s="46">
        <f t="shared" si="13"/>
        <v>-2.7239021174919609E-3</v>
      </c>
      <c r="E266">
        <v>3701.32</v>
      </c>
      <c r="F266">
        <v>7.7896999999999998</v>
      </c>
      <c r="G266" s="43">
        <f t="shared" si="12"/>
        <v>475.15565426139648</v>
      </c>
      <c r="H266">
        <f t="shared" si="14"/>
        <v>2.4064678795366001E-2</v>
      </c>
      <c r="I266"/>
      <c r="K266" s="38"/>
    </row>
    <row r="267" spans="1:11" x14ac:dyDescent="0.3">
      <c r="A267" s="16">
        <v>265</v>
      </c>
      <c r="B267" s="3">
        <v>45701</v>
      </c>
      <c r="C267" s="40">
        <v>6115.07</v>
      </c>
      <c r="D267" s="46">
        <f t="shared" si="13"/>
        <v>1.0426357037460532E-2</v>
      </c>
      <c r="E267">
        <v>3668.25</v>
      </c>
      <c r="F267">
        <v>7.7881999999999998</v>
      </c>
      <c r="G267" s="43">
        <f t="shared" si="12"/>
        <v>471.00100151511259</v>
      </c>
      <c r="H267">
        <f t="shared" si="14"/>
        <v>-8.7437720861011092E-3</v>
      </c>
      <c r="I267"/>
      <c r="K267" s="38"/>
    </row>
    <row r="268" spans="1:11" x14ac:dyDescent="0.3">
      <c r="A268" s="16">
        <v>266</v>
      </c>
      <c r="B268" s="3">
        <v>45702</v>
      </c>
      <c r="C268" s="40">
        <v>6114.63</v>
      </c>
      <c r="D268" s="46">
        <f t="shared" si="13"/>
        <v>-7.195338728738232E-5</v>
      </c>
      <c r="E268">
        <v>3768.82</v>
      </c>
      <c r="F268">
        <v>7.7842000000000002</v>
      </c>
      <c r="G268" s="43">
        <f t="shared" si="12"/>
        <v>484.16279129518767</v>
      </c>
      <c r="H268">
        <f t="shared" si="14"/>
        <v>2.7944292555082351E-2</v>
      </c>
      <c r="I268"/>
      <c r="K268" s="38"/>
    </row>
    <row r="269" spans="1:11" x14ac:dyDescent="0.3">
      <c r="A269" s="16">
        <v>267</v>
      </c>
      <c r="B269" s="3">
        <v>45706</v>
      </c>
      <c r="C269" s="40">
        <v>6129.58</v>
      </c>
      <c r="D269" s="46">
        <f t="shared" si="13"/>
        <v>2.4449557863681637E-3</v>
      </c>
      <c r="E269">
        <v>3823.61</v>
      </c>
      <c r="F269">
        <v>7.7744999999999997</v>
      </c>
      <c r="G269" s="43">
        <f t="shared" si="12"/>
        <v>491.8142645829314</v>
      </c>
      <c r="H269">
        <f t="shared" si="14"/>
        <v>1.5803513663813717E-2</v>
      </c>
      <c r="I269"/>
      <c r="K269" s="38"/>
    </row>
    <row r="270" spans="1:11" x14ac:dyDescent="0.3">
      <c r="A270" s="16">
        <v>268</v>
      </c>
      <c r="B270" s="3">
        <v>45707</v>
      </c>
      <c r="C270" s="40">
        <v>6144.15</v>
      </c>
      <c r="D270" s="46">
        <f t="shared" si="13"/>
        <v>2.3769980977488281E-3</v>
      </c>
      <c r="E270">
        <v>3826.72</v>
      </c>
      <c r="F270">
        <v>7.7770000000000001</v>
      </c>
      <c r="G270" s="43">
        <f t="shared" si="12"/>
        <v>492.05606274913202</v>
      </c>
      <c r="H270">
        <f t="shared" si="14"/>
        <v>4.9164528890943693E-4</v>
      </c>
      <c r="I270"/>
      <c r="K270" s="38"/>
    </row>
    <row r="271" spans="1:11" x14ac:dyDescent="0.3">
      <c r="A271" s="16">
        <v>269</v>
      </c>
      <c r="B271" s="3">
        <v>45708</v>
      </c>
      <c r="C271" s="40">
        <v>6117.52</v>
      </c>
      <c r="D271" s="46">
        <f t="shared" si="13"/>
        <v>-4.3342040803039383E-3</v>
      </c>
      <c r="E271">
        <v>3803.25</v>
      </c>
      <c r="F271">
        <v>7.7763</v>
      </c>
      <c r="G271" s="43">
        <f t="shared" si="12"/>
        <v>489.08221133443925</v>
      </c>
      <c r="H271">
        <f t="shared" si="14"/>
        <v>-6.0437247700552144E-3</v>
      </c>
      <c r="I271"/>
      <c r="K271" s="38"/>
    </row>
    <row r="272" spans="1:11" x14ac:dyDescent="0.3">
      <c r="A272" s="16">
        <v>270</v>
      </c>
      <c r="B272" s="3">
        <v>45709</v>
      </c>
      <c r="C272" s="40">
        <v>6013.13</v>
      </c>
      <c r="D272" s="46">
        <f t="shared" si="13"/>
        <v>-1.70641044083224E-2</v>
      </c>
      <c r="E272">
        <v>3862.1</v>
      </c>
      <c r="F272">
        <v>7.7694999999999999</v>
      </c>
      <c r="G272" s="43">
        <f t="shared" si="12"/>
        <v>497.08475448870581</v>
      </c>
      <c r="H272">
        <f t="shared" si="14"/>
        <v>1.6362368061663801E-2</v>
      </c>
      <c r="I272"/>
      <c r="K272" s="38"/>
    </row>
    <row r="273" spans="1:11" x14ac:dyDescent="0.3">
      <c r="A273" s="16">
        <v>271</v>
      </c>
      <c r="B273" s="3">
        <v>45712</v>
      </c>
      <c r="C273" s="40">
        <v>5983.25</v>
      </c>
      <c r="D273" s="46">
        <f t="shared" si="13"/>
        <v>-4.9691258961639395E-3</v>
      </c>
      <c r="E273">
        <v>3858.77</v>
      </c>
      <c r="F273">
        <v>7.7748999999999997</v>
      </c>
      <c r="G273" s="43">
        <f t="shared" si="12"/>
        <v>496.31120657500418</v>
      </c>
      <c r="H273">
        <f t="shared" si="14"/>
        <v>-1.5561690571204156E-3</v>
      </c>
      <c r="I273"/>
      <c r="K273" s="38"/>
    </row>
    <row r="274" spans="1:11" x14ac:dyDescent="0.3">
      <c r="A274" s="16">
        <v>272</v>
      </c>
      <c r="B274" s="3">
        <v>45713</v>
      </c>
      <c r="C274" s="40">
        <v>5955.25</v>
      </c>
      <c r="D274" s="46">
        <f t="shared" si="13"/>
        <v>-4.6797309154723576E-3</v>
      </c>
      <c r="E274">
        <v>3812.27</v>
      </c>
      <c r="F274">
        <v>7.7736999999999998</v>
      </c>
      <c r="G274" s="43">
        <f t="shared" si="12"/>
        <v>490.40611291920192</v>
      </c>
      <c r="H274">
        <f t="shared" si="14"/>
        <v>-1.1897965586053827E-2</v>
      </c>
      <c r="I274"/>
      <c r="K274" s="38"/>
    </row>
    <row r="275" spans="1:11" x14ac:dyDescent="0.3">
      <c r="A275" s="16">
        <v>273</v>
      </c>
      <c r="B275" s="3">
        <v>45714</v>
      </c>
      <c r="C275" s="40">
        <v>5956.06</v>
      </c>
      <c r="D275" s="46">
        <f t="shared" si="13"/>
        <v>1.3601444103938931E-4</v>
      </c>
      <c r="E275">
        <v>3877.01</v>
      </c>
      <c r="F275">
        <v>7.7739000000000003</v>
      </c>
      <c r="G275" s="43">
        <f t="shared" si="12"/>
        <v>498.72136250787895</v>
      </c>
      <c r="H275">
        <f t="shared" si="14"/>
        <v>1.6955844084364013E-2</v>
      </c>
      <c r="I275"/>
      <c r="K275" s="38"/>
    </row>
    <row r="276" spans="1:11" x14ac:dyDescent="0.3">
      <c r="A276" s="16">
        <v>274</v>
      </c>
      <c r="B276" s="3">
        <v>45715</v>
      </c>
      <c r="C276" s="40">
        <v>5861.57</v>
      </c>
      <c r="D276" s="46">
        <f t="shared" si="13"/>
        <v>-1.586451446090209E-2</v>
      </c>
      <c r="E276">
        <v>3881.15</v>
      </c>
      <c r="F276">
        <v>7.7774000000000001</v>
      </c>
      <c r="G276" s="43">
        <f t="shared" si="12"/>
        <v>499.02923856301595</v>
      </c>
      <c r="H276">
        <f t="shared" si="14"/>
        <v>6.1733079487269471E-4</v>
      </c>
      <c r="I276"/>
      <c r="K276" s="38"/>
    </row>
    <row r="277" spans="1:11" x14ac:dyDescent="0.3">
      <c r="A277" s="16">
        <v>275</v>
      </c>
      <c r="B277" s="3">
        <v>45716</v>
      </c>
      <c r="C277" s="40">
        <v>5954.5</v>
      </c>
      <c r="D277" s="46">
        <f t="shared" si="13"/>
        <v>1.5854114170776867E-2</v>
      </c>
      <c r="E277">
        <v>3802.29</v>
      </c>
      <c r="F277">
        <v>7.7782999999999998</v>
      </c>
      <c r="G277" s="43">
        <f t="shared" si="12"/>
        <v>488.83303549618813</v>
      </c>
      <c r="H277">
        <f t="shared" si="14"/>
        <v>-2.0432075475554035E-2</v>
      </c>
      <c r="I277"/>
      <c r="K277" s="38"/>
    </row>
    <row r="278" spans="1:11" x14ac:dyDescent="0.3">
      <c r="A278" s="16">
        <v>276</v>
      </c>
      <c r="B278" s="3">
        <v>45719</v>
      </c>
      <c r="C278" s="40">
        <v>5849.72</v>
      </c>
      <c r="D278" s="46">
        <f t="shared" si="13"/>
        <v>-1.7596775547904953E-2</v>
      </c>
      <c r="E278">
        <v>3807.03</v>
      </c>
      <c r="F278">
        <v>7.7767999999999997</v>
      </c>
      <c r="G278" s="43">
        <f t="shared" si="12"/>
        <v>489.53682748688414</v>
      </c>
      <c r="H278">
        <f t="shared" si="14"/>
        <v>1.4397390102360852E-3</v>
      </c>
      <c r="I278"/>
      <c r="K278" s="38"/>
    </row>
    <row r="279" spans="1:11" x14ac:dyDescent="0.3">
      <c r="A279" s="16">
        <v>277</v>
      </c>
      <c r="B279" s="3">
        <v>45720</v>
      </c>
      <c r="C279" s="40">
        <v>5778.15</v>
      </c>
      <c r="D279" s="46">
        <f t="shared" si="13"/>
        <v>-1.2234773630190987E-2</v>
      </c>
      <c r="E279">
        <v>3797.63</v>
      </c>
      <c r="F279">
        <v>7.7713999999999999</v>
      </c>
      <c r="G279" s="43">
        <f t="shared" si="12"/>
        <v>488.66742157140288</v>
      </c>
      <c r="H279">
        <f t="shared" si="14"/>
        <v>-1.7759765285575435E-3</v>
      </c>
      <c r="I279"/>
      <c r="K279" s="38"/>
    </row>
    <row r="280" spans="1:11" x14ac:dyDescent="0.3">
      <c r="A280" s="16">
        <v>278</v>
      </c>
      <c r="B280" s="3">
        <v>45721</v>
      </c>
      <c r="C280" s="40">
        <v>5842.63</v>
      </c>
      <c r="D280" s="46">
        <f t="shared" si="13"/>
        <v>1.1159281084776262E-2</v>
      </c>
      <c r="E280">
        <v>3846.5</v>
      </c>
      <c r="F280">
        <v>7.7706999999999997</v>
      </c>
      <c r="G280" s="43">
        <f t="shared" si="12"/>
        <v>495.000450409873</v>
      </c>
      <c r="H280">
        <f t="shared" si="14"/>
        <v>1.29597934278185E-2</v>
      </c>
      <c r="I280"/>
      <c r="K280" s="38"/>
    </row>
    <row r="281" spans="1:11" x14ac:dyDescent="0.3">
      <c r="A281" s="16">
        <v>279</v>
      </c>
      <c r="B281" s="3">
        <v>45722</v>
      </c>
      <c r="C281" s="40">
        <v>5738.52</v>
      </c>
      <c r="D281" s="46">
        <f t="shared" si="13"/>
        <v>-1.7819030128555013E-2</v>
      </c>
      <c r="E281">
        <v>3901.21</v>
      </c>
      <c r="F281">
        <v>7.7718999999999996</v>
      </c>
      <c r="G281" s="43">
        <f t="shared" si="12"/>
        <v>501.96348383278223</v>
      </c>
      <c r="H281">
        <f t="shared" si="14"/>
        <v>1.4066721388119374E-2</v>
      </c>
      <c r="I281"/>
      <c r="K281" s="38"/>
    </row>
    <row r="282" spans="1:11" x14ac:dyDescent="0.3">
      <c r="A282" s="16">
        <v>280</v>
      </c>
      <c r="B282" s="3">
        <v>45723</v>
      </c>
      <c r="C282" s="40">
        <v>5770.2</v>
      </c>
      <c r="D282" s="46">
        <f t="shared" si="13"/>
        <v>5.5205871897281433E-3</v>
      </c>
      <c r="E282">
        <v>3917.07</v>
      </c>
      <c r="F282">
        <v>7.7701000000000002</v>
      </c>
      <c r="G282" s="43">
        <f t="shared" si="12"/>
        <v>504.12092508461927</v>
      </c>
      <c r="H282">
        <f t="shared" si="14"/>
        <v>4.2980043794496048E-3</v>
      </c>
      <c r="I282"/>
      <c r="K282" s="38"/>
    </row>
    <row r="283" spans="1:11" x14ac:dyDescent="0.3">
      <c r="A283" s="16">
        <v>281</v>
      </c>
      <c r="B283" s="3">
        <v>45726</v>
      </c>
      <c r="C283" s="40">
        <v>5614.56</v>
      </c>
      <c r="D283" s="46">
        <f t="shared" si="13"/>
        <v>-2.6973068524487775E-2</v>
      </c>
      <c r="E283">
        <v>3870.42</v>
      </c>
      <c r="F283">
        <v>7.7683999999999997</v>
      </c>
      <c r="G283" s="43">
        <f t="shared" si="12"/>
        <v>498.22614695432782</v>
      </c>
      <c r="H283">
        <f t="shared" si="14"/>
        <v>-1.1693182799944246E-2</v>
      </c>
      <c r="I283"/>
      <c r="K283" s="38"/>
    </row>
    <row r="284" spans="1:11" x14ac:dyDescent="0.3">
      <c r="A284" s="16">
        <v>282</v>
      </c>
      <c r="B284" s="3">
        <v>45727</v>
      </c>
      <c r="C284" s="40">
        <v>5572.07</v>
      </c>
      <c r="D284" s="46">
        <f t="shared" si="13"/>
        <v>-7.5678236584880709E-3</v>
      </c>
      <c r="E284">
        <v>3883.54</v>
      </c>
      <c r="F284">
        <v>7.7704000000000004</v>
      </c>
      <c r="G284" s="43">
        <f t="shared" si="12"/>
        <v>499.78636878410373</v>
      </c>
      <c r="H284">
        <f t="shared" si="14"/>
        <v>3.1315534909470699E-3</v>
      </c>
      <c r="I284"/>
      <c r="K284" s="38"/>
    </row>
    <row r="285" spans="1:11" x14ac:dyDescent="0.3">
      <c r="A285" s="16">
        <v>283</v>
      </c>
      <c r="B285" s="3">
        <v>45728</v>
      </c>
      <c r="C285" s="40">
        <v>5599.3</v>
      </c>
      <c r="D285" s="46">
        <f t="shared" si="13"/>
        <v>4.8868732804865367E-3</v>
      </c>
      <c r="E285">
        <v>3869.93</v>
      </c>
      <c r="F285">
        <v>7.7690999999999999</v>
      </c>
      <c r="G285" s="43">
        <f t="shared" si="12"/>
        <v>498.1181861476876</v>
      </c>
      <c r="H285">
        <f t="shared" si="14"/>
        <v>-3.3377913856965646E-3</v>
      </c>
      <c r="I285"/>
      <c r="K285" s="38"/>
    </row>
    <row r="286" spans="1:11" x14ac:dyDescent="0.3">
      <c r="A286" s="16">
        <v>284</v>
      </c>
      <c r="B286" s="3">
        <v>45729</v>
      </c>
      <c r="C286" s="40">
        <v>5521.52</v>
      </c>
      <c r="D286" s="46">
        <f t="shared" si="13"/>
        <v>-1.3891022092047178E-2</v>
      </c>
      <c r="E286">
        <v>3868.49</v>
      </c>
      <c r="F286">
        <v>7.7717000000000001</v>
      </c>
      <c r="G286" s="43">
        <f t="shared" si="12"/>
        <v>497.76625448743516</v>
      </c>
      <c r="H286">
        <f t="shared" si="14"/>
        <v>-7.0652240781288178E-4</v>
      </c>
      <c r="I286"/>
      <c r="K286" s="38"/>
    </row>
    <row r="287" spans="1:11" x14ac:dyDescent="0.3">
      <c r="A287" s="16">
        <v>285</v>
      </c>
      <c r="B287" s="3">
        <v>45730</v>
      </c>
      <c r="C287" s="40">
        <v>5638.94</v>
      </c>
      <c r="D287" s="46">
        <f t="shared" si="13"/>
        <v>2.1265883307494793E-2</v>
      </c>
      <c r="E287">
        <v>3906.45</v>
      </c>
      <c r="F287">
        <v>7.7728000000000002</v>
      </c>
      <c r="G287" s="43">
        <f t="shared" si="12"/>
        <v>502.57950802799502</v>
      </c>
      <c r="H287">
        <f t="shared" si="14"/>
        <v>9.6697064077118089E-3</v>
      </c>
      <c r="I287"/>
      <c r="K287" s="38"/>
    </row>
    <row r="288" spans="1:11" x14ac:dyDescent="0.3">
      <c r="A288" s="16">
        <v>286</v>
      </c>
      <c r="B288" s="3">
        <v>45733</v>
      </c>
      <c r="C288" s="40">
        <v>5675.12</v>
      </c>
      <c r="D288" s="46">
        <f t="shared" si="13"/>
        <v>6.4160994796895743E-3</v>
      </c>
      <c r="E288">
        <v>3945.69</v>
      </c>
      <c r="F288">
        <v>7.7694999999999999</v>
      </c>
      <c r="G288" s="43">
        <f t="shared" si="12"/>
        <v>507.84349057210892</v>
      </c>
      <c r="H288">
        <f t="shared" si="14"/>
        <v>1.0473929915623792E-2</v>
      </c>
      <c r="I288"/>
      <c r="K288" s="38"/>
    </row>
    <row r="289" spans="1:11" x14ac:dyDescent="0.3">
      <c r="A289" s="16">
        <v>287</v>
      </c>
      <c r="B289" s="3">
        <v>45734</v>
      </c>
      <c r="C289" s="40">
        <v>5614.66</v>
      </c>
      <c r="D289" s="46">
        <f t="shared" si="13"/>
        <v>-1.0653519220738983E-2</v>
      </c>
      <c r="E289">
        <v>4024.91</v>
      </c>
      <c r="F289">
        <v>7.7690999999999999</v>
      </c>
      <c r="G289" s="43">
        <f t="shared" si="12"/>
        <v>518.06644270250092</v>
      </c>
      <c r="H289">
        <f t="shared" si="14"/>
        <v>2.0130123394661137E-2</v>
      </c>
      <c r="I289"/>
      <c r="K289" s="38"/>
    </row>
    <row r="290" spans="1:11" x14ac:dyDescent="0.3">
      <c r="A290" s="16">
        <v>288</v>
      </c>
      <c r="B290" s="3">
        <v>45735</v>
      </c>
      <c r="C290" s="40">
        <v>5675.29</v>
      </c>
      <c r="D290" s="46">
        <f t="shared" si="13"/>
        <v>1.0798516740105457E-2</v>
      </c>
      <c r="E290">
        <v>4018.73</v>
      </c>
      <c r="F290">
        <v>7.7706999999999997</v>
      </c>
      <c r="G290" s="43">
        <f t="shared" si="12"/>
        <v>517.16447681676038</v>
      </c>
      <c r="H290">
        <f t="shared" si="14"/>
        <v>-1.7410235664665485E-3</v>
      </c>
      <c r="I290"/>
      <c r="K290" s="38"/>
    </row>
    <row r="291" spans="1:11" x14ac:dyDescent="0.3">
      <c r="A291" s="16">
        <v>289</v>
      </c>
      <c r="B291" s="3">
        <v>45736</v>
      </c>
      <c r="C291" s="40">
        <v>5662.89</v>
      </c>
      <c r="D291" s="46">
        <f t="shared" si="13"/>
        <v>-2.1849103746239829E-3</v>
      </c>
      <c r="E291">
        <v>3956.74</v>
      </c>
      <c r="F291">
        <v>7.7725999999999997</v>
      </c>
      <c r="G291" s="43">
        <f t="shared" si="12"/>
        <v>509.0626045338754</v>
      </c>
      <c r="H291">
        <f t="shared" si="14"/>
        <v>-1.5665948931282814E-2</v>
      </c>
      <c r="I291"/>
      <c r="K291" s="38"/>
    </row>
    <row r="292" spans="1:11" x14ac:dyDescent="0.3">
      <c r="A292" s="16">
        <v>290</v>
      </c>
      <c r="B292" s="3">
        <v>45737</v>
      </c>
      <c r="C292" s="40">
        <v>5667.56</v>
      </c>
      <c r="D292" s="46">
        <f t="shared" si="13"/>
        <v>8.2466726353502828E-4</v>
      </c>
      <c r="E292">
        <v>3909.24</v>
      </c>
      <c r="F292">
        <v>7.7732999999999999</v>
      </c>
      <c r="G292" s="43">
        <f t="shared" si="12"/>
        <v>502.90610165566744</v>
      </c>
      <c r="H292">
        <f t="shared" si="14"/>
        <v>-1.2093803047751206E-2</v>
      </c>
      <c r="I292"/>
      <c r="K292" s="38"/>
    </row>
    <row r="293" spans="1:11" x14ac:dyDescent="0.3">
      <c r="A293" s="16">
        <v>291</v>
      </c>
      <c r="B293" s="3">
        <v>45740</v>
      </c>
      <c r="C293" s="40">
        <v>5767.57</v>
      </c>
      <c r="D293" s="46">
        <f t="shared" si="13"/>
        <v>1.7646041682840563E-2</v>
      </c>
      <c r="E293">
        <v>3904.02</v>
      </c>
      <c r="F293">
        <v>7.7742000000000004</v>
      </c>
      <c r="G293" s="43">
        <f t="shared" si="12"/>
        <v>502.17642972910392</v>
      </c>
      <c r="H293">
        <f t="shared" si="14"/>
        <v>-1.4509108641976853E-3</v>
      </c>
      <c r="I293"/>
      <c r="K293" s="38"/>
    </row>
    <row r="294" spans="1:11" x14ac:dyDescent="0.3">
      <c r="A294" s="16">
        <v>292</v>
      </c>
      <c r="B294" s="3">
        <v>45741</v>
      </c>
      <c r="C294" s="40">
        <v>5776.65</v>
      </c>
      <c r="D294" s="46">
        <f t="shared" si="13"/>
        <v>1.5743198608773046E-3</v>
      </c>
      <c r="E294">
        <v>3847.06</v>
      </c>
      <c r="F294">
        <v>7.7747000000000002</v>
      </c>
      <c r="G294" s="43">
        <f t="shared" si="12"/>
        <v>494.81780647484788</v>
      </c>
      <c r="H294">
        <f t="shared" si="14"/>
        <v>-1.4653462047642507E-2</v>
      </c>
      <c r="I294"/>
      <c r="K294" s="38"/>
    </row>
    <row r="295" spans="1:11" x14ac:dyDescent="0.3">
      <c r="A295" s="16">
        <v>293</v>
      </c>
      <c r="B295" s="3">
        <v>45742</v>
      </c>
      <c r="C295" s="40">
        <v>5712.2</v>
      </c>
      <c r="D295" s="46">
        <f t="shared" si="13"/>
        <v>-1.115698545004451E-2</v>
      </c>
      <c r="E295">
        <v>3849.68</v>
      </c>
      <c r="F295">
        <v>7.7760999999999996</v>
      </c>
      <c r="G295" s="43">
        <f t="shared" si="12"/>
        <v>495.06564987590178</v>
      </c>
      <c r="H295">
        <f t="shared" si="14"/>
        <v>5.0087809656562676E-4</v>
      </c>
      <c r="I295"/>
      <c r="K295" s="38"/>
    </row>
    <row r="296" spans="1:11" x14ac:dyDescent="0.3">
      <c r="A296" s="16">
        <v>294</v>
      </c>
      <c r="B296" s="3">
        <v>45743</v>
      </c>
      <c r="C296" s="40">
        <v>5693.31</v>
      </c>
      <c r="D296" s="46">
        <f t="shared" si="13"/>
        <v>-3.3069570393192693E-3</v>
      </c>
      <c r="E296">
        <v>3875.42</v>
      </c>
      <c r="F296">
        <v>7.7754000000000003</v>
      </c>
      <c r="G296" s="43">
        <f t="shared" si="12"/>
        <v>498.42066003035211</v>
      </c>
      <c r="H296">
        <f t="shared" si="14"/>
        <v>6.7768994986652231E-3</v>
      </c>
      <c r="I296"/>
      <c r="K296" s="38"/>
    </row>
    <row r="297" spans="1:11" x14ac:dyDescent="0.3">
      <c r="A297" s="16">
        <v>295</v>
      </c>
      <c r="B297" s="3">
        <v>45744</v>
      </c>
      <c r="C297" s="40">
        <v>5580.94</v>
      </c>
      <c r="D297" s="46">
        <f t="shared" si="13"/>
        <v>-1.9737200328104554E-2</v>
      </c>
      <c r="E297">
        <v>3850.94</v>
      </c>
      <c r="F297">
        <v>7.7778</v>
      </c>
      <c r="G297" s="43">
        <f t="shared" si="12"/>
        <v>495.11944251587852</v>
      </c>
      <c r="H297">
        <f t="shared" si="14"/>
        <v>-6.62335609096254E-3</v>
      </c>
      <c r="I297"/>
      <c r="K297" s="38"/>
    </row>
    <row r="298" spans="1:11" x14ac:dyDescent="0.3">
      <c r="A298" s="16">
        <v>296</v>
      </c>
      <c r="B298" s="3">
        <v>45747</v>
      </c>
      <c r="C298" s="40">
        <v>5611.85</v>
      </c>
      <c r="D298" s="46">
        <f t="shared" si="13"/>
        <v>5.5384935154294546E-3</v>
      </c>
      <c r="E298">
        <v>3810.81</v>
      </c>
      <c r="F298">
        <v>7.7801999999999998</v>
      </c>
      <c r="G298" s="43">
        <f t="shared" si="12"/>
        <v>489.80874527647103</v>
      </c>
      <c r="H298">
        <f t="shared" si="14"/>
        <v>-1.0726093106790402E-2</v>
      </c>
      <c r="I298"/>
      <c r="K298" s="38"/>
    </row>
    <row r="299" spans="1:11" x14ac:dyDescent="0.3">
      <c r="A299" s="16">
        <v>297</v>
      </c>
      <c r="B299" s="3">
        <v>45748</v>
      </c>
      <c r="C299" s="40">
        <v>5633.07</v>
      </c>
      <c r="D299" s="46">
        <f t="shared" si="13"/>
        <v>3.7812842467277452E-3</v>
      </c>
      <c r="E299">
        <v>3831.93</v>
      </c>
      <c r="F299">
        <v>7.7808999999999999</v>
      </c>
      <c r="G299" s="43">
        <f t="shared" si="12"/>
        <v>492.47901913660371</v>
      </c>
      <c r="H299">
        <f t="shared" si="14"/>
        <v>5.4516663613783933E-3</v>
      </c>
      <c r="I299"/>
      <c r="K299" s="38"/>
    </row>
    <row r="300" spans="1:11" x14ac:dyDescent="0.3">
      <c r="A300" s="16">
        <v>298</v>
      </c>
      <c r="B300" s="3">
        <v>45749</v>
      </c>
      <c r="C300" s="40">
        <v>5670.97</v>
      </c>
      <c r="D300" s="46">
        <f t="shared" si="13"/>
        <v>6.7281251608803938E-3</v>
      </c>
      <c r="E300">
        <v>3862</v>
      </c>
      <c r="F300">
        <v>7.7820999999999998</v>
      </c>
      <c r="G300" s="43">
        <f t="shared" si="12"/>
        <v>496.26707444006115</v>
      </c>
      <c r="H300">
        <f t="shared" si="14"/>
        <v>7.6918105264636161E-3</v>
      </c>
      <c r="I300"/>
      <c r="K300" s="38"/>
    </row>
    <row r="301" spans="1:11" x14ac:dyDescent="0.3">
      <c r="A301" s="16">
        <v>299</v>
      </c>
      <c r="B301" s="3">
        <v>45750</v>
      </c>
      <c r="C301" s="40">
        <v>5396.52</v>
      </c>
      <c r="D301" s="46">
        <f t="shared" si="13"/>
        <v>-4.839560075260485E-2</v>
      </c>
      <c r="E301">
        <v>3873.88</v>
      </c>
      <c r="F301">
        <v>7.7779999999999996</v>
      </c>
      <c r="G301" s="43">
        <f t="shared" si="12"/>
        <v>498.05605554127027</v>
      </c>
      <c r="H301">
        <f t="shared" si="14"/>
        <v>3.6048756674571525E-3</v>
      </c>
      <c r="I301"/>
      <c r="K301" s="38"/>
    </row>
    <row r="302" spans="1:11" x14ac:dyDescent="0.3">
      <c r="A302" s="16">
        <v>300</v>
      </c>
      <c r="B302" s="3">
        <v>45754</v>
      </c>
      <c r="C302" s="40">
        <v>5062.25</v>
      </c>
      <c r="D302" s="46">
        <f t="shared" si="13"/>
        <v>-6.1941769881331044E-2</v>
      </c>
      <c r="E302">
        <v>3469.18</v>
      </c>
      <c r="F302">
        <v>7.7675999999999998</v>
      </c>
      <c r="G302" s="43">
        <f t="shared" si="12"/>
        <v>446.62186518358305</v>
      </c>
      <c r="H302">
        <f t="shared" si="14"/>
        <v>-0.10326988254723712</v>
      </c>
      <c r="I302"/>
      <c r="K302" s="38"/>
    </row>
    <row r="303" spans="1:11" x14ac:dyDescent="0.3">
      <c r="A303" s="16">
        <v>301</v>
      </c>
      <c r="B303" s="3">
        <v>45755</v>
      </c>
      <c r="C303" s="40">
        <v>4982.7700000000004</v>
      </c>
      <c r="D303" s="46">
        <f t="shared" si="13"/>
        <v>-1.5700528421156545E-2</v>
      </c>
      <c r="E303">
        <v>3530.28</v>
      </c>
      <c r="F303">
        <v>7.7708000000000004</v>
      </c>
      <c r="G303" s="43">
        <f t="shared" si="12"/>
        <v>454.30071549904773</v>
      </c>
      <c r="H303">
        <f t="shared" si="14"/>
        <v>1.7193180437568456E-2</v>
      </c>
      <c r="I303"/>
      <c r="K303" s="38"/>
    </row>
    <row r="304" spans="1:11" x14ac:dyDescent="0.3">
      <c r="A304" s="16">
        <v>302</v>
      </c>
      <c r="B304" s="3">
        <v>45756</v>
      </c>
      <c r="C304" s="40">
        <v>5456.9</v>
      </c>
      <c r="D304" s="46">
        <f t="shared" si="13"/>
        <v>9.5153900340573472E-2</v>
      </c>
      <c r="E304">
        <v>3593.24</v>
      </c>
      <c r="F304">
        <v>7.7607999999999997</v>
      </c>
      <c r="G304" s="43">
        <f t="shared" si="12"/>
        <v>462.99865993196579</v>
      </c>
      <c r="H304">
        <f t="shared" si="14"/>
        <v>1.9145786339701099E-2</v>
      </c>
      <c r="I304"/>
      <c r="K304" s="38"/>
    </row>
    <row r="305" spans="1:11" x14ac:dyDescent="0.3">
      <c r="A305" s="16">
        <v>303</v>
      </c>
      <c r="B305" s="3">
        <v>45757</v>
      </c>
      <c r="C305" s="40">
        <v>5268.05</v>
      </c>
      <c r="D305" s="46">
        <f t="shared" si="13"/>
        <v>-3.4607561069471604E-2</v>
      </c>
      <c r="E305">
        <v>3643.5</v>
      </c>
      <c r="F305">
        <v>7.7586000000000004</v>
      </c>
      <c r="G305" s="43">
        <f t="shared" si="12"/>
        <v>469.6079189544505</v>
      </c>
      <c r="H305">
        <f t="shared" si="14"/>
        <v>1.4274898816026615E-2</v>
      </c>
      <c r="I305"/>
      <c r="K305" s="38"/>
    </row>
    <row r="306" spans="1:11" x14ac:dyDescent="0.3">
      <c r="A306" s="16">
        <v>304</v>
      </c>
      <c r="B306" s="3">
        <v>45758</v>
      </c>
      <c r="C306" s="40">
        <v>5363.36</v>
      </c>
      <c r="D306" s="46">
        <f t="shared" si="13"/>
        <v>1.8092083408471682E-2</v>
      </c>
      <c r="E306">
        <v>3683.96</v>
      </c>
      <c r="F306">
        <v>7.7534000000000001</v>
      </c>
      <c r="G306" s="43">
        <f t="shared" si="12"/>
        <v>475.14122836433052</v>
      </c>
      <c r="H306">
        <f t="shared" si="14"/>
        <v>1.1782828156304381E-2</v>
      </c>
      <c r="I306"/>
      <c r="K306" s="38"/>
    </row>
    <row r="307" spans="1:11" x14ac:dyDescent="0.3">
      <c r="A307" s="16">
        <v>305</v>
      </c>
      <c r="B307" s="3">
        <v>45761</v>
      </c>
      <c r="C307" s="40">
        <v>5405.97</v>
      </c>
      <c r="D307" s="46">
        <f t="shared" si="13"/>
        <v>7.9446466394201831E-3</v>
      </c>
      <c r="E307">
        <v>3724.97</v>
      </c>
      <c r="F307">
        <v>7.7561</v>
      </c>
      <c r="G307" s="43">
        <f t="shared" si="12"/>
        <v>480.2632766467683</v>
      </c>
      <c r="H307">
        <f t="shared" si="14"/>
        <v>1.0780054385241211E-2</v>
      </c>
      <c r="I307"/>
      <c r="K307" s="38"/>
    </row>
    <row r="308" spans="1:11" x14ac:dyDescent="0.3">
      <c r="A308" s="16">
        <v>306</v>
      </c>
      <c r="B308" s="3">
        <v>45762</v>
      </c>
      <c r="C308" s="40">
        <v>5396.63</v>
      </c>
      <c r="D308" s="46">
        <f t="shared" si="13"/>
        <v>-1.7277195396940837E-3</v>
      </c>
      <c r="E308">
        <v>3725.76</v>
      </c>
      <c r="F308">
        <v>7.7573999999999996</v>
      </c>
      <c r="G308" s="43">
        <f t="shared" si="12"/>
        <v>480.2846314486813</v>
      </c>
      <c r="H308">
        <f t="shared" si="14"/>
        <v>4.4464782029685068E-5</v>
      </c>
      <c r="I308"/>
      <c r="K308" s="38"/>
    </row>
    <row r="309" spans="1:11" x14ac:dyDescent="0.3">
      <c r="A309" s="16">
        <v>307</v>
      </c>
      <c r="B309" s="3">
        <v>45763</v>
      </c>
      <c r="C309" s="40">
        <v>5275.7</v>
      </c>
      <c r="D309" s="46">
        <f t="shared" si="13"/>
        <v>-2.2408428964001637E-2</v>
      </c>
      <c r="E309">
        <v>3708.09</v>
      </c>
      <c r="F309">
        <v>7.7622999999999998</v>
      </c>
      <c r="G309" s="43">
        <f t="shared" si="12"/>
        <v>477.70506164410034</v>
      </c>
      <c r="H309">
        <f t="shared" si="14"/>
        <v>-5.370918900320043E-3</v>
      </c>
      <c r="I309"/>
      <c r="K309" s="38"/>
    </row>
    <row r="310" spans="1:11" x14ac:dyDescent="0.3">
      <c r="A310" s="16">
        <v>308</v>
      </c>
      <c r="B310" s="3">
        <v>45764</v>
      </c>
      <c r="C310" s="40">
        <v>5282.7</v>
      </c>
      <c r="D310" s="46">
        <f t="shared" si="13"/>
        <v>1.3268381447011368E-3</v>
      </c>
      <c r="E310">
        <v>3758.87</v>
      </c>
      <c r="F310">
        <v>7.7638999999999996</v>
      </c>
      <c r="G310" s="43">
        <f t="shared" si="12"/>
        <v>484.14714254433983</v>
      </c>
      <c r="H310">
        <f t="shared" si="14"/>
        <v>1.3485477583318861E-2</v>
      </c>
      <c r="I310"/>
      <c r="K310" s="38"/>
    </row>
    <row r="311" spans="1:11" x14ac:dyDescent="0.3">
      <c r="A311" s="16">
        <v>309</v>
      </c>
      <c r="B311" s="3">
        <v>45769</v>
      </c>
      <c r="C311" s="40">
        <v>5287.76</v>
      </c>
      <c r="D311" s="46">
        <f t="shared" si="13"/>
        <v>9.5784352698435882E-4</v>
      </c>
      <c r="E311">
        <v>3794.09</v>
      </c>
      <c r="F311">
        <v>7.7580999999999998</v>
      </c>
      <c r="G311" s="43">
        <f t="shared" si="12"/>
        <v>489.0488650571661</v>
      </c>
      <c r="H311">
        <f t="shared" si="14"/>
        <v>1.0124447883893772E-2</v>
      </c>
      <c r="I311"/>
      <c r="K311" s="38"/>
    </row>
    <row r="312" spans="1:11" x14ac:dyDescent="0.3">
      <c r="A312" s="16">
        <v>310</v>
      </c>
      <c r="B312" s="3">
        <v>45770</v>
      </c>
      <c r="C312" s="40">
        <v>5375.86</v>
      </c>
      <c r="D312" s="46">
        <f t="shared" si="13"/>
        <v>1.6661119264111734E-2</v>
      </c>
      <c r="E312">
        <v>3773.46</v>
      </c>
      <c r="F312">
        <v>7.7601000000000004</v>
      </c>
      <c r="G312" s="43">
        <f t="shared" si="12"/>
        <v>486.26435226350173</v>
      </c>
      <c r="H312">
        <f t="shared" si="14"/>
        <v>-5.6937312252812733E-3</v>
      </c>
      <c r="I312"/>
      <c r="K312" s="38"/>
    </row>
    <row r="313" spans="1:11" x14ac:dyDescent="0.3">
      <c r="A313" s="16">
        <v>311</v>
      </c>
      <c r="B313" s="3">
        <v>45771</v>
      </c>
      <c r="C313" s="40">
        <v>5484.77</v>
      </c>
      <c r="D313" s="46">
        <f t="shared" si="13"/>
        <v>2.025908412793509E-2</v>
      </c>
      <c r="E313">
        <v>3765.48</v>
      </c>
      <c r="F313">
        <v>7.7587999999999999</v>
      </c>
      <c r="G313" s="43">
        <f t="shared" si="12"/>
        <v>485.31731711089344</v>
      </c>
      <c r="H313">
        <f t="shared" si="14"/>
        <v>-1.9475726489098788E-3</v>
      </c>
      <c r="I313"/>
      <c r="K313" s="38"/>
    </row>
    <row r="314" spans="1:11" x14ac:dyDescent="0.3">
      <c r="A314" s="16">
        <v>312</v>
      </c>
      <c r="B314" s="3">
        <v>45772</v>
      </c>
      <c r="C314" s="40">
        <v>5525.21</v>
      </c>
      <c r="D314" s="46">
        <f t="shared" si="13"/>
        <v>7.3731441792452834E-3</v>
      </c>
      <c r="E314">
        <v>3760.77</v>
      </c>
      <c r="F314">
        <v>7.7573999999999996</v>
      </c>
      <c r="G314" s="43">
        <f t="shared" si="12"/>
        <v>484.79774151133114</v>
      </c>
      <c r="H314">
        <f t="shared" si="14"/>
        <v>-1.0705894499197788E-3</v>
      </c>
      <c r="I314"/>
      <c r="K314" s="38"/>
    </row>
    <row r="315" spans="1:11" x14ac:dyDescent="0.3">
      <c r="A315" s="16">
        <v>313</v>
      </c>
      <c r="B315" s="3">
        <v>45775</v>
      </c>
      <c r="C315" s="40">
        <v>5528.75</v>
      </c>
      <c r="D315" s="46">
        <f t="shared" si="13"/>
        <v>6.4069962951629478E-4</v>
      </c>
      <c r="E315">
        <v>3768.92</v>
      </c>
      <c r="F315">
        <v>7.7567000000000004</v>
      </c>
      <c r="G315" s="43">
        <f t="shared" si="12"/>
        <v>485.89219642373689</v>
      </c>
      <c r="H315">
        <f t="shared" si="14"/>
        <v>2.2575495277552537E-3</v>
      </c>
      <c r="I315"/>
      <c r="K315" s="38"/>
    </row>
    <row r="316" spans="1:11" x14ac:dyDescent="0.3">
      <c r="A316" s="16">
        <v>314</v>
      </c>
      <c r="B316" s="3">
        <v>45776</v>
      </c>
      <c r="C316" s="40">
        <v>5560.83</v>
      </c>
      <c r="D316" s="46">
        <f t="shared" si="13"/>
        <v>5.8023965634184105E-3</v>
      </c>
      <c r="E316">
        <v>3755.88</v>
      </c>
      <c r="F316">
        <v>7.7588999999999997</v>
      </c>
      <c r="G316" s="43">
        <f t="shared" si="12"/>
        <v>484.07377334415963</v>
      </c>
      <c r="H316">
        <f t="shared" si="14"/>
        <v>-3.742441415937936E-3</v>
      </c>
      <c r="I316"/>
      <c r="K316" s="38"/>
    </row>
    <row r="317" spans="1:11" x14ac:dyDescent="0.3">
      <c r="A317" s="16">
        <v>315</v>
      </c>
      <c r="B317" s="3">
        <v>45777</v>
      </c>
      <c r="C317" s="40">
        <v>5569.06</v>
      </c>
      <c r="D317" s="46">
        <f t="shared" si="13"/>
        <v>1.4799948928487794E-3</v>
      </c>
      <c r="E317">
        <v>3770.44</v>
      </c>
      <c r="F317">
        <v>7.7556000000000003</v>
      </c>
      <c r="G317" s="43">
        <f t="shared" si="12"/>
        <v>486.15709938624991</v>
      </c>
      <c r="H317">
        <f t="shared" si="14"/>
        <v>4.3037366550513489E-3</v>
      </c>
      <c r="I317"/>
      <c r="K317" s="38"/>
    </row>
    <row r="318" spans="1:11" x14ac:dyDescent="0.3">
      <c r="B318" s="3"/>
      <c r="C318" s="40"/>
      <c r="D318" s="19"/>
      <c r="E318"/>
      <c r="F318"/>
      <c r="G318" s="43"/>
      <c r="H318"/>
      <c r="I318"/>
      <c r="K318" s="38"/>
    </row>
    <row r="319" spans="1:11" x14ac:dyDescent="0.3">
      <c r="B319" s="3"/>
      <c r="C319" s="40"/>
      <c r="D319" s="19"/>
      <c r="E319"/>
      <c r="F319"/>
      <c r="G319" s="43"/>
      <c r="H319"/>
      <c r="I319"/>
      <c r="K319" s="38"/>
    </row>
    <row r="320" spans="1:11" x14ac:dyDescent="0.3">
      <c r="B320" s="3"/>
      <c r="C320" s="40"/>
      <c r="D320" s="19"/>
      <c r="E320"/>
      <c r="F320"/>
      <c r="G320" s="43"/>
      <c r="H320"/>
      <c r="I320"/>
      <c r="K320" s="38"/>
    </row>
    <row r="321" spans="2:11" x14ac:dyDescent="0.3">
      <c r="B321" s="3"/>
      <c r="C321" s="40"/>
      <c r="D321" s="19"/>
      <c r="E321"/>
      <c r="F321"/>
      <c r="G321" s="43"/>
      <c r="H321"/>
      <c r="I321"/>
      <c r="K321" s="38"/>
    </row>
    <row r="322" spans="2:11" x14ac:dyDescent="0.3">
      <c r="B322" s="3"/>
      <c r="C322" s="40"/>
      <c r="D322" s="19"/>
      <c r="E322"/>
      <c r="F322"/>
      <c r="G322" s="43"/>
      <c r="H322"/>
      <c r="I322"/>
      <c r="K322" s="38"/>
    </row>
    <row r="323" spans="2:11" x14ac:dyDescent="0.3">
      <c r="B323" s="3"/>
      <c r="C323" s="40"/>
      <c r="D323" s="19"/>
      <c r="E323"/>
      <c r="F323"/>
      <c r="G323" s="43"/>
      <c r="H323"/>
      <c r="I323"/>
      <c r="K323" s="38"/>
    </row>
    <row r="324" spans="2:11" x14ac:dyDescent="0.3">
      <c r="B324" s="3"/>
      <c r="C324" s="40"/>
      <c r="D324" s="19"/>
      <c r="E324"/>
      <c r="F324"/>
      <c r="G324" s="43"/>
      <c r="H324"/>
      <c r="I324"/>
      <c r="K324" s="38"/>
    </row>
    <row r="325" spans="2:11" x14ac:dyDescent="0.3">
      <c r="B325" s="3"/>
      <c r="C325" s="40"/>
      <c r="D325" s="19"/>
      <c r="E325"/>
      <c r="F325"/>
      <c r="G325" s="43"/>
      <c r="H325"/>
      <c r="I325"/>
      <c r="K325" s="38"/>
    </row>
    <row r="326" spans="2:11" x14ac:dyDescent="0.3">
      <c r="B326" s="3"/>
      <c r="C326" s="40"/>
      <c r="D326" s="19"/>
      <c r="E326"/>
      <c r="F326"/>
      <c r="G326" s="43"/>
      <c r="H326"/>
      <c r="I326"/>
      <c r="K326" s="38"/>
    </row>
    <row r="327" spans="2:11" x14ac:dyDescent="0.3">
      <c r="B327" s="3"/>
      <c r="C327" s="40"/>
      <c r="D327" s="19"/>
      <c r="E327"/>
      <c r="F327"/>
      <c r="G327" s="43"/>
      <c r="H327"/>
      <c r="I327"/>
      <c r="K327" s="38"/>
    </row>
    <row r="328" spans="2:11" x14ac:dyDescent="0.3">
      <c r="B328" s="3"/>
      <c r="C328" s="40"/>
      <c r="D328" s="19"/>
      <c r="E328"/>
      <c r="F328"/>
      <c r="G328" s="43"/>
      <c r="H328"/>
      <c r="I328"/>
      <c r="K328" s="38"/>
    </row>
    <row r="329" spans="2:11" x14ac:dyDescent="0.3">
      <c r="B329" s="3"/>
      <c r="C329" s="40"/>
      <c r="D329" s="19"/>
      <c r="E329"/>
      <c r="F329"/>
      <c r="G329" s="43"/>
      <c r="H329"/>
      <c r="I329"/>
      <c r="K329" s="38"/>
    </row>
    <row r="330" spans="2:11" x14ac:dyDescent="0.3">
      <c r="B330" s="3"/>
      <c r="C330" s="40"/>
      <c r="D330" s="19"/>
      <c r="E330"/>
      <c r="F330"/>
      <c r="G330" s="43"/>
      <c r="H330"/>
      <c r="I330"/>
      <c r="K330" s="38"/>
    </row>
    <row r="331" spans="2:11" x14ac:dyDescent="0.3">
      <c r="B331" s="3"/>
      <c r="C331" s="40"/>
      <c r="D331" s="19"/>
      <c r="E331"/>
      <c r="F331"/>
      <c r="G331" s="43"/>
      <c r="H331"/>
      <c r="I331"/>
      <c r="K331" s="38"/>
    </row>
    <row r="332" spans="2:11" x14ac:dyDescent="0.3">
      <c r="B332" s="3"/>
      <c r="C332" s="40"/>
      <c r="D332" s="19"/>
      <c r="E332"/>
      <c r="F332"/>
      <c r="G332" s="43"/>
      <c r="H332"/>
      <c r="I332"/>
      <c r="K332" s="38"/>
    </row>
    <row r="333" spans="2:11" x14ac:dyDescent="0.3">
      <c r="B333" s="3"/>
      <c r="C333" s="40"/>
      <c r="D333" s="19"/>
      <c r="E333"/>
      <c r="F333"/>
      <c r="G333" s="43"/>
      <c r="H333"/>
      <c r="I333"/>
      <c r="K333" s="38"/>
    </row>
    <row r="334" spans="2:11" x14ac:dyDescent="0.3">
      <c r="B334" s="3"/>
      <c r="C334" s="40"/>
      <c r="D334" s="19"/>
      <c r="E334"/>
      <c r="F334"/>
      <c r="G334" s="43"/>
      <c r="H334"/>
      <c r="I334"/>
      <c r="K334" s="38"/>
    </row>
    <row r="335" spans="2:11" x14ac:dyDescent="0.3">
      <c r="B335" s="3"/>
      <c r="C335" s="23"/>
      <c r="D335"/>
      <c r="E335"/>
      <c r="F335"/>
      <c r="G335" s="43"/>
      <c r="H335"/>
      <c r="I335"/>
      <c r="K335" s="38"/>
    </row>
    <row r="336" spans="2:11" x14ac:dyDescent="0.3">
      <c r="B336" s="3"/>
      <c r="C336" s="23"/>
      <c r="D336"/>
      <c r="E336"/>
      <c r="F336"/>
      <c r="G336" s="43"/>
      <c r="H336"/>
      <c r="I336"/>
      <c r="K336" s="38"/>
    </row>
    <row r="337" spans="2:11" x14ac:dyDescent="0.3">
      <c r="B337" s="3"/>
      <c r="C337" s="23"/>
      <c r="D337"/>
      <c r="E337"/>
      <c r="F337"/>
      <c r="G337" s="43"/>
      <c r="H337"/>
      <c r="I337"/>
      <c r="K337" s="38"/>
    </row>
    <row r="338" spans="2:11" x14ac:dyDescent="0.3">
      <c r="B338" s="3"/>
      <c r="C338" s="23"/>
      <c r="D338"/>
      <c r="E338"/>
      <c r="F338"/>
      <c r="G338" s="43"/>
      <c r="H338"/>
      <c r="I338"/>
      <c r="K338" s="38"/>
    </row>
    <row r="339" spans="2:11" x14ac:dyDescent="0.3">
      <c r="B339" s="3"/>
      <c r="C339" s="23"/>
      <c r="D339"/>
      <c r="E339"/>
      <c r="F339"/>
      <c r="G339" s="43"/>
      <c r="H339"/>
      <c r="I339"/>
      <c r="K339" s="38"/>
    </row>
    <row r="340" spans="2:11" x14ac:dyDescent="0.3">
      <c r="B340" s="3"/>
      <c r="C340" s="23"/>
      <c r="D340"/>
      <c r="E340"/>
      <c r="F340"/>
      <c r="G340" s="43"/>
      <c r="H340"/>
      <c r="I340"/>
      <c r="K340" s="38"/>
    </row>
    <row r="341" spans="2:11" x14ac:dyDescent="0.3">
      <c r="B341" s="3"/>
      <c r="C341" s="23"/>
      <c r="D341"/>
      <c r="E341"/>
      <c r="F341"/>
      <c r="G341" s="43"/>
      <c r="H341"/>
      <c r="I341"/>
      <c r="K341" s="38"/>
    </row>
    <row r="342" spans="2:11" x14ac:dyDescent="0.3">
      <c r="B342" s="3"/>
      <c r="C342" s="23"/>
      <c r="D342"/>
      <c r="E342"/>
      <c r="F342"/>
      <c r="G342" s="43"/>
      <c r="H342"/>
      <c r="I342"/>
      <c r="K342" s="38"/>
    </row>
    <row r="343" spans="2:11" x14ac:dyDescent="0.3">
      <c r="B343" s="3"/>
      <c r="C343" s="23"/>
      <c r="D343"/>
      <c r="E343"/>
      <c r="F343"/>
      <c r="G343" s="43"/>
      <c r="H343"/>
      <c r="I343"/>
      <c r="K343" s="38"/>
    </row>
    <row r="344" spans="2:11" x14ac:dyDescent="0.3">
      <c r="B344" s="3"/>
      <c r="C344" s="23"/>
      <c r="D344"/>
      <c r="E344"/>
      <c r="F344"/>
      <c r="G344" s="43"/>
      <c r="H344"/>
      <c r="I344"/>
      <c r="K344" s="38"/>
    </row>
    <row r="345" spans="2:11" x14ac:dyDescent="0.3">
      <c r="B345" s="3"/>
      <c r="C345" s="23"/>
      <c r="D345"/>
      <c r="E345"/>
      <c r="F345"/>
      <c r="G345" s="43"/>
      <c r="H345"/>
      <c r="I345"/>
      <c r="K345" s="38"/>
    </row>
    <row r="346" spans="2:11" x14ac:dyDescent="0.3">
      <c r="B346" s="3"/>
      <c r="C346" s="23"/>
      <c r="D346"/>
      <c r="E346"/>
      <c r="F346"/>
      <c r="G346" s="43"/>
      <c r="H346"/>
      <c r="I346"/>
      <c r="K346" s="38"/>
    </row>
    <row r="347" spans="2:11" x14ac:dyDescent="0.3">
      <c r="B347" s="3"/>
      <c r="C347" s="23"/>
      <c r="D347"/>
      <c r="E347"/>
      <c r="F347"/>
      <c r="G347" s="43"/>
      <c r="H347"/>
      <c r="I347"/>
      <c r="K347" s="38"/>
    </row>
    <row r="348" spans="2:11" x14ac:dyDescent="0.3">
      <c r="B348" s="3"/>
      <c r="C348" s="23"/>
      <c r="D348"/>
      <c r="E348"/>
      <c r="F348"/>
      <c r="G348" s="43"/>
      <c r="H348"/>
      <c r="I348"/>
      <c r="K348" s="38"/>
    </row>
    <row r="349" spans="2:11" x14ac:dyDescent="0.3">
      <c r="B349" s="3"/>
      <c r="C349" s="23"/>
      <c r="D349"/>
      <c r="E349"/>
      <c r="F349"/>
      <c r="G349" s="43"/>
      <c r="H349"/>
      <c r="I349"/>
      <c r="K349" s="38"/>
    </row>
    <row r="350" spans="2:11" x14ac:dyDescent="0.3">
      <c r="B350" s="3"/>
      <c r="C350" s="23"/>
      <c r="D350"/>
      <c r="E350"/>
      <c r="F350" s="11"/>
      <c r="G350" s="43"/>
      <c r="H350"/>
      <c r="I350"/>
      <c r="K350" s="38"/>
    </row>
    <row r="351" spans="2:11" x14ac:dyDescent="0.3">
      <c r="B351" s="3"/>
      <c r="C351" s="23"/>
      <c r="D351"/>
      <c r="E351"/>
      <c r="F351" s="11"/>
      <c r="G351" s="43"/>
      <c r="H351"/>
      <c r="I351"/>
      <c r="K351" s="38"/>
    </row>
    <row r="352" spans="2:11" x14ac:dyDescent="0.3">
      <c r="B352" s="3"/>
      <c r="C352" s="23"/>
      <c r="D352"/>
      <c r="E352"/>
      <c r="F352" s="11"/>
      <c r="G352" s="43"/>
      <c r="H352"/>
      <c r="I352"/>
      <c r="K352" s="38"/>
    </row>
    <row r="353" spans="2:11" x14ac:dyDescent="0.3">
      <c r="B353" s="3"/>
      <c r="C353" s="23"/>
      <c r="D353"/>
      <c r="E353"/>
      <c r="F353" s="11"/>
      <c r="G353" s="43"/>
      <c r="H353"/>
      <c r="I353"/>
      <c r="K353" s="38"/>
    </row>
    <row r="354" spans="2:11" x14ac:dyDescent="0.3">
      <c r="B354" s="3"/>
      <c r="C354" s="23"/>
      <c r="D354"/>
      <c r="E354"/>
      <c r="F354" s="11"/>
      <c r="G354" s="43"/>
      <c r="H354"/>
      <c r="I354"/>
      <c r="K354" s="38"/>
    </row>
    <row r="355" spans="2:11" x14ac:dyDescent="0.3">
      <c r="B355" s="3"/>
      <c r="C355" s="23"/>
      <c r="D355"/>
      <c r="E355"/>
      <c r="F355" s="11"/>
      <c r="G355" s="43"/>
      <c r="H355"/>
      <c r="I355"/>
      <c r="K355" s="38"/>
    </row>
    <row r="356" spans="2:11" x14ac:dyDescent="0.3">
      <c r="B356" s="3"/>
      <c r="C356" s="23"/>
      <c r="D356"/>
      <c r="E356"/>
      <c r="F356" s="11"/>
      <c r="G356" s="43"/>
      <c r="H356"/>
      <c r="I356"/>
      <c r="K356" s="38"/>
    </row>
    <row r="357" spans="2:11" x14ac:dyDescent="0.3">
      <c r="B357" s="3"/>
      <c r="C357" s="23"/>
      <c r="D357"/>
      <c r="E357"/>
      <c r="F357" s="11"/>
      <c r="G357" s="43"/>
      <c r="H357"/>
      <c r="I357"/>
      <c r="K357" s="38"/>
    </row>
    <row r="358" spans="2:11" x14ac:dyDescent="0.3">
      <c r="B358" s="3"/>
      <c r="C358" s="23"/>
      <c r="D358"/>
      <c r="E358"/>
      <c r="F358" s="11"/>
      <c r="G358" s="43"/>
      <c r="H358"/>
      <c r="I358"/>
      <c r="K358" s="38"/>
    </row>
    <row r="359" spans="2:11" x14ac:dyDescent="0.3">
      <c r="B359" s="3"/>
      <c r="C359" s="23"/>
      <c r="D359"/>
      <c r="E359"/>
      <c r="F359" s="11"/>
      <c r="G359" s="43"/>
      <c r="H359"/>
      <c r="I359"/>
      <c r="K359" s="38"/>
    </row>
    <row r="360" spans="2:11" x14ac:dyDescent="0.3">
      <c r="B360" s="3"/>
      <c r="C360" s="23"/>
      <c r="D360"/>
      <c r="E360"/>
      <c r="F360" s="11"/>
      <c r="G360" s="43"/>
      <c r="H360"/>
      <c r="I360"/>
      <c r="K360" s="38"/>
    </row>
    <row r="361" spans="2:11" x14ac:dyDescent="0.3">
      <c r="B361" s="3"/>
      <c r="C361" s="23"/>
      <c r="D361"/>
      <c r="E361"/>
      <c r="F361" s="11"/>
      <c r="G361" s="43"/>
      <c r="H361"/>
      <c r="I361"/>
      <c r="K361" s="38"/>
    </row>
    <row r="362" spans="2:11" x14ac:dyDescent="0.3">
      <c r="B362" s="3"/>
      <c r="C362" s="40"/>
      <c r="D362" s="19"/>
      <c r="E362"/>
      <c r="F362" s="11"/>
      <c r="G362" s="43"/>
      <c r="H362"/>
      <c r="I362"/>
      <c r="K362" s="38"/>
    </row>
    <row r="363" spans="2:11" x14ac:dyDescent="0.3">
      <c r="B363" s="3"/>
      <c r="C363" s="40"/>
      <c r="D363" s="19"/>
      <c r="E363"/>
      <c r="F363" s="11"/>
      <c r="G363" s="43"/>
      <c r="H363"/>
      <c r="I363"/>
      <c r="K363" s="38"/>
    </row>
    <row r="364" spans="2:11" x14ac:dyDescent="0.3">
      <c r="B364" s="3"/>
      <c r="C364" s="40"/>
      <c r="D364" s="19"/>
      <c r="E364"/>
      <c r="F364" s="11"/>
      <c r="G364" s="43"/>
      <c r="H364"/>
      <c r="I364"/>
      <c r="K364" s="38"/>
    </row>
    <row r="365" spans="2:11" x14ac:dyDescent="0.3">
      <c r="C365" s="40"/>
      <c r="D365" s="19"/>
      <c r="E365"/>
      <c r="F365" s="11"/>
      <c r="G365" s="43"/>
      <c r="H365"/>
      <c r="I365"/>
      <c r="K365" s="38"/>
    </row>
    <row r="366" spans="2:11" x14ac:dyDescent="0.3">
      <c r="C366" s="40"/>
      <c r="D366" s="19"/>
      <c r="E366"/>
      <c r="F366" s="11"/>
      <c r="G366" s="43"/>
      <c r="H366"/>
      <c r="I366"/>
      <c r="K366" s="38"/>
    </row>
    <row r="367" spans="2:11" x14ac:dyDescent="0.3">
      <c r="C367" s="40"/>
      <c r="D367" s="19"/>
      <c r="E367"/>
      <c r="F367" s="11"/>
      <c r="G367" s="43"/>
      <c r="H367"/>
      <c r="I367"/>
      <c r="K367" s="38"/>
    </row>
    <row r="368" spans="2:11" x14ac:dyDescent="0.3">
      <c r="C368" s="40"/>
      <c r="D368" s="19"/>
      <c r="E368"/>
      <c r="F368" s="11"/>
      <c r="G368" s="43"/>
      <c r="H368"/>
      <c r="I368"/>
      <c r="K368" s="38"/>
    </row>
    <row r="369" spans="2:11" x14ac:dyDescent="0.3">
      <c r="C369" s="40"/>
      <c r="D369" s="19"/>
      <c r="E369"/>
      <c r="F369" s="11"/>
      <c r="G369" s="43"/>
      <c r="H369"/>
      <c r="I369"/>
      <c r="K369" s="38"/>
    </row>
    <row r="370" spans="2:11" x14ac:dyDescent="0.3">
      <c r="C370" s="40"/>
      <c r="D370" s="19"/>
      <c r="E370"/>
      <c r="F370" s="11"/>
      <c r="G370" s="43"/>
      <c r="H370"/>
      <c r="I370"/>
      <c r="K370" s="38"/>
    </row>
    <row r="371" spans="2:11" x14ac:dyDescent="0.3">
      <c r="C371" s="40"/>
      <c r="D371" s="19"/>
      <c r="E371"/>
      <c r="F371" s="11"/>
      <c r="G371" s="43"/>
      <c r="H371"/>
      <c r="I371"/>
      <c r="K371" s="38"/>
    </row>
    <row r="372" spans="2:11" x14ac:dyDescent="0.3">
      <c r="C372" s="40"/>
      <c r="D372" s="19"/>
      <c r="E372"/>
      <c r="F372" s="11"/>
      <c r="G372" s="43"/>
      <c r="H372"/>
      <c r="I372"/>
      <c r="K372" s="38"/>
    </row>
    <row r="373" spans="2:11" x14ac:dyDescent="0.3">
      <c r="C373" s="40"/>
      <c r="D373" s="19"/>
      <c r="E373"/>
      <c r="F373" s="11"/>
      <c r="G373" s="43"/>
      <c r="H373"/>
      <c r="I373"/>
      <c r="K373" s="38"/>
    </row>
    <row r="374" spans="2:11" x14ac:dyDescent="0.3">
      <c r="C374" s="40"/>
      <c r="D374" s="19"/>
      <c r="E374"/>
      <c r="F374" s="11"/>
      <c r="G374" s="43"/>
      <c r="H374"/>
      <c r="I374"/>
      <c r="K374" s="38"/>
    </row>
    <row r="375" spans="2:11" x14ac:dyDescent="0.3">
      <c r="C375" s="40"/>
      <c r="D375" s="19"/>
      <c r="E375"/>
      <c r="F375" s="11"/>
      <c r="G375" s="43"/>
      <c r="H375"/>
      <c r="I375"/>
      <c r="K375" s="38"/>
    </row>
    <row r="376" spans="2:11" x14ac:dyDescent="0.3">
      <c r="B376" s="38"/>
      <c r="C376" s="40"/>
      <c r="D376" s="19"/>
      <c r="E376"/>
      <c r="F376" s="12"/>
      <c r="G376" s="43"/>
      <c r="H376"/>
      <c r="I376"/>
      <c r="K376" s="38"/>
    </row>
    <row r="377" spans="2:11" x14ac:dyDescent="0.3">
      <c r="B377" s="38"/>
      <c r="C377" s="40"/>
      <c r="D377" s="19"/>
      <c r="E377"/>
      <c r="F377" s="12"/>
      <c r="G377" s="43"/>
      <c r="H377"/>
      <c r="I377"/>
      <c r="K377" s="38"/>
    </row>
    <row r="378" spans="2:11" x14ac:dyDescent="0.3">
      <c r="B378" s="38"/>
      <c r="C378" s="40"/>
      <c r="D378" s="19"/>
      <c r="E378"/>
      <c r="F378" s="12"/>
      <c r="G378" s="43"/>
      <c r="H378"/>
      <c r="I378"/>
      <c r="K378" s="38"/>
    </row>
    <row r="379" spans="2:11" x14ac:dyDescent="0.3">
      <c r="B379" s="38"/>
      <c r="C379" s="40"/>
      <c r="D379" s="19"/>
      <c r="E379"/>
      <c r="F379" s="12"/>
      <c r="G379" s="43"/>
      <c r="H379"/>
      <c r="I379"/>
      <c r="K379" s="38"/>
    </row>
    <row r="380" spans="2:11" x14ac:dyDescent="0.3">
      <c r="B380" s="38"/>
      <c r="C380" s="40"/>
      <c r="D380" s="19"/>
      <c r="E380"/>
      <c r="F380" s="12"/>
      <c r="G380" s="43"/>
      <c r="H380"/>
      <c r="I380"/>
      <c r="K380" s="38"/>
    </row>
    <row r="381" spans="2:11" x14ac:dyDescent="0.3">
      <c r="B381" s="38"/>
      <c r="C381" s="40"/>
      <c r="D381" s="19"/>
      <c r="E381"/>
      <c r="F381" s="12"/>
      <c r="G381" s="43"/>
      <c r="H381"/>
      <c r="I381"/>
      <c r="K381" s="38"/>
    </row>
    <row r="382" spans="2:11" x14ac:dyDescent="0.3">
      <c r="B382" s="38"/>
      <c r="C382" s="40"/>
      <c r="D382" s="19"/>
      <c r="E382"/>
      <c r="F382" s="12"/>
      <c r="G382" s="43"/>
      <c r="H382"/>
      <c r="I382"/>
      <c r="K382" s="38"/>
    </row>
    <row r="383" spans="2:11" x14ac:dyDescent="0.3">
      <c r="B383" s="38"/>
      <c r="C383" s="40"/>
      <c r="D383" s="19"/>
      <c r="E383"/>
      <c r="F383" s="12"/>
      <c r="G383" s="43"/>
      <c r="H383"/>
      <c r="I383"/>
      <c r="K383" s="38"/>
    </row>
    <row r="384" spans="2:11" x14ac:dyDescent="0.3">
      <c r="B384" s="38"/>
      <c r="C384" s="40"/>
      <c r="D384" s="19"/>
      <c r="E384"/>
      <c r="F384" s="12"/>
      <c r="G384" s="43"/>
      <c r="H384"/>
      <c r="I384"/>
      <c r="K384" s="38"/>
    </row>
    <row r="385" spans="2:11" x14ac:dyDescent="0.3">
      <c r="B385" s="38"/>
      <c r="C385" s="40"/>
      <c r="D385" s="19"/>
      <c r="E385"/>
      <c r="F385" s="12"/>
      <c r="G385" s="43"/>
      <c r="H385"/>
      <c r="I385"/>
      <c r="K385" s="38"/>
    </row>
    <row r="386" spans="2:11" x14ac:dyDescent="0.3">
      <c r="B386" s="38"/>
      <c r="C386" s="40"/>
      <c r="D386" s="19"/>
      <c r="E386"/>
      <c r="F386" s="12"/>
      <c r="G386" s="43"/>
      <c r="H386"/>
      <c r="I386"/>
      <c r="K386" s="38"/>
    </row>
    <row r="387" spans="2:11" x14ac:dyDescent="0.3">
      <c r="B387" s="38"/>
      <c r="C387" s="40"/>
      <c r="D387" s="19"/>
      <c r="E387"/>
      <c r="F387" s="12"/>
      <c r="G387" s="43"/>
      <c r="H387"/>
      <c r="I387"/>
      <c r="K387" s="38"/>
    </row>
    <row r="388" spans="2:11" x14ac:dyDescent="0.3">
      <c r="B388" s="38"/>
      <c r="C388" s="40"/>
      <c r="D388" s="19"/>
      <c r="E388"/>
      <c r="F388" s="12"/>
      <c r="G388" s="43"/>
      <c r="H388"/>
      <c r="I388"/>
      <c r="K388" s="38"/>
    </row>
    <row r="389" spans="2:11" x14ac:dyDescent="0.3">
      <c r="B389" s="38"/>
      <c r="C389" s="40"/>
      <c r="D389" s="19"/>
      <c r="E389"/>
      <c r="F389" s="12"/>
      <c r="G389" s="43"/>
      <c r="H389"/>
      <c r="I389"/>
      <c r="K389" s="38"/>
    </row>
    <row r="390" spans="2:11" x14ac:dyDescent="0.3">
      <c r="B390" s="38"/>
      <c r="C390" s="40"/>
      <c r="D390" s="19"/>
      <c r="E390"/>
      <c r="F390" s="12"/>
      <c r="G390" s="43"/>
      <c r="H390"/>
      <c r="I390"/>
      <c r="K390" s="38"/>
    </row>
    <row r="391" spans="2:11" x14ac:dyDescent="0.3">
      <c r="B391" s="38"/>
      <c r="C391" s="40"/>
      <c r="D391" s="19"/>
      <c r="E391"/>
      <c r="F391" s="12"/>
      <c r="G391" s="43"/>
      <c r="H391"/>
      <c r="I391"/>
      <c r="K391" s="38"/>
    </row>
    <row r="392" spans="2:11" x14ac:dyDescent="0.3">
      <c r="B392" s="38"/>
      <c r="C392" s="40"/>
      <c r="D392" s="19"/>
      <c r="E392"/>
      <c r="F392" s="12"/>
      <c r="G392" s="43"/>
      <c r="H392"/>
      <c r="I392"/>
      <c r="K392" s="38"/>
    </row>
    <row r="393" spans="2:11" x14ac:dyDescent="0.3">
      <c r="B393" s="38"/>
      <c r="C393" s="40"/>
      <c r="D393" s="19"/>
      <c r="E393"/>
      <c r="F393" s="12"/>
      <c r="G393" s="43"/>
      <c r="H393"/>
      <c r="I393"/>
      <c r="K393" s="38"/>
    </row>
    <row r="394" spans="2:11" x14ac:dyDescent="0.3">
      <c r="B394" s="38"/>
      <c r="C394" s="40"/>
      <c r="D394" s="19"/>
      <c r="E394"/>
      <c r="F394" s="12"/>
      <c r="G394" s="43"/>
      <c r="H394"/>
      <c r="I394"/>
      <c r="K394" s="38"/>
    </row>
    <row r="395" spans="2:11" x14ac:dyDescent="0.3">
      <c r="B395" s="38"/>
      <c r="C395" s="40"/>
      <c r="D395" s="19"/>
      <c r="E395"/>
      <c r="F395" s="12"/>
      <c r="G395" s="43"/>
      <c r="H395"/>
      <c r="I395"/>
      <c r="K395" s="38"/>
    </row>
    <row r="396" spans="2:11" x14ac:dyDescent="0.3">
      <c r="B396" s="38"/>
      <c r="C396" s="40"/>
      <c r="D396" s="19"/>
      <c r="E396"/>
      <c r="F396" s="12"/>
      <c r="G396" s="43"/>
      <c r="H396"/>
      <c r="I396"/>
      <c r="K396" s="38"/>
    </row>
    <row r="397" spans="2:11" x14ac:dyDescent="0.3">
      <c r="B397" s="38"/>
      <c r="C397" s="40"/>
      <c r="D397" s="19"/>
      <c r="E397"/>
      <c r="F397" s="12"/>
      <c r="G397" s="43"/>
      <c r="H397"/>
      <c r="I397"/>
      <c r="K397" s="38"/>
    </row>
    <row r="398" spans="2:11" x14ac:dyDescent="0.3">
      <c r="B398" s="38"/>
      <c r="C398" s="40"/>
      <c r="D398" s="19"/>
      <c r="E398"/>
      <c r="F398" s="12"/>
      <c r="G398" s="43"/>
      <c r="H398"/>
      <c r="I398"/>
      <c r="K398" s="38"/>
    </row>
    <row r="399" spans="2:11" x14ac:dyDescent="0.3">
      <c r="B399" s="38"/>
      <c r="C399" s="40"/>
      <c r="D399" s="19"/>
      <c r="E399"/>
      <c r="F399" s="12"/>
      <c r="G399" s="43"/>
      <c r="H399"/>
      <c r="I399"/>
      <c r="K399" s="38"/>
    </row>
    <row r="400" spans="2:11" x14ac:dyDescent="0.3">
      <c r="B400" s="38"/>
      <c r="C400" s="40"/>
      <c r="D400" s="19"/>
      <c r="E400"/>
      <c r="F400" s="12"/>
      <c r="G400" s="43"/>
      <c r="H400"/>
      <c r="I400"/>
      <c r="K400" s="38"/>
    </row>
    <row r="401" spans="2:11" x14ac:dyDescent="0.3">
      <c r="B401" s="38"/>
      <c r="C401" s="40"/>
      <c r="D401" s="19"/>
      <c r="E401"/>
      <c r="F401" s="12"/>
      <c r="G401" s="43"/>
      <c r="H401"/>
      <c r="I401"/>
      <c r="K401" s="38"/>
    </row>
    <row r="402" spans="2:11" x14ac:dyDescent="0.3">
      <c r="B402" s="38"/>
      <c r="C402" s="40"/>
      <c r="D402" s="19"/>
      <c r="E402"/>
      <c r="F402" s="12"/>
      <c r="G402" s="43"/>
      <c r="H402"/>
      <c r="I402"/>
      <c r="K402" s="38"/>
    </row>
    <row r="403" spans="2:11" x14ac:dyDescent="0.3">
      <c r="B403" s="38"/>
      <c r="C403" s="40"/>
      <c r="D403" s="19"/>
      <c r="E403"/>
      <c r="F403" s="12"/>
      <c r="G403" s="43"/>
      <c r="H403"/>
      <c r="I403"/>
      <c r="K403" s="38"/>
    </row>
    <row r="404" spans="2:11" x14ac:dyDescent="0.3">
      <c r="B404" s="38"/>
      <c r="C404" s="40"/>
      <c r="D404" s="19"/>
      <c r="E404"/>
      <c r="F404" s="12"/>
      <c r="G404" s="43"/>
      <c r="H404"/>
      <c r="I404"/>
    </row>
    <row r="405" spans="2:11" x14ac:dyDescent="0.3">
      <c r="B405" s="38"/>
      <c r="C405" s="40"/>
      <c r="D405" s="19"/>
      <c r="E405"/>
      <c r="F405" s="12"/>
      <c r="G405" s="43"/>
      <c r="H405"/>
      <c r="I405"/>
    </row>
    <row r="406" spans="2:11" x14ac:dyDescent="0.3">
      <c r="B406" s="38"/>
      <c r="C406" s="40"/>
      <c r="D406" s="19"/>
      <c r="E406"/>
      <c r="F406" s="12"/>
      <c r="G406" s="43"/>
      <c r="H406"/>
      <c r="I406"/>
    </row>
    <row r="407" spans="2:11" x14ac:dyDescent="0.3">
      <c r="B407" s="38"/>
      <c r="C407" s="40"/>
      <c r="D407" s="19"/>
      <c r="E407"/>
      <c r="F407" s="12"/>
      <c r="G407" s="43"/>
      <c r="H407"/>
      <c r="I407"/>
    </row>
    <row r="408" spans="2:11" x14ac:dyDescent="0.3">
      <c r="B408" s="38"/>
      <c r="C408" s="40"/>
      <c r="D408" s="19"/>
      <c r="E408"/>
      <c r="F408" s="12"/>
      <c r="G408" s="43"/>
      <c r="H408"/>
      <c r="I408"/>
    </row>
    <row r="409" spans="2:11" x14ac:dyDescent="0.3">
      <c r="B409" s="38"/>
      <c r="C409" s="40"/>
      <c r="D409" s="19"/>
      <c r="E409"/>
      <c r="F409" s="12"/>
      <c r="G409" s="43"/>
      <c r="H409"/>
      <c r="I409"/>
    </row>
    <row r="410" spans="2:11" x14ac:dyDescent="0.3">
      <c r="B410" s="38"/>
      <c r="C410" s="40"/>
      <c r="D410" s="19"/>
      <c r="E410"/>
      <c r="F410" s="12"/>
      <c r="G410" s="43"/>
      <c r="H410"/>
      <c r="I410"/>
    </row>
    <row r="411" spans="2:11" x14ac:dyDescent="0.3">
      <c r="B411" s="38"/>
      <c r="C411" s="40"/>
      <c r="D411" s="19"/>
      <c r="E411"/>
      <c r="F411" s="12"/>
      <c r="G411" s="43"/>
      <c r="H411"/>
      <c r="I411"/>
    </row>
    <row r="412" spans="2:11" x14ac:dyDescent="0.3">
      <c r="B412" s="38"/>
      <c r="C412" s="40"/>
      <c r="D412" s="19"/>
      <c r="E412"/>
      <c r="F412" s="12"/>
      <c r="G412" s="43"/>
      <c r="H412"/>
      <c r="I412"/>
    </row>
    <row r="413" spans="2:11" x14ac:dyDescent="0.3">
      <c r="B413" s="38"/>
      <c r="C413" s="40"/>
      <c r="D413" s="19"/>
      <c r="E413"/>
      <c r="F413" s="12"/>
      <c r="G413" s="43"/>
      <c r="H413"/>
      <c r="I413"/>
    </row>
    <row r="414" spans="2:11" x14ac:dyDescent="0.3">
      <c r="B414" s="38"/>
      <c r="C414" s="40"/>
      <c r="D414" s="19"/>
      <c r="E414"/>
      <c r="F414" s="12"/>
      <c r="G414" s="43"/>
      <c r="H414"/>
      <c r="I414"/>
    </row>
    <row r="415" spans="2:11" x14ac:dyDescent="0.3">
      <c r="B415" s="38"/>
      <c r="C415" s="40"/>
      <c r="D415" s="19"/>
      <c r="E415"/>
      <c r="F415" s="12"/>
      <c r="G415" s="43"/>
      <c r="H415"/>
      <c r="I415"/>
    </row>
    <row r="416" spans="2:11" x14ac:dyDescent="0.3">
      <c r="B416" s="38"/>
      <c r="C416" s="40"/>
      <c r="D416" s="19"/>
      <c r="E416"/>
      <c r="F416" s="12"/>
      <c r="G416" s="43"/>
      <c r="H416"/>
      <c r="I416"/>
    </row>
    <row r="417" spans="2:9" x14ac:dyDescent="0.3">
      <c r="B417" s="38"/>
      <c r="C417" s="40"/>
      <c r="D417" s="19"/>
      <c r="E417"/>
      <c r="F417" s="12"/>
      <c r="G417" s="43"/>
      <c r="H417"/>
      <c r="I417"/>
    </row>
    <row r="418" spans="2:9" x14ac:dyDescent="0.3">
      <c r="B418" s="38"/>
      <c r="C418" s="40"/>
      <c r="D418" s="19"/>
      <c r="E418"/>
      <c r="F418" s="12"/>
      <c r="G418" s="43"/>
      <c r="H418"/>
      <c r="I418"/>
    </row>
    <row r="419" spans="2:9" x14ac:dyDescent="0.3">
      <c r="B419" s="38"/>
      <c r="C419" s="40"/>
      <c r="D419" s="19"/>
      <c r="E419"/>
      <c r="F419" s="12"/>
      <c r="G419" s="43"/>
      <c r="H419"/>
      <c r="I419"/>
    </row>
    <row r="420" spans="2:9" x14ac:dyDescent="0.3">
      <c r="B420" s="38"/>
      <c r="C420" s="40"/>
      <c r="D420" s="19"/>
      <c r="E420"/>
      <c r="F420" s="12"/>
      <c r="G420" s="43"/>
      <c r="H420"/>
      <c r="I420"/>
    </row>
    <row r="421" spans="2:9" x14ac:dyDescent="0.3">
      <c r="B421" s="38"/>
      <c r="C421" s="40"/>
      <c r="D421" s="19"/>
      <c r="E421"/>
      <c r="F421" s="12"/>
      <c r="G421" s="43"/>
      <c r="H421"/>
      <c r="I421"/>
    </row>
    <row r="422" spans="2:9" x14ac:dyDescent="0.3">
      <c r="B422" s="38"/>
      <c r="C422" s="40"/>
      <c r="D422" s="19"/>
      <c r="E422"/>
      <c r="F422" s="12"/>
      <c r="G422" s="43"/>
      <c r="H422"/>
      <c r="I422"/>
    </row>
    <row r="423" spans="2:9" x14ac:dyDescent="0.3">
      <c r="B423" s="38"/>
      <c r="C423" s="40"/>
      <c r="D423" s="19"/>
      <c r="E423"/>
      <c r="F423" s="12"/>
      <c r="G423" s="43"/>
      <c r="H423"/>
      <c r="I423"/>
    </row>
    <row r="424" spans="2:9" x14ac:dyDescent="0.3">
      <c r="B424" s="38"/>
      <c r="C424" s="40"/>
      <c r="D424" s="19"/>
      <c r="E424"/>
      <c r="F424" s="12"/>
      <c r="G424" s="43"/>
      <c r="H424"/>
      <c r="I424"/>
    </row>
    <row r="425" spans="2:9" x14ac:dyDescent="0.3">
      <c r="B425" s="38"/>
      <c r="C425" s="40"/>
      <c r="D425" s="19"/>
      <c r="E425"/>
      <c r="F425" s="12"/>
      <c r="G425" s="43"/>
      <c r="H425"/>
      <c r="I425"/>
    </row>
    <row r="426" spans="2:9" x14ac:dyDescent="0.3">
      <c r="B426" s="38"/>
      <c r="C426" s="40"/>
      <c r="D426" s="19"/>
      <c r="E426"/>
      <c r="F426" s="12"/>
      <c r="G426" s="43"/>
      <c r="H426"/>
      <c r="I426"/>
    </row>
    <row r="427" spans="2:9" x14ac:dyDescent="0.3">
      <c r="B427" s="38"/>
      <c r="C427" s="40"/>
      <c r="D427" s="19"/>
      <c r="E427"/>
      <c r="F427" s="12"/>
      <c r="G427" s="43"/>
      <c r="H427"/>
      <c r="I427"/>
    </row>
    <row r="428" spans="2:9" x14ac:dyDescent="0.3">
      <c r="B428" s="38"/>
      <c r="C428" s="40"/>
      <c r="D428" s="19"/>
      <c r="E428"/>
      <c r="F428" s="12"/>
      <c r="G428" s="43"/>
      <c r="H428"/>
      <c r="I428"/>
    </row>
    <row r="429" spans="2:9" x14ac:dyDescent="0.3">
      <c r="B429" s="38"/>
      <c r="C429" s="40"/>
      <c r="D429" s="19"/>
      <c r="E429"/>
      <c r="F429" s="12"/>
      <c r="G429" s="43"/>
      <c r="H429"/>
      <c r="I429"/>
    </row>
    <row r="430" spans="2:9" x14ac:dyDescent="0.3">
      <c r="B430" s="38"/>
      <c r="C430" s="40"/>
      <c r="D430" s="19"/>
      <c r="E430"/>
      <c r="F430" s="12"/>
      <c r="G430" s="43"/>
      <c r="H430"/>
      <c r="I430"/>
    </row>
    <row r="431" spans="2:9" x14ac:dyDescent="0.3">
      <c r="B431" s="38"/>
      <c r="C431" s="40"/>
      <c r="D431" s="19"/>
      <c r="E431"/>
      <c r="F431" s="12"/>
      <c r="G431" s="43"/>
      <c r="H431"/>
      <c r="I431"/>
    </row>
    <row r="432" spans="2:9" x14ac:dyDescent="0.3">
      <c r="B432" s="38"/>
      <c r="C432" s="40"/>
      <c r="D432" s="19"/>
      <c r="E432"/>
      <c r="F432" s="12"/>
      <c r="G432" s="43"/>
      <c r="H432"/>
      <c r="I432"/>
    </row>
    <row r="433" spans="2:11" x14ac:dyDescent="0.3">
      <c r="B433" s="38"/>
      <c r="C433" s="40"/>
      <c r="D433" s="19"/>
      <c r="E433"/>
      <c r="F433" s="12"/>
      <c r="G433" s="43"/>
      <c r="H433"/>
      <c r="I433"/>
    </row>
    <row r="434" spans="2:11" x14ac:dyDescent="0.3">
      <c r="B434" s="38"/>
      <c r="C434" s="40"/>
      <c r="D434" s="19"/>
      <c r="E434"/>
      <c r="F434" s="12"/>
      <c r="G434" s="43"/>
      <c r="H434"/>
      <c r="I434"/>
    </row>
    <row r="435" spans="2:11" x14ac:dyDescent="0.3">
      <c r="B435" s="38"/>
      <c r="C435" s="40"/>
      <c r="D435" s="19"/>
      <c r="E435"/>
      <c r="F435" s="12"/>
      <c r="G435" s="43"/>
      <c r="H435"/>
      <c r="I435"/>
    </row>
    <row r="436" spans="2:11" x14ac:dyDescent="0.3">
      <c r="B436" s="38"/>
      <c r="C436" s="40"/>
      <c r="D436" s="19"/>
      <c r="E436"/>
      <c r="F436" s="12"/>
      <c r="G436" s="43"/>
      <c r="H436"/>
      <c r="I436"/>
    </row>
    <row r="437" spans="2:11" x14ac:dyDescent="0.3">
      <c r="B437" s="38"/>
      <c r="C437" s="40"/>
      <c r="D437" s="19"/>
      <c r="E437"/>
      <c r="F437" s="12"/>
      <c r="G437" s="43"/>
      <c r="H437"/>
      <c r="I437"/>
    </row>
    <row r="438" spans="2:11" x14ac:dyDescent="0.3">
      <c r="B438" s="38"/>
      <c r="C438" s="40"/>
      <c r="D438" s="19"/>
      <c r="E438"/>
      <c r="F438" s="12"/>
      <c r="G438" s="43"/>
      <c r="H438"/>
      <c r="I438"/>
    </row>
    <row r="439" spans="2:11" x14ac:dyDescent="0.3">
      <c r="B439" s="38"/>
      <c r="C439" s="40"/>
      <c r="D439" s="19"/>
      <c r="E439"/>
      <c r="F439" s="12"/>
      <c r="G439" s="43"/>
      <c r="H439"/>
      <c r="I439"/>
    </row>
    <row r="440" spans="2:11" x14ac:dyDescent="0.3">
      <c r="B440" s="38"/>
      <c r="C440" s="40"/>
      <c r="D440" s="19"/>
      <c r="E440"/>
      <c r="F440" s="12"/>
      <c r="G440" s="43"/>
      <c r="H440"/>
      <c r="I440"/>
    </row>
    <row r="441" spans="2:11" x14ac:dyDescent="0.3">
      <c r="B441" s="38"/>
      <c r="C441" s="40"/>
      <c r="D441" s="19"/>
      <c r="E441"/>
      <c r="F441" s="12"/>
      <c r="G441" s="43"/>
      <c r="H441"/>
      <c r="I441"/>
    </row>
    <row r="442" spans="2:11" x14ac:dyDescent="0.3">
      <c r="B442" s="38"/>
      <c r="C442" s="40"/>
      <c r="D442" s="19"/>
      <c r="E442"/>
      <c r="F442" s="12"/>
      <c r="G442" s="43"/>
      <c r="H442"/>
      <c r="I442"/>
    </row>
    <row r="443" spans="2:11" x14ac:dyDescent="0.3">
      <c r="B443" s="38"/>
      <c r="C443" s="40"/>
      <c r="D443" s="19"/>
      <c r="E443"/>
      <c r="F443" s="12"/>
      <c r="G443" s="43"/>
      <c r="H443"/>
      <c r="I443"/>
    </row>
    <row r="444" spans="2:11" x14ac:dyDescent="0.3">
      <c r="B444" s="38"/>
      <c r="C444" s="40"/>
      <c r="D444" s="19"/>
      <c r="E444"/>
      <c r="F444" s="12"/>
      <c r="G444" s="43"/>
      <c r="H444"/>
      <c r="I444"/>
    </row>
    <row r="445" spans="2:11" x14ac:dyDescent="0.3">
      <c r="B445" s="38"/>
      <c r="C445" s="40"/>
      <c r="D445" s="19"/>
      <c r="E445"/>
      <c r="F445" s="12"/>
      <c r="G445" s="43"/>
      <c r="H445"/>
      <c r="I445"/>
    </row>
    <row r="446" spans="2:11" x14ac:dyDescent="0.3">
      <c r="B446" s="38"/>
      <c r="C446" s="40"/>
      <c r="D446" s="19"/>
      <c r="E446"/>
      <c r="F446" s="12"/>
      <c r="G446" s="43"/>
      <c r="H446"/>
      <c r="I446"/>
    </row>
    <row r="447" spans="2:11" x14ac:dyDescent="0.3">
      <c r="B447" s="38"/>
      <c r="C447" s="40"/>
      <c r="D447" s="19"/>
      <c r="E447"/>
      <c r="F447" s="12"/>
      <c r="G447" s="43"/>
      <c r="H447"/>
      <c r="I447"/>
      <c r="K447" s="38"/>
    </row>
    <row r="448" spans="2:11" x14ac:dyDescent="0.3">
      <c r="B448" s="38"/>
      <c r="C448" s="40"/>
      <c r="D448" s="19"/>
      <c r="E448"/>
      <c r="F448" s="12"/>
      <c r="G448" s="43"/>
      <c r="H448"/>
      <c r="I448"/>
      <c r="K448" s="38"/>
    </row>
    <row r="449" spans="2:11" x14ac:dyDescent="0.3">
      <c r="B449" s="38"/>
      <c r="C449" s="40"/>
      <c r="D449" s="19"/>
      <c r="E449"/>
      <c r="F449" s="12"/>
      <c r="G449" s="43"/>
      <c r="H449"/>
      <c r="I449"/>
      <c r="K449" s="38"/>
    </row>
    <row r="450" spans="2:11" x14ac:dyDescent="0.3">
      <c r="B450" s="38"/>
      <c r="C450" s="40"/>
      <c r="D450" s="19"/>
      <c r="E450"/>
      <c r="F450" s="12"/>
      <c r="G450" s="43"/>
      <c r="H450"/>
      <c r="I450"/>
      <c r="K450" s="38"/>
    </row>
    <row r="451" spans="2:11" x14ac:dyDescent="0.3">
      <c r="B451" s="38"/>
      <c r="C451" s="40"/>
      <c r="D451" s="19"/>
      <c r="E451"/>
      <c r="F451" s="12"/>
      <c r="G451" s="43"/>
      <c r="H451"/>
      <c r="I451"/>
      <c r="K451" s="38"/>
    </row>
    <row r="452" spans="2:11" x14ac:dyDescent="0.3">
      <c r="B452" s="38"/>
      <c r="C452" s="40"/>
      <c r="D452" s="19"/>
      <c r="E452"/>
      <c r="F452" s="12"/>
      <c r="G452" s="43"/>
      <c r="H452"/>
      <c r="I452"/>
      <c r="K452" s="38"/>
    </row>
    <row r="453" spans="2:11" x14ac:dyDescent="0.3">
      <c r="B453" s="38"/>
      <c r="C453" s="40"/>
      <c r="D453" s="19"/>
      <c r="E453"/>
      <c r="F453" s="12"/>
      <c r="G453" s="43"/>
      <c r="H453"/>
      <c r="I453"/>
      <c r="K453" s="38"/>
    </row>
    <row r="454" spans="2:11" x14ac:dyDescent="0.3">
      <c r="B454" s="38"/>
      <c r="C454" s="40"/>
      <c r="D454" s="19"/>
      <c r="E454"/>
      <c r="F454" s="12"/>
      <c r="G454" s="43"/>
      <c r="H454"/>
      <c r="I454"/>
      <c r="K454" s="38"/>
    </row>
    <row r="455" spans="2:11" x14ac:dyDescent="0.3">
      <c r="B455" s="38"/>
      <c r="C455" s="40"/>
      <c r="D455" s="19"/>
      <c r="E455"/>
      <c r="F455" s="12"/>
      <c r="G455" s="43"/>
      <c r="H455"/>
      <c r="I455"/>
      <c r="K455" s="38"/>
    </row>
    <row r="456" spans="2:11" x14ac:dyDescent="0.3">
      <c r="B456" s="38"/>
      <c r="C456" s="40"/>
      <c r="D456" s="19"/>
      <c r="E456"/>
      <c r="F456" s="12"/>
      <c r="G456" s="43"/>
      <c r="H456"/>
      <c r="I456"/>
      <c r="K456" s="38"/>
    </row>
    <row r="457" spans="2:11" x14ac:dyDescent="0.3">
      <c r="B457" s="38"/>
      <c r="C457" s="40"/>
      <c r="D457" s="19"/>
      <c r="E457"/>
      <c r="F457" s="12"/>
      <c r="G457" s="43"/>
      <c r="H457"/>
      <c r="I457"/>
      <c r="K457" s="38"/>
    </row>
    <row r="458" spans="2:11" x14ac:dyDescent="0.3">
      <c r="B458" s="38"/>
      <c r="C458" s="40"/>
      <c r="D458" s="19"/>
      <c r="E458"/>
      <c r="F458" s="12"/>
      <c r="G458" s="43"/>
      <c r="H458"/>
      <c r="I458"/>
      <c r="K458" s="38"/>
    </row>
    <row r="459" spans="2:11" x14ac:dyDescent="0.3">
      <c r="B459" s="38"/>
      <c r="C459" s="40"/>
      <c r="D459" s="19"/>
      <c r="E459"/>
      <c r="F459" s="12"/>
      <c r="G459" s="43"/>
      <c r="H459"/>
      <c r="I459"/>
      <c r="K459" s="38"/>
    </row>
    <row r="460" spans="2:11" x14ac:dyDescent="0.3">
      <c r="B460" s="38"/>
      <c r="C460" s="40"/>
      <c r="D460" s="19"/>
      <c r="E460"/>
      <c r="F460" s="12"/>
      <c r="G460" s="43"/>
      <c r="H460"/>
      <c r="I460"/>
      <c r="K460" s="38"/>
    </row>
    <row r="461" spans="2:11" x14ac:dyDescent="0.3">
      <c r="B461" s="38"/>
      <c r="C461" s="40"/>
      <c r="D461" s="19"/>
      <c r="E461"/>
      <c r="F461" s="12"/>
      <c r="G461" s="43"/>
      <c r="H461"/>
      <c r="I461"/>
      <c r="K461" s="38"/>
    </row>
    <row r="462" spans="2:11" x14ac:dyDescent="0.3">
      <c r="B462" s="38"/>
      <c r="C462" s="40"/>
      <c r="D462" s="19"/>
      <c r="E462"/>
      <c r="F462" s="12"/>
      <c r="G462" s="43"/>
      <c r="H462"/>
      <c r="I462"/>
      <c r="K462" s="38"/>
    </row>
    <row r="463" spans="2:11" x14ac:dyDescent="0.3">
      <c r="B463" s="38"/>
      <c r="C463" s="40"/>
      <c r="D463" s="19"/>
      <c r="E463"/>
      <c r="F463" s="12"/>
      <c r="G463" s="43"/>
      <c r="H463"/>
      <c r="I463"/>
      <c r="K463" s="38"/>
    </row>
    <row r="464" spans="2:11" x14ac:dyDescent="0.3">
      <c r="B464" s="38"/>
      <c r="C464" s="40"/>
      <c r="D464" s="19"/>
      <c r="E464"/>
      <c r="F464" s="12"/>
      <c r="G464" s="43"/>
      <c r="H464"/>
      <c r="I464"/>
      <c r="K464" s="38"/>
    </row>
    <row r="465" spans="2:11" x14ac:dyDescent="0.3">
      <c r="B465" s="38"/>
      <c r="C465" s="40"/>
      <c r="D465" s="19"/>
      <c r="E465"/>
      <c r="F465" s="12"/>
      <c r="G465" s="43"/>
      <c r="H465"/>
      <c r="I465"/>
      <c r="K465" s="38"/>
    </row>
    <row r="466" spans="2:11" x14ac:dyDescent="0.3">
      <c r="B466" s="38"/>
      <c r="C466" s="40"/>
      <c r="D466" s="19"/>
      <c r="E466"/>
      <c r="F466" s="12"/>
      <c r="G466" s="43"/>
      <c r="H466"/>
      <c r="I466"/>
      <c r="K466" s="38"/>
    </row>
    <row r="467" spans="2:11" x14ac:dyDescent="0.3">
      <c r="B467" s="38"/>
      <c r="C467" s="40"/>
      <c r="D467" s="19"/>
      <c r="E467"/>
      <c r="F467" s="12"/>
      <c r="G467" s="43"/>
      <c r="H467"/>
      <c r="I467"/>
      <c r="K467" s="38"/>
    </row>
    <row r="468" spans="2:11" x14ac:dyDescent="0.3">
      <c r="B468" s="38"/>
      <c r="C468" s="40"/>
      <c r="D468" s="19"/>
      <c r="E468"/>
      <c r="F468" s="12"/>
      <c r="G468" s="43"/>
      <c r="H468"/>
      <c r="I468"/>
      <c r="K468" s="38"/>
    </row>
    <row r="469" spans="2:11" x14ac:dyDescent="0.3">
      <c r="B469" s="38"/>
      <c r="C469" s="40"/>
      <c r="D469" s="19"/>
      <c r="E469"/>
      <c r="F469" s="12"/>
      <c r="G469" s="43"/>
      <c r="H469"/>
      <c r="I469"/>
      <c r="K469" s="38"/>
    </row>
    <row r="470" spans="2:11" x14ac:dyDescent="0.3">
      <c r="B470" s="38"/>
      <c r="C470" s="40"/>
      <c r="D470" s="19"/>
      <c r="E470"/>
      <c r="F470" s="12"/>
      <c r="G470" s="43"/>
      <c r="H470"/>
      <c r="I470"/>
      <c r="K470" s="38"/>
    </row>
    <row r="471" spans="2:11" x14ac:dyDescent="0.3">
      <c r="B471" s="38"/>
      <c r="C471" s="40"/>
      <c r="D471" s="19"/>
      <c r="E471"/>
      <c r="F471" s="12"/>
      <c r="G471" s="43"/>
      <c r="H471"/>
      <c r="I471"/>
      <c r="K471" s="38"/>
    </row>
    <row r="472" spans="2:11" x14ac:dyDescent="0.3">
      <c r="B472" s="38"/>
      <c r="C472" s="40"/>
      <c r="D472" s="19"/>
      <c r="E472"/>
      <c r="F472" s="12"/>
      <c r="G472" s="43"/>
      <c r="H472"/>
      <c r="I472"/>
      <c r="K472" s="38"/>
    </row>
    <row r="473" spans="2:11" x14ac:dyDescent="0.3">
      <c r="B473" s="38"/>
      <c r="C473" s="40"/>
      <c r="D473" s="19"/>
      <c r="E473"/>
      <c r="F473" s="12"/>
      <c r="G473" s="43"/>
      <c r="H473"/>
      <c r="I473"/>
      <c r="K473" s="38"/>
    </row>
    <row r="474" spans="2:11" x14ac:dyDescent="0.3">
      <c r="B474" s="38"/>
      <c r="C474" s="40"/>
      <c r="D474" s="19"/>
      <c r="E474"/>
      <c r="F474" s="12"/>
      <c r="G474" s="43"/>
      <c r="H474"/>
      <c r="I474"/>
      <c r="K474" s="38"/>
    </row>
    <row r="475" spans="2:11" x14ac:dyDescent="0.3">
      <c r="B475" s="38"/>
      <c r="C475" s="40"/>
      <c r="D475" s="19"/>
      <c r="E475"/>
      <c r="F475" s="12"/>
      <c r="G475" s="43"/>
      <c r="H475"/>
      <c r="I475"/>
      <c r="K475" s="38"/>
    </row>
    <row r="476" spans="2:11" x14ac:dyDescent="0.3">
      <c r="B476" s="38"/>
      <c r="C476" s="40"/>
      <c r="D476" s="19"/>
      <c r="E476"/>
      <c r="F476" s="12"/>
      <c r="G476" s="43"/>
      <c r="H476"/>
      <c r="I476"/>
      <c r="K476" s="38"/>
    </row>
    <row r="477" spans="2:11" x14ac:dyDescent="0.3">
      <c r="B477" s="38"/>
      <c r="C477" s="40"/>
      <c r="D477" s="19"/>
      <c r="E477"/>
      <c r="F477" s="12"/>
      <c r="G477" s="43"/>
      <c r="H477"/>
      <c r="I477"/>
      <c r="K477" s="38"/>
    </row>
    <row r="478" spans="2:11" x14ac:dyDescent="0.3">
      <c r="B478" s="38"/>
      <c r="C478" s="40"/>
      <c r="D478" s="19"/>
      <c r="E478"/>
      <c r="F478" s="12"/>
      <c r="G478" s="43"/>
      <c r="H478"/>
      <c r="I478"/>
      <c r="K478" s="38"/>
    </row>
    <row r="479" spans="2:11" x14ac:dyDescent="0.3">
      <c r="B479" s="38"/>
      <c r="C479" s="40"/>
      <c r="D479" s="19"/>
      <c r="E479"/>
      <c r="F479" s="12"/>
      <c r="G479" s="43"/>
      <c r="H479"/>
      <c r="I479"/>
      <c r="K479" s="38"/>
    </row>
    <row r="480" spans="2:11" x14ac:dyDescent="0.3">
      <c r="B480" s="38"/>
      <c r="C480" s="40"/>
      <c r="D480" s="19"/>
      <c r="E480"/>
      <c r="F480" s="12"/>
      <c r="G480" s="43"/>
      <c r="H480"/>
      <c r="I480"/>
      <c r="K480" s="38"/>
    </row>
    <row r="481" spans="2:11" x14ac:dyDescent="0.3">
      <c r="B481" s="38"/>
      <c r="C481" s="40"/>
      <c r="D481" s="19"/>
      <c r="E481"/>
      <c r="F481" s="12"/>
      <c r="G481" s="43"/>
      <c r="H481"/>
      <c r="I481"/>
      <c r="K481" s="38"/>
    </row>
    <row r="482" spans="2:11" x14ac:dyDescent="0.3">
      <c r="B482" s="38"/>
      <c r="C482" s="40"/>
      <c r="D482" s="19"/>
      <c r="E482"/>
      <c r="F482" s="12"/>
      <c r="G482" s="43"/>
      <c r="H482"/>
      <c r="I482"/>
      <c r="K482" s="38"/>
    </row>
    <row r="483" spans="2:11" x14ac:dyDescent="0.3">
      <c r="B483" s="38"/>
      <c r="C483" s="40"/>
      <c r="D483" s="19"/>
      <c r="E483"/>
      <c r="F483" s="12"/>
      <c r="G483" s="43"/>
      <c r="H483"/>
      <c r="I483"/>
      <c r="K483" s="38"/>
    </row>
    <row r="484" spans="2:11" x14ac:dyDescent="0.3">
      <c r="B484" s="38"/>
      <c r="C484" s="40"/>
      <c r="D484" s="19"/>
      <c r="E484"/>
      <c r="F484" s="12"/>
      <c r="G484" s="43"/>
      <c r="H484"/>
      <c r="I484"/>
      <c r="K484" s="38"/>
    </row>
    <row r="485" spans="2:11" x14ac:dyDescent="0.3">
      <c r="B485" s="38"/>
      <c r="C485" s="40"/>
      <c r="D485" s="19"/>
      <c r="E485"/>
      <c r="F485" s="12"/>
      <c r="G485" s="43"/>
      <c r="H485"/>
      <c r="I485"/>
      <c r="K485" s="38"/>
    </row>
    <row r="486" spans="2:11" x14ac:dyDescent="0.3">
      <c r="B486" s="38"/>
      <c r="C486" s="40"/>
      <c r="D486" s="19"/>
      <c r="E486"/>
      <c r="F486" s="12"/>
      <c r="G486" s="43"/>
      <c r="H486"/>
      <c r="I486"/>
      <c r="K486" s="38"/>
    </row>
    <row r="487" spans="2:11" x14ac:dyDescent="0.3">
      <c r="B487" s="38"/>
      <c r="C487" s="40"/>
      <c r="D487" s="19"/>
      <c r="E487"/>
      <c r="F487" s="12"/>
      <c r="G487" s="43"/>
      <c r="H487"/>
      <c r="I487"/>
      <c r="K487" s="38"/>
    </row>
    <row r="488" spans="2:11" x14ac:dyDescent="0.3">
      <c r="B488" s="38"/>
      <c r="C488" s="40"/>
      <c r="D488" s="19"/>
      <c r="E488"/>
      <c r="F488" s="12"/>
      <c r="G488" s="43"/>
      <c r="H488"/>
      <c r="I488"/>
      <c r="K488" s="38"/>
    </row>
    <row r="489" spans="2:11" x14ac:dyDescent="0.3">
      <c r="B489" s="38"/>
      <c r="C489" s="40"/>
      <c r="D489" s="19"/>
      <c r="E489"/>
      <c r="F489" s="12"/>
      <c r="G489" s="43"/>
      <c r="H489"/>
      <c r="I489"/>
      <c r="K489" s="38"/>
    </row>
    <row r="490" spans="2:11" x14ac:dyDescent="0.3">
      <c r="B490" s="38"/>
      <c r="C490" s="40"/>
      <c r="D490" s="19"/>
      <c r="E490"/>
      <c r="F490" s="12"/>
      <c r="G490" s="43"/>
      <c r="H490"/>
      <c r="I490"/>
      <c r="K490" s="38"/>
    </row>
    <row r="491" spans="2:11" x14ac:dyDescent="0.3">
      <c r="B491" s="38"/>
      <c r="C491" s="40"/>
      <c r="D491" s="19"/>
      <c r="E491"/>
      <c r="F491" s="12"/>
      <c r="G491" s="43"/>
      <c r="H491"/>
      <c r="I491"/>
      <c r="K491" s="38"/>
    </row>
    <row r="492" spans="2:11" x14ac:dyDescent="0.3">
      <c r="B492" s="38"/>
      <c r="C492" s="40"/>
      <c r="D492" s="19"/>
      <c r="E492"/>
      <c r="F492" s="12"/>
      <c r="G492" s="43"/>
      <c r="H492"/>
      <c r="I492"/>
    </row>
    <row r="493" spans="2:11" x14ac:dyDescent="0.3">
      <c r="B493" s="38"/>
      <c r="C493" s="40"/>
      <c r="D493" s="19"/>
      <c r="E493"/>
      <c r="F493" s="12"/>
      <c r="G493" s="43"/>
      <c r="H493"/>
      <c r="I493"/>
    </row>
    <row r="494" spans="2:11" x14ac:dyDescent="0.3">
      <c r="B494" s="38"/>
      <c r="C494" s="40"/>
      <c r="D494" s="19"/>
      <c r="E494"/>
      <c r="F494" s="12"/>
      <c r="G494" s="43"/>
      <c r="H494"/>
      <c r="I494"/>
      <c r="K494" s="38"/>
    </row>
    <row r="495" spans="2:11" x14ac:dyDescent="0.3">
      <c r="B495" s="38"/>
      <c r="C495" s="40"/>
      <c r="D495" s="19"/>
      <c r="E495"/>
      <c r="F495" s="12"/>
      <c r="G495" s="43"/>
      <c r="H495"/>
      <c r="I495"/>
      <c r="K495" s="38"/>
    </row>
    <row r="496" spans="2:11" x14ac:dyDescent="0.3">
      <c r="B496" s="38"/>
      <c r="C496" s="40"/>
      <c r="D496" s="19"/>
      <c r="E496"/>
      <c r="F496" s="12"/>
      <c r="G496" s="43"/>
      <c r="H496"/>
      <c r="I496"/>
      <c r="K496" s="38"/>
    </row>
    <row r="497" spans="2:12" x14ac:dyDescent="0.3">
      <c r="B497" s="38"/>
      <c r="C497" s="40"/>
      <c r="D497" s="19"/>
      <c r="E497"/>
      <c r="F497" s="12"/>
      <c r="G497" s="43"/>
      <c r="H497"/>
      <c r="I497"/>
      <c r="K497" s="38"/>
    </row>
    <row r="498" spans="2:12" x14ac:dyDescent="0.3">
      <c r="B498" s="38"/>
      <c r="C498" s="40"/>
      <c r="D498" s="19"/>
      <c r="E498"/>
      <c r="F498" s="12"/>
      <c r="G498" s="43"/>
      <c r="H498"/>
      <c r="I498"/>
      <c r="K498" s="38"/>
    </row>
    <row r="499" spans="2:12" x14ac:dyDescent="0.3">
      <c r="B499" s="38"/>
      <c r="C499" s="40"/>
      <c r="D499" s="19"/>
      <c r="E499"/>
      <c r="F499" s="12"/>
      <c r="G499" s="43"/>
      <c r="H499"/>
      <c r="I499"/>
      <c r="K499" s="38"/>
    </row>
    <row r="500" spans="2:12" x14ac:dyDescent="0.3">
      <c r="B500" s="38"/>
      <c r="C500" s="40"/>
      <c r="D500" s="19"/>
      <c r="E500"/>
      <c r="F500" s="12"/>
      <c r="G500" s="43"/>
      <c r="H500"/>
      <c r="I500"/>
      <c r="K500" s="38"/>
    </row>
    <row r="501" spans="2:12" x14ac:dyDescent="0.3">
      <c r="B501" s="38"/>
      <c r="C501" s="40"/>
      <c r="D501" s="19"/>
      <c r="E501"/>
      <c r="F501" s="12"/>
      <c r="G501" s="43"/>
      <c r="H501"/>
      <c r="I501"/>
      <c r="K501" s="38"/>
    </row>
    <row r="502" spans="2:12" x14ac:dyDescent="0.3">
      <c r="B502" s="38"/>
      <c r="C502" s="40"/>
      <c r="D502" s="19"/>
      <c r="E502"/>
      <c r="F502" s="12"/>
      <c r="G502" s="43"/>
      <c r="H502"/>
      <c r="I502"/>
      <c r="K502" s="38"/>
      <c r="L502" s="39"/>
    </row>
    <row r="503" spans="2:12" x14ac:dyDescent="0.3">
      <c r="B503" s="38"/>
      <c r="C503" s="40"/>
      <c r="D503" s="19"/>
      <c r="E503"/>
      <c r="F503" s="12"/>
      <c r="G503" s="43"/>
      <c r="H503"/>
      <c r="I503"/>
      <c r="K503" s="38"/>
      <c r="L503" s="39"/>
    </row>
    <row r="504" spans="2:12" x14ac:dyDescent="0.3">
      <c r="B504" s="38"/>
      <c r="C504" s="40"/>
      <c r="D504" s="19"/>
      <c r="E504"/>
      <c r="F504" s="12"/>
      <c r="G504" s="43"/>
      <c r="H504"/>
      <c r="I504"/>
      <c r="K504" s="38"/>
      <c r="L504" s="39"/>
    </row>
    <row r="505" spans="2:12" x14ac:dyDescent="0.3">
      <c r="B505" s="38"/>
      <c r="C505" s="40"/>
      <c r="D505" s="19"/>
      <c r="E505"/>
      <c r="F505" s="12"/>
      <c r="G505" s="43"/>
      <c r="H505"/>
      <c r="I505"/>
      <c r="K505" s="38"/>
      <c r="L505" s="39"/>
    </row>
    <row r="506" spans="2:12" x14ac:dyDescent="0.3">
      <c r="B506" s="38"/>
      <c r="C506" s="40"/>
      <c r="D506" s="19"/>
      <c r="E506"/>
      <c r="F506" s="12"/>
      <c r="G506" s="43"/>
      <c r="H506"/>
      <c r="I506"/>
      <c r="K506" s="38"/>
      <c r="L506" s="39"/>
    </row>
    <row r="507" spans="2:12" x14ac:dyDescent="0.3">
      <c r="C507" s="40"/>
      <c r="D507" s="19"/>
      <c r="E507"/>
      <c r="F507" s="11"/>
      <c r="G507" s="43"/>
      <c r="H507"/>
      <c r="I507"/>
      <c r="K507" s="38"/>
    </row>
    <row r="508" spans="2:12" x14ac:dyDescent="0.3">
      <c r="C508" s="40"/>
      <c r="D508" s="19"/>
      <c r="E508"/>
      <c r="F508" s="11"/>
      <c r="G508" s="43"/>
      <c r="H508"/>
      <c r="I508"/>
      <c r="K508" s="38"/>
      <c r="L508" s="39"/>
    </row>
    <row r="509" spans="2:12" x14ac:dyDescent="0.3">
      <c r="C509" s="40"/>
      <c r="D509" s="19"/>
      <c r="E509"/>
      <c r="F509" s="11"/>
      <c r="G509" s="43"/>
      <c r="H509"/>
      <c r="I509"/>
      <c r="K509" s="38"/>
      <c r="L509" s="39"/>
    </row>
    <row r="510" spans="2:12" x14ac:dyDescent="0.3">
      <c r="C510" s="40"/>
      <c r="D510" s="19"/>
      <c r="E510"/>
      <c r="F510" s="11"/>
      <c r="G510" s="43"/>
      <c r="H510"/>
      <c r="I510"/>
      <c r="K510" s="38"/>
      <c r="L510" s="39"/>
    </row>
    <row r="511" spans="2:12" x14ac:dyDescent="0.3">
      <c r="C511" s="40"/>
      <c r="D511" s="19"/>
      <c r="E511"/>
      <c r="F511" s="11"/>
      <c r="G511" s="43"/>
      <c r="H511"/>
      <c r="I511"/>
      <c r="K511" s="38"/>
      <c r="L511" s="39"/>
    </row>
    <row r="512" spans="2:12" x14ac:dyDescent="0.3">
      <c r="C512" s="40"/>
      <c r="D512" s="19"/>
      <c r="E512"/>
      <c r="F512" s="11"/>
      <c r="G512" s="43"/>
      <c r="H512"/>
      <c r="I512"/>
      <c r="K512" s="38"/>
      <c r="L512" s="39"/>
    </row>
    <row r="513" spans="2:24" x14ac:dyDescent="0.3">
      <c r="C513" s="40"/>
      <c r="D513" s="19"/>
      <c r="E513"/>
      <c r="F513" s="11"/>
      <c r="G513" s="43"/>
      <c r="H513"/>
      <c r="I513"/>
      <c r="K513" s="38"/>
      <c r="L513" s="39"/>
    </row>
    <row r="514" spans="2:24" x14ac:dyDescent="0.3">
      <c r="C514" s="40"/>
      <c r="D514" s="19"/>
      <c r="E514"/>
      <c r="F514" s="11"/>
      <c r="G514" s="43"/>
      <c r="H514"/>
      <c r="I514"/>
      <c r="K514" s="38"/>
      <c r="L514" s="39"/>
    </row>
    <row r="515" spans="2:24" x14ac:dyDescent="0.3">
      <c r="B515" s="38"/>
      <c r="C515" s="40"/>
      <c r="D515" s="19"/>
      <c r="E515"/>
      <c r="F515" s="12"/>
      <c r="G515" s="43"/>
      <c r="H515"/>
      <c r="I515"/>
      <c r="K515" s="38"/>
      <c r="L515" s="39"/>
      <c r="M515" s="38"/>
      <c r="N515" s="39"/>
      <c r="O515" s="38"/>
      <c r="Q515" s="38"/>
      <c r="R515" s="39"/>
      <c r="S515" s="39"/>
      <c r="T515" s="38"/>
      <c r="V515" s="38"/>
      <c r="W515" s="39"/>
      <c r="X515" s="38"/>
    </row>
    <row r="516" spans="2:24" x14ac:dyDescent="0.3">
      <c r="B516" s="38"/>
      <c r="C516" s="40"/>
      <c r="D516" s="19"/>
      <c r="E516"/>
      <c r="F516" s="12"/>
      <c r="G516" s="43"/>
      <c r="H516"/>
      <c r="I516"/>
      <c r="K516" s="38"/>
      <c r="L516" s="39"/>
      <c r="M516" s="38"/>
      <c r="N516" s="39"/>
      <c r="O516" s="38"/>
      <c r="Q516" s="38"/>
      <c r="R516" s="39"/>
      <c r="S516" s="39"/>
      <c r="T516" s="38"/>
      <c r="V516" s="38"/>
      <c r="W516" s="39"/>
      <c r="X516" s="38"/>
    </row>
    <row r="517" spans="2:24" x14ac:dyDescent="0.3">
      <c r="B517" s="38"/>
      <c r="C517" s="40"/>
      <c r="D517" s="19"/>
      <c r="E517"/>
      <c r="F517" s="12"/>
      <c r="G517" s="43"/>
      <c r="H517"/>
      <c r="I517"/>
      <c r="K517" s="38"/>
      <c r="L517" s="39"/>
      <c r="M517" s="38"/>
      <c r="N517" s="39"/>
      <c r="O517" s="38"/>
      <c r="Q517" s="38"/>
      <c r="R517" s="39"/>
      <c r="S517" s="39"/>
      <c r="T517" s="38"/>
      <c r="V517" s="38"/>
      <c r="W517" s="39"/>
      <c r="X517" s="38"/>
    </row>
    <row r="518" spans="2:24" x14ac:dyDescent="0.3">
      <c r="B518" s="38"/>
      <c r="C518" s="40"/>
      <c r="D518" s="19"/>
      <c r="E518"/>
      <c r="F518" s="12"/>
      <c r="G518" s="43"/>
      <c r="H518"/>
      <c r="I518"/>
      <c r="K518" s="38"/>
      <c r="L518" s="39"/>
      <c r="M518" s="38"/>
      <c r="N518" s="39"/>
      <c r="O518" s="38"/>
      <c r="Q518" s="38"/>
      <c r="R518" s="39"/>
      <c r="S518" s="39"/>
      <c r="T518" s="38"/>
      <c r="V518" s="38"/>
      <c r="W518" s="39"/>
      <c r="X518" s="38"/>
    </row>
    <row r="519" spans="2:24" x14ac:dyDescent="0.3">
      <c r="B519" s="38"/>
      <c r="C519" s="40"/>
      <c r="D519" s="19"/>
      <c r="E519"/>
      <c r="F519" s="12"/>
      <c r="G519" s="43"/>
      <c r="H519"/>
      <c r="I519"/>
      <c r="K519" s="38"/>
      <c r="L519" s="39"/>
      <c r="M519" s="38"/>
      <c r="N519" s="39"/>
      <c r="O519" s="38"/>
      <c r="Q519" s="38"/>
      <c r="R519" s="39"/>
      <c r="S519" s="39"/>
      <c r="T519" s="38"/>
      <c r="V519" s="38"/>
      <c r="W519" s="39"/>
      <c r="X519" s="38"/>
    </row>
    <row r="520" spans="2:24" x14ac:dyDescent="0.3">
      <c r="B520" s="38"/>
      <c r="C520" s="40"/>
      <c r="D520" s="19"/>
      <c r="E520"/>
      <c r="F520" s="12"/>
      <c r="G520" s="43"/>
      <c r="H520"/>
      <c r="I520"/>
      <c r="K520" s="38"/>
      <c r="L520" s="39"/>
      <c r="M520" s="38"/>
      <c r="N520" s="39"/>
      <c r="O520" s="38"/>
      <c r="Q520" s="38"/>
      <c r="R520" s="39"/>
      <c r="S520" s="39"/>
      <c r="T520" s="38"/>
      <c r="V520" s="38"/>
      <c r="W520" s="39"/>
      <c r="X520" s="38"/>
    </row>
    <row r="521" spans="2:24" x14ac:dyDescent="0.3">
      <c r="B521" s="38"/>
      <c r="C521" s="40"/>
      <c r="D521" s="19"/>
      <c r="E521"/>
      <c r="F521" s="12"/>
      <c r="G521" s="43"/>
      <c r="H521"/>
      <c r="I521"/>
      <c r="K521" s="38"/>
      <c r="L521" s="39"/>
      <c r="M521" s="38"/>
      <c r="N521" s="39"/>
      <c r="O521" s="38"/>
      <c r="Q521" s="38"/>
      <c r="R521" s="39"/>
      <c r="S521" s="39"/>
      <c r="T521" s="38"/>
      <c r="V521" s="38"/>
      <c r="W521" s="39"/>
      <c r="X521" s="38"/>
    </row>
    <row r="522" spans="2:24" x14ac:dyDescent="0.3">
      <c r="B522" s="38"/>
      <c r="C522" s="40"/>
      <c r="D522" s="19"/>
      <c r="E522"/>
      <c r="F522" s="12"/>
      <c r="G522" s="43"/>
      <c r="H522"/>
      <c r="I522"/>
      <c r="K522" s="38"/>
      <c r="L522" s="39"/>
      <c r="M522" s="38"/>
      <c r="N522" s="39"/>
      <c r="O522" s="38"/>
      <c r="Q522" s="38"/>
      <c r="R522" s="39"/>
      <c r="S522" s="39"/>
      <c r="T522" s="38"/>
      <c r="V522" s="38"/>
      <c r="W522" s="39"/>
      <c r="X522" s="38"/>
    </row>
    <row r="523" spans="2:24" x14ac:dyDescent="0.3">
      <c r="B523" s="38"/>
      <c r="C523" s="40"/>
      <c r="D523" s="19"/>
      <c r="E523"/>
      <c r="F523" s="12"/>
      <c r="G523" s="43"/>
      <c r="H523"/>
      <c r="I523"/>
      <c r="K523" s="38"/>
      <c r="L523" s="39"/>
      <c r="M523" s="38"/>
      <c r="N523" s="39"/>
      <c r="O523" s="38"/>
      <c r="Q523" s="38"/>
      <c r="R523" s="39"/>
      <c r="S523" s="39"/>
      <c r="T523" s="38"/>
      <c r="V523" s="38"/>
      <c r="W523" s="39"/>
      <c r="X523" s="38"/>
    </row>
    <row r="524" spans="2:24" x14ac:dyDescent="0.3">
      <c r="B524" s="38"/>
      <c r="C524" s="40"/>
      <c r="D524" s="19"/>
      <c r="E524"/>
      <c r="F524" s="12"/>
      <c r="G524" s="43"/>
      <c r="H524"/>
      <c r="I524"/>
      <c r="K524" s="38"/>
      <c r="L524" s="39"/>
      <c r="M524" s="38"/>
      <c r="N524" s="39"/>
      <c r="O524" s="38"/>
      <c r="Q524" s="38"/>
      <c r="R524" s="39"/>
      <c r="S524" s="39"/>
      <c r="T524" s="38"/>
      <c r="V524" s="38"/>
      <c r="W524" s="39"/>
      <c r="X524" s="38"/>
    </row>
    <row r="525" spans="2:24" x14ac:dyDescent="0.3">
      <c r="B525" s="38"/>
      <c r="C525" s="40"/>
      <c r="D525" s="19"/>
      <c r="E525"/>
      <c r="F525" s="12"/>
      <c r="G525" s="43"/>
      <c r="H525"/>
      <c r="I525"/>
      <c r="K525" s="38"/>
      <c r="L525" s="39"/>
      <c r="M525" s="38"/>
      <c r="N525" s="39"/>
      <c r="O525" s="38"/>
      <c r="Q525" s="38"/>
      <c r="R525" s="39"/>
      <c r="S525" s="39"/>
      <c r="T525" s="38"/>
      <c r="V525" s="38"/>
      <c r="W525" s="39"/>
      <c r="X525" s="38"/>
    </row>
    <row r="526" spans="2:24" x14ac:dyDescent="0.3">
      <c r="B526" s="38"/>
      <c r="C526" s="40"/>
      <c r="D526" s="19"/>
      <c r="E526"/>
      <c r="F526" s="12"/>
      <c r="G526" s="43"/>
      <c r="H526"/>
      <c r="I526"/>
      <c r="K526" s="38"/>
      <c r="L526" s="39"/>
      <c r="M526" s="38"/>
      <c r="N526" s="39"/>
      <c r="O526" s="38"/>
      <c r="Q526" s="38"/>
      <c r="R526" s="39"/>
      <c r="S526" s="39"/>
      <c r="T526" s="38"/>
      <c r="V526" s="38"/>
      <c r="W526" s="39"/>
      <c r="X526" s="38"/>
    </row>
    <row r="527" spans="2:24" x14ac:dyDescent="0.3">
      <c r="B527" s="38"/>
      <c r="C527" s="40"/>
      <c r="D527" s="19"/>
      <c r="E527"/>
      <c r="F527" s="12"/>
      <c r="G527" s="43"/>
      <c r="H527"/>
      <c r="I527"/>
      <c r="K527" s="38"/>
      <c r="L527" s="39"/>
      <c r="M527" s="38"/>
      <c r="N527" s="39"/>
      <c r="O527" s="38"/>
      <c r="Q527" s="38"/>
      <c r="R527" s="39"/>
      <c r="S527" s="39"/>
      <c r="T527" s="38"/>
      <c r="V527" s="38"/>
      <c r="W527" s="39"/>
      <c r="X527" s="38"/>
    </row>
    <row r="528" spans="2:24" x14ac:dyDescent="0.3">
      <c r="B528" s="38"/>
      <c r="C528" s="40"/>
      <c r="D528" s="19"/>
      <c r="E528"/>
      <c r="F528" s="12"/>
      <c r="G528" s="43"/>
      <c r="H528"/>
      <c r="I528"/>
      <c r="K528" s="38"/>
      <c r="L528" s="39"/>
      <c r="M528" s="38"/>
      <c r="N528" s="39"/>
      <c r="O528" s="38"/>
      <c r="Q528" s="38"/>
      <c r="R528" s="39"/>
      <c r="S528" s="39"/>
      <c r="T528" s="38"/>
      <c r="V528" s="38"/>
      <c r="W528" s="39"/>
      <c r="X528" s="38"/>
    </row>
    <row r="529" spans="2:24" x14ac:dyDescent="0.3">
      <c r="B529" s="38"/>
      <c r="C529" s="40"/>
      <c r="D529" s="19"/>
      <c r="E529"/>
      <c r="F529" s="12"/>
      <c r="G529" s="43"/>
      <c r="H529"/>
      <c r="I529"/>
      <c r="K529" s="38"/>
      <c r="L529" s="39"/>
      <c r="M529" s="38"/>
      <c r="N529" s="39"/>
      <c r="O529" s="38"/>
      <c r="Q529" s="38"/>
      <c r="R529" s="39"/>
      <c r="S529" s="39"/>
      <c r="T529" s="38"/>
      <c r="V529" s="38"/>
      <c r="W529" s="39"/>
      <c r="X529" s="38"/>
    </row>
    <row r="530" spans="2:24" x14ac:dyDescent="0.3">
      <c r="B530" s="38"/>
      <c r="C530" s="40"/>
      <c r="D530" s="19"/>
      <c r="E530"/>
      <c r="F530" s="12"/>
      <c r="G530" s="43"/>
      <c r="H530"/>
      <c r="I530"/>
      <c r="K530" s="38"/>
      <c r="L530" s="39"/>
      <c r="M530" s="38"/>
      <c r="N530" s="39"/>
      <c r="O530" s="38"/>
      <c r="Q530" s="38"/>
      <c r="R530" s="39"/>
      <c r="S530" s="39"/>
      <c r="T530" s="38"/>
      <c r="V530" s="38"/>
      <c r="W530" s="39"/>
      <c r="X530" s="38"/>
    </row>
    <row r="531" spans="2:24" x14ac:dyDescent="0.3">
      <c r="B531" s="38"/>
      <c r="C531" s="40"/>
      <c r="D531" s="19"/>
      <c r="E531"/>
      <c r="F531" s="12"/>
      <c r="G531" s="43"/>
      <c r="H531"/>
      <c r="I531"/>
      <c r="K531" s="38"/>
      <c r="L531" s="39"/>
      <c r="M531" s="38"/>
      <c r="N531" s="39"/>
      <c r="O531" s="38"/>
      <c r="Q531" s="38"/>
      <c r="R531" s="39"/>
      <c r="S531" s="39"/>
      <c r="T531" s="38"/>
      <c r="V531" s="38"/>
      <c r="W531" s="39"/>
      <c r="X531" s="38"/>
    </row>
    <row r="532" spans="2:24" x14ac:dyDescent="0.3">
      <c r="B532" s="38"/>
      <c r="C532" s="40"/>
      <c r="D532" s="19"/>
      <c r="E532"/>
      <c r="F532" s="12"/>
      <c r="G532" s="43"/>
      <c r="H532"/>
      <c r="I532"/>
      <c r="K532" s="38"/>
      <c r="L532" s="39"/>
      <c r="M532" s="38"/>
      <c r="N532" s="39"/>
      <c r="O532" s="38"/>
      <c r="Q532" s="38"/>
      <c r="R532" s="39"/>
      <c r="S532" s="39"/>
      <c r="T532" s="38"/>
      <c r="V532" s="38"/>
      <c r="W532" s="39"/>
      <c r="X532" s="38"/>
    </row>
    <row r="533" spans="2:24" x14ac:dyDescent="0.3">
      <c r="B533" s="38"/>
      <c r="C533" s="40"/>
      <c r="D533" s="19"/>
      <c r="E533"/>
      <c r="F533" s="12"/>
      <c r="G533" s="43"/>
      <c r="H533"/>
      <c r="I533"/>
      <c r="K533" s="38"/>
      <c r="L533" s="39"/>
      <c r="M533" s="38"/>
      <c r="N533" s="39"/>
      <c r="O533" s="38"/>
      <c r="Q533" s="38"/>
      <c r="R533" s="39"/>
      <c r="S533" s="39"/>
      <c r="T533" s="38"/>
      <c r="V533" s="38"/>
      <c r="W533" s="39"/>
      <c r="X533" s="38"/>
    </row>
    <row r="534" spans="2:24" x14ac:dyDescent="0.3">
      <c r="B534" s="38"/>
      <c r="C534" s="40"/>
      <c r="D534" s="19"/>
      <c r="E534"/>
      <c r="F534" s="12"/>
      <c r="G534" s="43"/>
      <c r="H534"/>
      <c r="I534"/>
      <c r="K534" s="38"/>
      <c r="L534" s="39"/>
      <c r="M534" s="38"/>
      <c r="N534" s="39"/>
      <c r="O534" s="38"/>
      <c r="Q534" s="38"/>
      <c r="R534" s="39"/>
      <c r="S534" s="39"/>
      <c r="T534" s="38"/>
      <c r="V534" s="38"/>
      <c r="W534" s="39"/>
      <c r="X534" s="38"/>
    </row>
    <row r="535" spans="2:24" x14ac:dyDescent="0.3">
      <c r="B535" s="38"/>
      <c r="C535" s="40"/>
      <c r="D535" s="19"/>
      <c r="E535"/>
      <c r="F535" s="12"/>
      <c r="G535" s="43"/>
      <c r="H535"/>
      <c r="I535"/>
      <c r="K535" s="38"/>
      <c r="L535" s="39"/>
      <c r="M535" s="38"/>
      <c r="N535" s="39"/>
      <c r="O535" s="38"/>
      <c r="Q535" s="38"/>
      <c r="R535" s="39"/>
      <c r="S535" s="39"/>
      <c r="T535" s="38"/>
      <c r="V535" s="38"/>
      <c r="W535" s="39"/>
      <c r="X535" s="38"/>
    </row>
    <row r="536" spans="2:24" x14ac:dyDescent="0.3">
      <c r="B536" s="38"/>
      <c r="C536" s="40"/>
      <c r="D536" s="19"/>
      <c r="E536"/>
      <c r="F536" s="12"/>
      <c r="G536" s="43"/>
      <c r="H536"/>
      <c r="I536"/>
      <c r="K536" s="38"/>
      <c r="L536" s="39"/>
      <c r="M536" s="38"/>
      <c r="N536" s="39"/>
      <c r="O536" s="38"/>
      <c r="Q536" s="38"/>
      <c r="R536" s="39"/>
      <c r="S536" s="39"/>
      <c r="T536" s="38"/>
      <c r="V536" s="38"/>
      <c r="W536" s="39"/>
      <c r="X536" s="38"/>
    </row>
    <row r="537" spans="2:24" x14ac:dyDescent="0.3">
      <c r="B537" s="38"/>
      <c r="C537" s="40"/>
      <c r="D537" s="19"/>
      <c r="E537"/>
      <c r="F537" s="12"/>
      <c r="G537" s="43"/>
      <c r="H537"/>
      <c r="I537"/>
      <c r="K537" s="38"/>
      <c r="L537" s="39"/>
      <c r="M537" s="38"/>
      <c r="N537" s="39"/>
      <c r="O537" s="38"/>
      <c r="Q537" s="38"/>
      <c r="R537" s="39"/>
      <c r="S537" s="39"/>
      <c r="T537" s="38"/>
      <c r="V537" s="38"/>
      <c r="W537" s="39"/>
      <c r="X537" s="38"/>
    </row>
    <row r="538" spans="2:24" x14ac:dyDescent="0.3">
      <c r="B538" s="38"/>
      <c r="C538" s="40"/>
      <c r="D538" s="19"/>
      <c r="E538"/>
      <c r="F538" s="12"/>
      <c r="G538" s="43"/>
      <c r="H538"/>
      <c r="I538"/>
      <c r="K538" s="38"/>
      <c r="L538" s="39"/>
      <c r="M538" s="38"/>
      <c r="N538" s="39"/>
      <c r="O538" s="38"/>
      <c r="Q538" s="38"/>
      <c r="R538" s="39"/>
      <c r="S538" s="39"/>
      <c r="T538" s="38"/>
      <c r="V538" s="38"/>
      <c r="W538" s="39"/>
      <c r="X538" s="38"/>
    </row>
    <row r="539" spans="2:24" x14ac:dyDescent="0.3">
      <c r="B539" s="38"/>
      <c r="C539" s="40"/>
      <c r="D539" s="19"/>
      <c r="E539"/>
      <c r="F539" s="12"/>
      <c r="G539" s="43"/>
      <c r="H539"/>
      <c r="I539"/>
      <c r="K539" s="38"/>
      <c r="L539" s="39"/>
      <c r="M539" s="38"/>
      <c r="N539" s="39"/>
      <c r="O539" s="38"/>
      <c r="Q539" s="38"/>
      <c r="R539" s="39"/>
      <c r="S539" s="39"/>
      <c r="T539" s="38"/>
      <c r="V539" s="38"/>
      <c r="W539" s="39"/>
      <c r="X539" s="38"/>
    </row>
    <row r="540" spans="2:24" x14ac:dyDescent="0.3">
      <c r="B540" s="38"/>
      <c r="C540" s="40"/>
      <c r="D540" s="19"/>
      <c r="E540"/>
      <c r="F540" s="12"/>
      <c r="G540" s="43"/>
      <c r="H540"/>
      <c r="I540"/>
      <c r="K540" s="38"/>
      <c r="L540" s="39"/>
      <c r="M540" s="38"/>
      <c r="N540" s="39"/>
      <c r="O540" s="38"/>
      <c r="Q540" s="38"/>
      <c r="R540" s="39"/>
      <c r="S540" s="39"/>
      <c r="T540" s="38"/>
      <c r="V540" s="38"/>
      <c r="W540" s="39"/>
      <c r="X540" s="38"/>
    </row>
    <row r="541" spans="2:24" x14ac:dyDescent="0.3">
      <c r="B541" s="38"/>
      <c r="C541" s="40"/>
      <c r="D541" s="19"/>
      <c r="E541"/>
      <c r="F541" s="12"/>
      <c r="G541" s="43"/>
      <c r="H541"/>
      <c r="I541"/>
      <c r="K541" s="38"/>
      <c r="L541" s="39"/>
      <c r="M541" s="38"/>
      <c r="N541" s="39"/>
      <c r="O541" s="38"/>
      <c r="Q541" s="38"/>
      <c r="R541" s="39"/>
      <c r="S541" s="39"/>
      <c r="T541" s="38"/>
      <c r="V541" s="38"/>
      <c r="W541" s="39"/>
      <c r="X541" s="38"/>
    </row>
    <row r="542" spans="2:24" x14ac:dyDescent="0.3">
      <c r="B542" s="38"/>
      <c r="C542" s="40"/>
      <c r="D542" s="19"/>
      <c r="E542"/>
      <c r="F542" s="12"/>
      <c r="G542" s="43"/>
      <c r="H542"/>
      <c r="I542"/>
      <c r="K542" s="38"/>
      <c r="L542" s="39"/>
      <c r="M542" s="38"/>
      <c r="N542" s="39"/>
      <c r="O542" s="38"/>
      <c r="Q542" s="38"/>
      <c r="R542" s="39"/>
      <c r="S542" s="39"/>
      <c r="T542" s="38"/>
      <c r="V542" s="38"/>
      <c r="W542" s="39"/>
      <c r="X542" s="38"/>
    </row>
    <row r="543" spans="2:24" x14ac:dyDescent="0.3">
      <c r="B543" s="38"/>
      <c r="C543" s="40"/>
      <c r="D543" s="19"/>
      <c r="E543"/>
      <c r="F543" s="12"/>
      <c r="G543" s="43"/>
      <c r="H543"/>
      <c r="I543"/>
      <c r="K543" s="38"/>
      <c r="L543" s="39"/>
      <c r="M543" s="38"/>
      <c r="N543" s="39"/>
      <c r="O543" s="38"/>
      <c r="Q543" s="38"/>
      <c r="R543" s="39"/>
      <c r="S543" s="39"/>
      <c r="T543" s="38"/>
      <c r="V543" s="38"/>
      <c r="W543" s="39"/>
      <c r="X543" s="38"/>
    </row>
    <row r="544" spans="2:24" x14ac:dyDescent="0.3">
      <c r="B544" s="38"/>
      <c r="C544" s="40"/>
      <c r="D544" s="19"/>
      <c r="E544"/>
      <c r="F544" s="12"/>
      <c r="G544" s="43"/>
      <c r="H544"/>
      <c r="I544"/>
      <c r="K544" s="38"/>
      <c r="L544" s="39"/>
      <c r="M544" s="38"/>
      <c r="N544" s="39"/>
      <c r="O544" s="38"/>
      <c r="Q544" s="38"/>
      <c r="R544" s="39"/>
      <c r="S544" s="39"/>
      <c r="T544" s="38"/>
      <c r="V544" s="38"/>
      <c r="W544" s="39"/>
      <c r="X544" s="38"/>
    </row>
    <row r="545" spans="2:24" x14ac:dyDescent="0.3">
      <c r="B545" s="38"/>
      <c r="C545" s="40"/>
      <c r="D545" s="19"/>
      <c r="E545"/>
      <c r="F545" s="12"/>
      <c r="G545" s="43"/>
      <c r="H545"/>
      <c r="I545"/>
      <c r="K545" s="38"/>
      <c r="L545" s="39"/>
      <c r="M545" s="38"/>
      <c r="N545" s="39"/>
      <c r="O545" s="38"/>
      <c r="Q545" s="38"/>
      <c r="R545" s="39"/>
      <c r="S545" s="39"/>
      <c r="T545" s="38"/>
      <c r="V545" s="38"/>
      <c r="W545" s="39"/>
      <c r="X545" s="38"/>
    </row>
    <row r="546" spans="2:24" x14ac:dyDescent="0.3">
      <c r="B546" s="38"/>
      <c r="C546" s="40"/>
      <c r="D546" s="19"/>
      <c r="E546"/>
      <c r="F546" s="12"/>
      <c r="G546" s="43"/>
      <c r="H546"/>
      <c r="I546"/>
      <c r="K546" s="38"/>
      <c r="L546" s="39"/>
      <c r="M546" s="38"/>
      <c r="N546" s="39"/>
      <c r="O546" s="38"/>
      <c r="Q546" s="38"/>
      <c r="R546" s="39"/>
      <c r="S546" s="39"/>
      <c r="T546" s="38"/>
      <c r="V546" s="38"/>
      <c r="W546" s="39"/>
      <c r="X546" s="38"/>
    </row>
    <row r="547" spans="2:24" x14ac:dyDescent="0.3">
      <c r="B547" s="38"/>
      <c r="C547" s="40"/>
      <c r="D547" s="19"/>
      <c r="E547"/>
      <c r="F547" s="12"/>
      <c r="G547" s="43"/>
      <c r="H547"/>
      <c r="I547"/>
      <c r="K547" s="38"/>
      <c r="L547" s="39"/>
      <c r="M547" s="38"/>
      <c r="N547" s="39"/>
      <c r="O547" s="38"/>
      <c r="Q547" s="38"/>
      <c r="R547" s="39"/>
      <c r="S547" s="39"/>
      <c r="T547" s="38"/>
      <c r="V547" s="38"/>
      <c r="W547" s="39"/>
      <c r="X547" s="38"/>
    </row>
    <row r="548" spans="2:24" x14ac:dyDescent="0.3">
      <c r="B548" s="38"/>
      <c r="C548" s="40"/>
      <c r="D548" s="19"/>
      <c r="E548"/>
      <c r="F548" s="12"/>
      <c r="G548" s="43"/>
      <c r="H548"/>
      <c r="I548"/>
      <c r="K548" s="38"/>
      <c r="L548" s="39"/>
      <c r="M548" s="38"/>
      <c r="N548" s="39"/>
      <c r="O548" s="38"/>
      <c r="Q548" s="38"/>
      <c r="R548" s="39"/>
      <c r="S548" s="39"/>
      <c r="T548" s="38"/>
      <c r="V548" s="38"/>
      <c r="W548" s="39"/>
      <c r="X548" s="38"/>
    </row>
    <row r="549" spans="2:24" x14ac:dyDescent="0.3">
      <c r="B549" s="38"/>
      <c r="C549" s="40"/>
      <c r="D549" s="19"/>
      <c r="E549"/>
      <c r="F549" s="12"/>
      <c r="G549" s="43"/>
      <c r="H549"/>
      <c r="I549"/>
      <c r="K549" s="38"/>
      <c r="L549" s="39"/>
      <c r="M549" s="38"/>
      <c r="N549" s="39"/>
      <c r="O549" s="38"/>
      <c r="Q549" s="38"/>
      <c r="R549" s="39"/>
      <c r="S549" s="39"/>
      <c r="T549" s="38"/>
      <c r="V549" s="38"/>
      <c r="W549" s="39"/>
      <c r="X549" s="38"/>
    </row>
    <row r="550" spans="2:24" x14ac:dyDescent="0.3">
      <c r="B550" s="38"/>
      <c r="C550" s="40"/>
      <c r="D550" s="19"/>
      <c r="E550"/>
      <c r="F550" s="12"/>
      <c r="G550" s="43"/>
      <c r="H550"/>
      <c r="I550"/>
      <c r="K550" s="38"/>
      <c r="L550" s="39"/>
      <c r="M550" s="38"/>
      <c r="N550" s="39"/>
      <c r="O550" s="38"/>
      <c r="Q550" s="38"/>
      <c r="R550" s="39"/>
      <c r="S550" s="39"/>
      <c r="T550" s="38"/>
      <c r="V550" s="38"/>
      <c r="W550" s="39"/>
      <c r="X550" s="38"/>
    </row>
    <row r="551" spans="2:24" x14ac:dyDescent="0.3">
      <c r="B551" s="38"/>
      <c r="C551" s="40"/>
      <c r="D551" s="19"/>
      <c r="E551"/>
      <c r="F551" s="12"/>
      <c r="G551" s="43"/>
      <c r="H551"/>
      <c r="I551"/>
      <c r="K551" s="38"/>
      <c r="L551" s="39"/>
      <c r="M551" s="38"/>
      <c r="N551" s="39"/>
      <c r="O551" s="38"/>
      <c r="Q551" s="38"/>
      <c r="R551" s="39"/>
      <c r="S551" s="39"/>
      <c r="T551" s="38"/>
      <c r="V551" s="38"/>
      <c r="W551" s="39"/>
      <c r="X551" s="38"/>
    </row>
    <row r="552" spans="2:24" x14ac:dyDescent="0.3">
      <c r="B552" s="38"/>
      <c r="C552" s="40"/>
      <c r="D552" s="19"/>
      <c r="E552"/>
      <c r="F552" s="12"/>
      <c r="G552" s="43"/>
      <c r="H552"/>
      <c r="I552"/>
      <c r="K552" s="38"/>
      <c r="L552" s="39"/>
      <c r="M552" s="38"/>
      <c r="N552" s="39"/>
      <c r="O552" s="38"/>
      <c r="Q552" s="38"/>
      <c r="R552" s="39"/>
      <c r="S552" s="39"/>
      <c r="T552" s="38"/>
      <c r="V552" s="38"/>
      <c r="W552" s="39"/>
      <c r="X552" s="38"/>
    </row>
    <row r="553" spans="2:24" x14ac:dyDescent="0.3">
      <c r="B553" s="38"/>
      <c r="C553" s="40"/>
      <c r="D553" s="19"/>
      <c r="E553"/>
      <c r="F553" s="12"/>
      <c r="G553" s="43"/>
      <c r="H553"/>
      <c r="I553"/>
      <c r="K553" s="38"/>
      <c r="L553" s="39"/>
      <c r="M553" s="38"/>
      <c r="N553" s="39"/>
      <c r="O553" s="38"/>
      <c r="Q553" s="38"/>
      <c r="R553" s="39"/>
      <c r="S553" s="39"/>
      <c r="T553" s="38"/>
      <c r="V553" s="38"/>
      <c r="W553" s="39"/>
      <c r="X553" s="38"/>
    </row>
    <row r="554" spans="2:24" x14ac:dyDescent="0.3">
      <c r="B554" s="38"/>
      <c r="C554" s="40"/>
      <c r="D554" s="19"/>
      <c r="E554"/>
      <c r="F554" s="12"/>
      <c r="G554" s="43"/>
      <c r="H554"/>
      <c r="I554"/>
      <c r="K554" s="38"/>
      <c r="L554" s="39"/>
      <c r="M554" s="38"/>
      <c r="N554" s="39"/>
      <c r="O554" s="38"/>
      <c r="Q554" s="38"/>
      <c r="R554" s="39"/>
      <c r="S554" s="39"/>
      <c r="T554" s="38"/>
      <c r="V554" s="38"/>
      <c r="W554" s="39"/>
      <c r="X554" s="38"/>
    </row>
    <row r="555" spans="2:24" x14ac:dyDescent="0.3">
      <c r="B555" s="38"/>
      <c r="C555" s="40"/>
      <c r="D555" s="19"/>
      <c r="E555"/>
      <c r="F555" s="12"/>
      <c r="G555" s="43"/>
      <c r="H555"/>
      <c r="I555"/>
      <c r="K555" s="38"/>
      <c r="L555" s="39"/>
      <c r="M555" s="38"/>
      <c r="N555" s="39"/>
      <c r="O555" s="38"/>
      <c r="Q555" s="38"/>
      <c r="R555" s="39"/>
      <c r="S555" s="39"/>
      <c r="T555" s="38"/>
      <c r="V555" s="38"/>
      <c r="W555" s="39"/>
      <c r="X555" s="38"/>
    </row>
    <row r="556" spans="2:24" x14ac:dyDescent="0.3">
      <c r="B556" s="38"/>
      <c r="C556" s="40"/>
      <c r="D556" s="19"/>
      <c r="E556"/>
      <c r="F556" s="12"/>
      <c r="G556" s="43"/>
      <c r="H556"/>
      <c r="I556"/>
      <c r="K556" s="38"/>
      <c r="L556" s="39"/>
      <c r="M556" s="38"/>
      <c r="N556" s="39"/>
      <c r="O556" s="38"/>
      <c r="Q556" s="38"/>
      <c r="R556" s="39"/>
      <c r="S556" s="39"/>
      <c r="T556" s="38"/>
      <c r="V556" s="38"/>
      <c r="W556" s="39"/>
      <c r="X556" s="38"/>
    </row>
    <row r="557" spans="2:24" x14ac:dyDescent="0.3">
      <c r="B557" s="38"/>
      <c r="C557" s="40"/>
      <c r="D557" s="19"/>
      <c r="E557"/>
      <c r="F557" s="12"/>
      <c r="G557" s="43"/>
      <c r="H557"/>
      <c r="I557"/>
      <c r="K557" s="38"/>
      <c r="L557" s="39"/>
      <c r="M557" s="38"/>
      <c r="N557" s="39"/>
      <c r="O557" s="38"/>
      <c r="Q557" s="38"/>
      <c r="R557" s="39"/>
      <c r="S557" s="39"/>
      <c r="T557" s="38"/>
      <c r="V557" s="38"/>
      <c r="W557" s="39"/>
      <c r="X557" s="38"/>
    </row>
    <row r="558" spans="2:24" x14ac:dyDescent="0.3">
      <c r="B558" s="38"/>
      <c r="C558" s="40"/>
      <c r="D558" s="19"/>
      <c r="E558"/>
      <c r="F558" s="12"/>
      <c r="G558" s="43"/>
      <c r="H558"/>
      <c r="I558"/>
      <c r="K558" s="38"/>
      <c r="L558" s="39"/>
      <c r="M558" s="38"/>
      <c r="N558" s="39"/>
      <c r="O558" s="38"/>
      <c r="Q558" s="38"/>
      <c r="R558" s="39"/>
      <c r="S558" s="39"/>
      <c r="T558" s="38"/>
      <c r="V558" s="38"/>
      <c r="W558" s="39"/>
      <c r="X558" s="38"/>
    </row>
    <row r="559" spans="2:24" x14ac:dyDescent="0.3">
      <c r="B559" s="38"/>
      <c r="C559" s="40"/>
      <c r="D559" s="19"/>
      <c r="E559"/>
      <c r="F559" s="12"/>
      <c r="G559" s="43"/>
      <c r="H559"/>
      <c r="I559"/>
      <c r="K559" s="38"/>
      <c r="L559" s="39"/>
      <c r="M559" s="38"/>
      <c r="N559" s="39"/>
      <c r="O559" s="38"/>
      <c r="Q559" s="38"/>
      <c r="R559" s="39"/>
      <c r="S559" s="39"/>
      <c r="T559" s="38"/>
      <c r="V559" s="38"/>
      <c r="W559" s="39"/>
      <c r="X559" s="38"/>
    </row>
    <row r="560" spans="2:24" x14ac:dyDescent="0.3">
      <c r="B560" s="38"/>
      <c r="C560" s="40"/>
      <c r="D560" s="19"/>
      <c r="E560"/>
      <c r="F560" s="12"/>
      <c r="G560" s="43"/>
      <c r="H560"/>
      <c r="I560"/>
      <c r="K560" s="38"/>
      <c r="L560" s="39"/>
      <c r="M560" s="38"/>
      <c r="N560" s="39"/>
      <c r="O560" s="38"/>
      <c r="Q560" s="38"/>
      <c r="R560" s="39"/>
      <c r="S560" s="39"/>
      <c r="T560" s="38"/>
      <c r="V560" s="38"/>
      <c r="W560" s="39"/>
      <c r="X560" s="38"/>
    </row>
    <row r="561" spans="2:24" x14ac:dyDescent="0.3">
      <c r="B561" s="38"/>
      <c r="C561" s="40"/>
      <c r="D561" s="19"/>
      <c r="E561"/>
      <c r="F561" s="12"/>
      <c r="G561" s="43"/>
      <c r="H561"/>
      <c r="I561"/>
      <c r="K561" s="38"/>
      <c r="L561" s="39"/>
      <c r="N561" s="39"/>
      <c r="O561" s="38"/>
      <c r="Q561" s="38"/>
      <c r="R561" s="39"/>
      <c r="S561" s="39"/>
      <c r="T561" s="38"/>
      <c r="V561" s="38"/>
      <c r="W561" s="39"/>
      <c r="X561" s="38"/>
    </row>
    <row r="562" spans="2:24" x14ac:dyDescent="0.3">
      <c r="B562" s="38"/>
      <c r="C562" s="40"/>
      <c r="D562" s="19"/>
      <c r="E562"/>
      <c r="F562" s="12"/>
      <c r="G562" s="43"/>
      <c r="H562"/>
      <c r="I562"/>
      <c r="K562" s="38"/>
      <c r="L562" s="39"/>
      <c r="N562" s="39"/>
      <c r="O562" s="38"/>
      <c r="Q562" s="38"/>
      <c r="R562" s="39"/>
      <c r="S562" s="39"/>
      <c r="T562" s="38"/>
      <c r="V562" s="38"/>
      <c r="W562" s="39"/>
      <c r="X562" s="38"/>
    </row>
    <row r="563" spans="2:24" x14ac:dyDescent="0.3">
      <c r="B563" s="38"/>
      <c r="C563" s="40"/>
      <c r="D563" s="19"/>
      <c r="E563"/>
      <c r="F563" s="12"/>
      <c r="G563" s="43"/>
      <c r="H563"/>
      <c r="I563"/>
      <c r="K563" s="38"/>
      <c r="L563" s="39"/>
      <c r="N563" s="39"/>
      <c r="O563" s="38"/>
      <c r="Q563" s="38"/>
      <c r="R563" s="39"/>
      <c r="S563" s="39"/>
      <c r="T563" s="38"/>
      <c r="V563" s="38"/>
      <c r="W563" s="39"/>
      <c r="X563" s="38"/>
    </row>
    <row r="564" spans="2:24" x14ac:dyDescent="0.3">
      <c r="B564" s="38"/>
      <c r="C564" s="40"/>
      <c r="D564" s="19"/>
      <c r="E564"/>
      <c r="F564" s="12"/>
      <c r="G564" s="43"/>
      <c r="H564"/>
      <c r="I564"/>
      <c r="K564" s="38"/>
      <c r="L564" s="39"/>
      <c r="M564" s="38"/>
      <c r="N564" s="39"/>
      <c r="O564" s="38"/>
      <c r="Q564" s="38"/>
      <c r="R564" s="39"/>
      <c r="S564" s="39"/>
      <c r="T564" s="38"/>
      <c r="V564" s="38"/>
      <c r="W564" s="39"/>
      <c r="X564" s="38"/>
    </row>
    <row r="565" spans="2:24" x14ac:dyDescent="0.3">
      <c r="B565" s="38"/>
      <c r="C565" s="40"/>
      <c r="D565" s="19"/>
      <c r="E565"/>
      <c r="F565" s="12"/>
      <c r="G565" s="43"/>
      <c r="H565"/>
      <c r="I565"/>
      <c r="K565" s="38"/>
      <c r="L565" s="39"/>
      <c r="M565" s="38"/>
      <c r="N565" s="39"/>
      <c r="O565" s="38"/>
      <c r="Q565" s="38"/>
      <c r="R565" s="39"/>
      <c r="S565" s="39"/>
      <c r="T565" s="38"/>
      <c r="V565" s="38"/>
      <c r="W565" s="39"/>
      <c r="X565" s="38"/>
    </row>
    <row r="566" spans="2:24" x14ac:dyDescent="0.3">
      <c r="B566" s="38"/>
      <c r="C566" s="40"/>
      <c r="D566" s="19"/>
      <c r="E566"/>
      <c r="F566" s="12"/>
      <c r="G566" s="43"/>
      <c r="H566"/>
      <c r="I566"/>
      <c r="K566" s="38"/>
      <c r="L566" s="39"/>
      <c r="M566" s="38"/>
      <c r="N566" s="39"/>
      <c r="O566" s="38"/>
      <c r="Q566" s="38"/>
      <c r="R566" s="39"/>
      <c r="S566" s="39"/>
      <c r="T566" s="38"/>
      <c r="V566" s="38"/>
      <c r="W566" s="39"/>
      <c r="X566" s="38"/>
    </row>
    <row r="567" spans="2:24" x14ac:dyDescent="0.3">
      <c r="B567" s="38"/>
      <c r="C567" s="40"/>
      <c r="D567" s="19"/>
      <c r="E567"/>
      <c r="F567" s="12"/>
      <c r="G567" s="43"/>
      <c r="H567"/>
      <c r="I567"/>
      <c r="K567" s="38"/>
      <c r="L567" s="39"/>
      <c r="M567" s="38"/>
      <c r="N567" s="39"/>
      <c r="O567" s="38"/>
      <c r="Q567" s="38"/>
      <c r="R567" s="39"/>
      <c r="S567" s="39"/>
      <c r="T567" s="38"/>
      <c r="V567" s="38"/>
      <c r="W567" s="39"/>
      <c r="X567" s="38"/>
    </row>
    <row r="568" spans="2:24" x14ac:dyDescent="0.3">
      <c r="B568" s="38"/>
      <c r="C568" s="40"/>
      <c r="D568" s="19"/>
      <c r="E568"/>
      <c r="F568" s="12"/>
      <c r="G568" s="43"/>
      <c r="H568"/>
      <c r="I568"/>
      <c r="K568" s="38"/>
      <c r="L568" s="39"/>
      <c r="M568" s="38"/>
      <c r="N568" s="39"/>
      <c r="O568" s="38"/>
      <c r="Q568" s="38"/>
      <c r="R568" s="39"/>
      <c r="S568" s="39"/>
      <c r="T568" s="38"/>
      <c r="V568" s="38"/>
      <c r="W568" s="39"/>
      <c r="X568" s="38"/>
    </row>
    <row r="569" spans="2:24" x14ac:dyDescent="0.3">
      <c r="B569" s="38"/>
      <c r="C569" s="40"/>
      <c r="D569" s="19"/>
      <c r="E569"/>
      <c r="F569" s="12"/>
      <c r="G569" s="43"/>
      <c r="H569"/>
      <c r="I569"/>
      <c r="K569" s="38"/>
      <c r="L569" s="39"/>
      <c r="M569" s="38"/>
      <c r="N569" s="39"/>
      <c r="O569" s="38"/>
      <c r="Q569" s="38"/>
      <c r="R569" s="39"/>
      <c r="S569" s="39"/>
      <c r="T569" s="38"/>
      <c r="V569" s="38"/>
      <c r="W569" s="39"/>
      <c r="X569" s="38"/>
    </row>
    <row r="570" spans="2:24" x14ac:dyDescent="0.3">
      <c r="B570" s="38"/>
      <c r="C570" s="40"/>
      <c r="D570" s="19"/>
      <c r="E570"/>
      <c r="F570" s="12"/>
      <c r="G570" s="43"/>
      <c r="H570"/>
      <c r="I570"/>
      <c r="K570" s="38"/>
      <c r="L570" s="39"/>
      <c r="M570" s="38"/>
      <c r="N570" s="39"/>
      <c r="O570" s="38"/>
      <c r="Q570" s="38"/>
      <c r="R570" s="39"/>
      <c r="S570" s="39"/>
      <c r="T570" s="38"/>
      <c r="V570" s="38"/>
      <c r="W570" s="39"/>
      <c r="X570" s="38"/>
    </row>
    <row r="571" spans="2:24" x14ac:dyDescent="0.3">
      <c r="B571" s="38"/>
      <c r="C571" s="40"/>
      <c r="D571" s="19"/>
      <c r="E571"/>
      <c r="F571" s="12"/>
      <c r="G571" s="43"/>
      <c r="H571"/>
      <c r="I571"/>
      <c r="K571" s="38"/>
      <c r="L571" s="39"/>
      <c r="M571" s="38"/>
      <c r="N571" s="39"/>
      <c r="O571" s="38"/>
      <c r="Q571" s="38"/>
      <c r="R571" s="39"/>
      <c r="S571" s="39"/>
      <c r="T571" s="38"/>
      <c r="V571" s="38"/>
      <c r="W571" s="39"/>
      <c r="X571" s="38"/>
    </row>
    <row r="572" spans="2:24" x14ac:dyDescent="0.3">
      <c r="B572" s="38"/>
      <c r="C572" s="40"/>
      <c r="D572" s="19"/>
      <c r="E572"/>
      <c r="F572" s="12"/>
      <c r="G572" s="43"/>
      <c r="H572"/>
      <c r="I572"/>
      <c r="K572" s="38"/>
      <c r="L572" s="39"/>
      <c r="M572" s="38"/>
      <c r="N572" s="39"/>
      <c r="O572" s="38"/>
      <c r="Q572" s="38"/>
      <c r="R572" s="39"/>
      <c r="S572" s="39"/>
      <c r="T572" s="38"/>
      <c r="V572" s="38"/>
      <c r="W572" s="39"/>
      <c r="X572" s="38"/>
    </row>
    <row r="573" spans="2:24" x14ac:dyDescent="0.3">
      <c r="B573" s="38"/>
      <c r="C573" s="40"/>
      <c r="D573" s="19"/>
      <c r="E573"/>
      <c r="F573" s="12"/>
      <c r="G573" s="43"/>
      <c r="H573"/>
      <c r="I573"/>
      <c r="K573" s="38"/>
      <c r="L573" s="39"/>
      <c r="M573" s="38"/>
      <c r="N573" s="39"/>
      <c r="O573" s="38"/>
      <c r="Q573" s="38"/>
      <c r="R573" s="39"/>
      <c r="S573" s="39"/>
      <c r="T573" s="38"/>
      <c r="V573" s="38"/>
      <c r="W573" s="39"/>
      <c r="X573" s="38"/>
    </row>
    <row r="574" spans="2:24" x14ac:dyDescent="0.3">
      <c r="B574" s="38"/>
      <c r="C574" s="40"/>
      <c r="D574" s="19"/>
      <c r="E574"/>
      <c r="F574" s="12"/>
      <c r="G574" s="43"/>
      <c r="H574"/>
      <c r="I574"/>
      <c r="K574" s="38"/>
      <c r="L574" s="39"/>
      <c r="M574" s="38"/>
      <c r="N574" s="39"/>
      <c r="O574" s="38"/>
      <c r="Q574" s="38"/>
      <c r="R574" s="39"/>
      <c r="S574" s="39"/>
      <c r="T574" s="38"/>
      <c r="V574" s="38"/>
      <c r="W574" s="39"/>
      <c r="X574" s="38"/>
    </row>
    <row r="575" spans="2:24" x14ac:dyDescent="0.3">
      <c r="B575" s="38"/>
      <c r="C575" s="40"/>
      <c r="D575" s="19"/>
      <c r="E575"/>
      <c r="F575" s="12"/>
      <c r="G575" s="43"/>
      <c r="H575"/>
      <c r="I575"/>
      <c r="K575" s="38"/>
      <c r="L575" s="39"/>
      <c r="M575" s="38"/>
      <c r="N575" s="39"/>
      <c r="O575" s="38"/>
      <c r="Q575" s="38"/>
      <c r="R575" s="39"/>
      <c r="S575" s="39"/>
      <c r="T575" s="38"/>
      <c r="V575" s="38"/>
      <c r="W575" s="39"/>
      <c r="X575" s="38"/>
    </row>
    <row r="576" spans="2:24" x14ac:dyDescent="0.3">
      <c r="B576" s="38"/>
      <c r="C576" s="40"/>
      <c r="D576" s="19"/>
      <c r="E576"/>
      <c r="F576" s="12"/>
      <c r="G576" s="43"/>
      <c r="H576"/>
      <c r="I576"/>
      <c r="K576" s="38"/>
      <c r="L576" s="39"/>
      <c r="M576" s="38"/>
      <c r="N576" s="39"/>
      <c r="O576" s="38"/>
      <c r="Q576" s="38"/>
      <c r="R576" s="39"/>
      <c r="S576" s="39"/>
      <c r="T576" s="38"/>
      <c r="V576" s="38"/>
      <c r="W576" s="39"/>
      <c r="X576" s="38"/>
    </row>
    <row r="577" spans="2:24" x14ac:dyDescent="0.3">
      <c r="B577" s="38"/>
      <c r="C577" s="40"/>
      <c r="D577" s="19"/>
      <c r="E577"/>
      <c r="F577" s="12"/>
      <c r="G577" s="43"/>
      <c r="H577"/>
      <c r="I577"/>
      <c r="K577" s="38"/>
      <c r="L577" s="39"/>
      <c r="M577" s="38"/>
      <c r="N577" s="39"/>
      <c r="O577" s="38"/>
      <c r="Q577" s="38"/>
      <c r="R577" s="39"/>
      <c r="S577" s="39"/>
      <c r="T577" s="38"/>
      <c r="V577" s="38"/>
      <c r="W577" s="39"/>
      <c r="X577" s="38"/>
    </row>
    <row r="578" spans="2:24" x14ac:dyDescent="0.3">
      <c r="B578" s="38"/>
      <c r="C578" s="40"/>
      <c r="D578" s="19"/>
      <c r="E578"/>
      <c r="F578" s="12"/>
      <c r="G578" s="43"/>
      <c r="H578"/>
      <c r="I578"/>
      <c r="K578" s="38"/>
      <c r="L578" s="39"/>
      <c r="M578" s="38"/>
      <c r="N578" s="39"/>
      <c r="O578" s="38"/>
      <c r="Q578" s="38"/>
      <c r="R578" s="39"/>
      <c r="S578" s="39"/>
      <c r="T578" s="38"/>
      <c r="V578" s="38"/>
      <c r="W578" s="39"/>
      <c r="X578" s="38"/>
    </row>
    <row r="579" spans="2:24" x14ac:dyDescent="0.3">
      <c r="B579" s="38"/>
      <c r="C579" s="40"/>
      <c r="D579" s="19"/>
      <c r="E579"/>
      <c r="F579" s="12"/>
      <c r="G579" s="43"/>
      <c r="H579"/>
      <c r="I579"/>
      <c r="K579" s="38"/>
      <c r="L579" s="39"/>
      <c r="M579" s="38"/>
      <c r="N579" s="39"/>
      <c r="O579" s="38"/>
      <c r="Q579" s="38"/>
      <c r="R579" s="39"/>
      <c r="S579" s="39"/>
      <c r="T579" s="38"/>
      <c r="V579" s="38"/>
      <c r="W579" s="39"/>
      <c r="X579" s="38"/>
    </row>
    <row r="580" spans="2:24" x14ac:dyDescent="0.3">
      <c r="B580" s="38"/>
      <c r="C580" s="40"/>
      <c r="D580" s="19"/>
      <c r="E580"/>
      <c r="F580" s="12"/>
      <c r="G580" s="43"/>
      <c r="H580"/>
      <c r="I580"/>
      <c r="K580" s="38"/>
      <c r="L580" s="39"/>
      <c r="M580" s="38"/>
      <c r="N580" s="39"/>
      <c r="O580" s="38"/>
      <c r="Q580" s="38"/>
      <c r="R580" s="39"/>
      <c r="S580" s="39"/>
      <c r="T580" s="38"/>
      <c r="V580" s="38"/>
      <c r="W580" s="39"/>
      <c r="X580" s="38"/>
    </row>
    <row r="581" spans="2:24" x14ac:dyDescent="0.3">
      <c r="B581" s="38"/>
      <c r="C581" s="40"/>
      <c r="D581" s="19"/>
      <c r="E581"/>
      <c r="F581" s="12"/>
      <c r="G581" s="43"/>
      <c r="H581"/>
      <c r="I581"/>
      <c r="K581" s="38"/>
      <c r="L581" s="39"/>
      <c r="M581" s="38"/>
      <c r="N581" s="39"/>
      <c r="O581" s="38"/>
      <c r="Q581" s="38"/>
      <c r="R581" s="39"/>
      <c r="S581" s="39"/>
      <c r="T581" s="38"/>
      <c r="V581" s="38"/>
      <c r="W581" s="39"/>
      <c r="X581" s="38"/>
    </row>
    <row r="582" spans="2:24" x14ac:dyDescent="0.3">
      <c r="B582" s="38"/>
      <c r="C582" s="40"/>
      <c r="D582" s="19"/>
      <c r="E582"/>
      <c r="F582" s="12"/>
      <c r="G582" s="43"/>
      <c r="H582"/>
      <c r="I582"/>
      <c r="K582" s="38"/>
      <c r="L582" s="39"/>
      <c r="M582" s="38"/>
      <c r="N582" s="39"/>
      <c r="O582" s="38"/>
      <c r="S582" s="39"/>
      <c r="T582" s="38"/>
      <c r="V582" s="38"/>
      <c r="W582" s="39"/>
      <c r="X582" s="38"/>
    </row>
    <row r="583" spans="2:24" x14ac:dyDescent="0.3">
      <c r="B583" s="38"/>
      <c r="C583" s="40"/>
      <c r="D583" s="19"/>
      <c r="E583"/>
      <c r="F583" s="12"/>
      <c r="G583" s="43"/>
      <c r="H583"/>
      <c r="I583"/>
      <c r="K583" s="38"/>
      <c r="L583" s="39"/>
      <c r="M583" s="38"/>
      <c r="N583" s="39"/>
      <c r="O583" s="38"/>
      <c r="S583" s="39"/>
      <c r="T583" s="38"/>
      <c r="V583" s="38"/>
      <c r="W583" s="39"/>
      <c r="X583" s="38"/>
    </row>
    <row r="584" spans="2:24" x14ac:dyDescent="0.3">
      <c r="B584" s="38"/>
      <c r="C584" s="40"/>
      <c r="D584" s="19"/>
      <c r="E584"/>
      <c r="F584" s="12"/>
      <c r="G584" s="43"/>
      <c r="H584"/>
      <c r="I584"/>
      <c r="K584" s="38"/>
      <c r="L584" s="39"/>
      <c r="M584" s="38"/>
      <c r="N584" s="39"/>
      <c r="O584" s="38"/>
      <c r="Q584" s="38"/>
      <c r="R584" s="39"/>
      <c r="S584" s="39"/>
      <c r="T584" s="38"/>
      <c r="V584" s="38"/>
      <c r="W584" s="39"/>
      <c r="X584" s="38"/>
    </row>
    <row r="585" spans="2:24" x14ac:dyDescent="0.3">
      <c r="B585" s="38"/>
      <c r="C585" s="40"/>
      <c r="D585" s="19"/>
      <c r="E585"/>
      <c r="F585" s="12"/>
      <c r="G585" s="43"/>
      <c r="H585"/>
      <c r="I585"/>
      <c r="K585" s="38"/>
      <c r="L585" s="39"/>
      <c r="M585" s="38"/>
      <c r="N585" s="39"/>
      <c r="O585" s="38"/>
      <c r="Q585" s="38"/>
      <c r="R585" s="39"/>
      <c r="S585" s="39"/>
      <c r="T585" s="38"/>
      <c r="V585" s="38"/>
      <c r="W585" s="39"/>
      <c r="X585" s="38"/>
    </row>
    <row r="586" spans="2:24" x14ac:dyDescent="0.3">
      <c r="B586" s="38"/>
      <c r="C586" s="40"/>
      <c r="D586" s="19"/>
      <c r="E586"/>
      <c r="F586" s="12"/>
      <c r="G586" s="43"/>
      <c r="H586"/>
      <c r="I586"/>
      <c r="K586" s="38"/>
      <c r="L586" s="39"/>
      <c r="M586" s="38"/>
      <c r="N586" s="39"/>
      <c r="O586" s="38"/>
      <c r="Q586" s="38"/>
      <c r="R586" s="39"/>
      <c r="S586" s="39"/>
      <c r="T586" s="38"/>
      <c r="V586" s="38"/>
      <c r="W586" s="39"/>
      <c r="X586" s="38"/>
    </row>
    <row r="587" spans="2:24" x14ac:dyDescent="0.3">
      <c r="B587" s="38"/>
      <c r="C587" s="40"/>
      <c r="D587" s="19"/>
      <c r="E587"/>
      <c r="F587" s="12"/>
      <c r="G587" s="43"/>
      <c r="H587"/>
      <c r="I587"/>
      <c r="K587" s="38"/>
      <c r="L587" s="39"/>
      <c r="M587" s="38"/>
      <c r="N587" s="39"/>
      <c r="O587" s="38"/>
      <c r="Q587" s="38"/>
      <c r="R587" s="39"/>
      <c r="S587" s="39"/>
      <c r="T587" s="38"/>
      <c r="V587" s="38"/>
      <c r="W587" s="39"/>
      <c r="X587" s="38"/>
    </row>
    <row r="588" spans="2:24" x14ac:dyDescent="0.3">
      <c r="B588" s="38"/>
      <c r="C588" s="40"/>
      <c r="D588" s="19"/>
      <c r="E588"/>
      <c r="F588" s="12"/>
      <c r="G588" s="43"/>
      <c r="H588"/>
      <c r="I588"/>
      <c r="K588" s="38"/>
      <c r="L588" s="39"/>
      <c r="M588" s="38"/>
      <c r="N588" s="39"/>
      <c r="O588" s="38"/>
      <c r="Q588" s="38"/>
      <c r="R588" s="39"/>
      <c r="S588" s="39"/>
      <c r="T588" s="38"/>
      <c r="V588" s="38"/>
      <c r="W588" s="39"/>
      <c r="X588" s="38"/>
    </row>
    <row r="589" spans="2:24" x14ac:dyDescent="0.3">
      <c r="B589" s="38"/>
      <c r="C589" s="40"/>
      <c r="D589" s="19"/>
      <c r="E589"/>
      <c r="F589" s="12"/>
      <c r="G589" s="43"/>
      <c r="H589"/>
      <c r="I589"/>
      <c r="K589" s="38"/>
      <c r="L589" s="39"/>
      <c r="M589" s="38"/>
      <c r="N589" s="39"/>
      <c r="O589" s="38"/>
      <c r="Q589" s="38"/>
      <c r="R589" s="39"/>
      <c r="S589" s="39"/>
      <c r="T589" s="38"/>
      <c r="V589" s="38"/>
      <c r="W589" s="39"/>
      <c r="X589" s="38"/>
    </row>
    <row r="590" spans="2:24" x14ac:dyDescent="0.3">
      <c r="B590" s="38"/>
      <c r="C590" s="40"/>
      <c r="D590" s="19"/>
      <c r="E590"/>
      <c r="F590" s="12"/>
      <c r="G590" s="43"/>
      <c r="H590"/>
      <c r="I590"/>
      <c r="K590" s="38"/>
      <c r="L590" s="39"/>
      <c r="M590" s="38"/>
      <c r="N590" s="39"/>
      <c r="O590" s="38"/>
      <c r="Q590" s="38"/>
      <c r="R590" s="39"/>
      <c r="S590" s="39"/>
      <c r="T590" s="38"/>
      <c r="V590" s="38"/>
      <c r="W590" s="39"/>
      <c r="X590" s="38"/>
    </row>
    <row r="591" spans="2:24" x14ac:dyDescent="0.3">
      <c r="B591" s="38"/>
      <c r="C591" s="40"/>
      <c r="D591" s="19"/>
      <c r="E591"/>
      <c r="F591" s="12"/>
      <c r="G591" s="43"/>
      <c r="H591"/>
      <c r="I591"/>
      <c r="K591" s="38"/>
      <c r="L591" s="39"/>
      <c r="M591" s="38"/>
      <c r="N591" s="39"/>
      <c r="O591" s="38"/>
      <c r="Q591" s="38"/>
      <c r="R591" s="39"/>
      <c r="S591" s="39"/>
      <c r="T591" s="38"/>
      <c r="V591" s="38"/>
      <c r="W591" s="39"/>
      <c r="X591" s="38"/>
    </row>
    <row r="592" spans="2:24" x14ac:dyDescent="0.3">
      <c r="B592" s="38"/>
      <c r="C592" s="40"/>
      <c r="D592" s="19"/>
      <c r="E592"/>
      <c r="F592" s="12"/>
      <c r="G592" s="43"/>
      <c r="H592"/>
      <c r="I592"/>
      <c r="K592" s="38"/>
      <c r="L592" s="39"/>
      <c r="M592" s="38"/>
      <c r="N592" s="39"/>
      <c r="O592" s="38"/>
      <c r="Q592" s="38"/>
      <c r="R592" s="39"/>
      <c r="S592" s="39"/>
      <c r="T592" s="38"/>
      <c r="V592" s="38"/>
      <c r="W592" s="39"/>
      <c r="X592" s="38"/>
    </row>
    <row r="593" spans="2:24" x14ac:dyDescent="0.3">
      <c r="B593" s="38"/>
      <c r="C593" s="40"/>
      <c r="D593" s="19"/>
      <c r="E593"/>
      <c r="F593" s="12"/>
      <c r="G593" s="43"/>
      <c r="H593"/>
      <c r="I593"/>
      <c r="K593" s="38"/>
      <c r="L593" s="39"/>
      <c r="M593" s="38"/>
      <c r="N593" s="39"/>
      <c r="O593" s="38"/>
      <c r="Q593" s="38"/>
      <c r="R593" s="39"/>
      <c r="S593" s="39"/>
      <c r="T593" s="38"/>
      <c r="V593" s="38"/>
      <c r="W593" s="39"/>
      <c r="X593" s="38"/>
    </row>
    <row r="594" spans="2:24" x14ac:dyDescent="0.3">
      <c r="B594" s="38"/>
      <c r="C594" s="40"/>
      <c r="D594" s="19"/>
      <c r="E594"/>
      <c r="F594" s="12"/>
      <c r="G594" s="43"/>
      <c r="H594"/>
      <c r="I594"/>
      <c r="K594" s="38"/>
      <c r="L594" s="39"/>
      <c r="M594" s="38"/>
      <c r="N594" s="39"/>
      <c r="O594" s="38"/>
      <c r="Q594" s="38"/>
      <c r="R594" s="39"/>
      <c r="S594" s="39"/>
      <c r="T594" s="38"/>
      <c r="V594" s="38"/>
      <c r="W594" s="39"/>
      <c r="X594" s="38"/>
    </row>
    <row r="595" spans="2:24" x14ac:dyDescent="0.3">
      <c r="B595" s="38"/>
      <c r="C595" s="40"/>
      <c r="D595" s="19"/>
      <c r="E595"/>
      <c r="F595" s="12"/>
      <c r="G595" s="43"/>
      <c r="H595"/>
      <c r="I595"/>
      <c r="K595" s="38"/>
      <c r="L595" s="39"/>
      <c r="M595" s="38"/>
      <c r="N595" s="39"/>
      <c r="O595" s="38"/>
      <c r="Q595" s="38"/>
      <c r="R595" s="39"/>
      <c r="S595" s="39"/>
      <c r="T595" s="38"/>
      <c r="V595" s="38"/>
      <c r="W595" s="39"/>
      <c r="X595" s="38"/>
    </row>
    <row r="596" spans="2:24" x14ac:dyDescent="0.3">
      <c r="B596" s="38"/>
      <c r="C596" s="40"/>
      <c r="D596" s="19"/>
      <c r="E596"/>
      <c r="F596" s="12"/>
      <c r="G596" s="43"/>
      <c r="H596"/>
      <c r="I596"/>
      <c r="K596" s="38"/>
      <c r="L596" s="39"/>
      <c r="M596" s="38"/>
      <c r="N596" s="39"/>
      <c r="O596" s="38"/>
      <c r="Q596" s="38"/>
      <c r="R596" s="39"/>
      <c r="S596" s="39"/>
      <c r="T596" s="38"/>
      <c r="V596" s="38"/>
      <c r="W596" s="39"/>
      <c r="X596" s="38"/>
    </row>
    <row r="597" spans="2:24" x14ac:dyDescent="0.3">
      <c r="B597" s="38"/>
      <c r="C597" s="40"/>
      <c r="D597" s="19"/>
      <c r="E597"/>
      <c r="F597" s="12"/>
      <c r="G597" s="43"/>
      <c r="H597"/>
      <c r="I597"/>
      <c r="K597" s="38"/>
      <c r="L597" s="39"/>
      <c r="M597" s="38"/>
      <c r="N597" s="39"/>
      <c r="O597" s="38"/>
      <c r="Q597" s="38"/>
      <c r="R597" s="39"/>
      <c r="S597" s="39"/>
      <c r="T597" s="38"/>
      <c r="V597" s="38"/>
      <c r="W597" s="39"/>
      <c r="X597" s="38"/>
    </row>
    <row r="598" spans="2:24" x14ac:dyDescent="0.3">
      <c r="B598" s="38"/>
      <c r="C598" s="40"/>
      <c r="D598" s="19"/>
      <c r="E598"/>
      <c r="F598" s="12"/>
      <c r="G598" s="43"/>
      <c r="H598"/>
      <c r="I598"/>
      <c r="K598" s="38"/>
      <c r="L598" s="39"/>
      <c r="M598" s="38"/>
      <c r="N598" s="39"/>
      <c r="O598" s="38"/>
      <c r="Q598" s="38"/>
      <c r="R598" s="39"/>
      <c r="S598" s="39"/>
      <c r="T598" s="38"/>
      <c r="V598" s="38"/>
      <c r="W598" s="39"/>
      <c r="X598" s="38"/>
    </row>
    <row r="599" spans="2:24" x14ac:dyDescent="0.3">
      <c r="B599" s="38"/>
      <c r="C599" s="40"/>
      <c r="D599" s="19"/>
      <c r="E599"/>
      <c r="F599" s="12"/>
      <c r="G599" s="43"/>
      <c r="H599"/>
      <c r="I599"/>
      <c r="K599" s="38"/>
      <c r="L599" s="39"/>
      <c r="M599" s="38"/>
      <c r="N599" s="39"/>
      <c r="O599" s="38"/>
      <c r="Q599" s="38"/>
      <c r="R599" s="39"/>
      <c r="S599" s="39"/>
      <c r="T599" s="38"/>
      <c r="V599" s="38"/>
      <c r="W599" s="39"/>
      <c r="X599" s="38"/>
    </row>
    <row r="600" spans="2:24" x14ac:dyDescent="0.3">
      <c r="B600" s="38"/>
      <c r="C600" s="40"/>
      <c r="D600" s="19"/>
      <c r="E600"/>
      <c r="F600" s="12"/>
      <c r="G600" s="43"/>
      <c r="H600"/>
      <c r="I600"/>
      <c r="K600" s="38"/>
      <c r="L600" s="39"/>
      <c r="M600" s="38"/>
      <c r="N600" s="39"/>
      <c r="O600" s="38"/>
      <c r="Q600" s="38"/>
      <c r="R600" s="39"/>
      <c r="S600" s="39"/>
      <c r="T600" s="38"/>
      <c r="V600" s="38"/>
      <c r="W600" s="39"/>
      <c r="X600" s="38"/>
    </row>
    <row r="601" spans="2:24" x14ac:dyDescent="0.3">
      <c r="B601" s="38"/>
      <c r="C601" s="40"/>
      <c r="D601" s="19"/>
      <c r="E601"/>
      <c r="F601" s="12"/>
      <c r="G601" s="43"/>
      <c r="H601"/>
      <c r="I601"/>
      <c r="K601" s="38"/>
      <c r="L601" s="39"/>
      <c r="M601" s="38"/>
      <c r="N601" s="39"/>
      <c r="O601" s="38"/>
      <c r="Q601" s="38"/>
      <c r="R601" s="39"/>
      <c r="S601" s="39"/>
      <c r="T601" s="38"/>
      <c r="V601" s="38"/>
      <c r="W601" s="39"/>
      <c r="X601" s="38"/>
    </row>
    <row r="602" spans="2:24" x14ac:dyDescent="0.3">
      <c r="B602" s="38"/>
      <c r="C602" s="40"/>
      <c r="D602" s="19"/>
      <c r="E602"/>
      <c r="F602" s="12"/>
      <c r="G602" s="43"/>
      <c r="H602"/>
      <c r="I602"/>
      <c r="K602" s="38"/>
      <c r="L602" s="39"/>
      <c r="M602" s="38"/>
      <c r="N602" s="39"/>
      <c r="O602" s="38"/>
      <c r="Q602" s="38"/>
      <c r="R602" s="39"/>
      <c r="S602" s="39"/>
      <c r="T602" s="38"/>
      <c r="V602" s="38"/>
      <c r="W602" s="39"/>
      <c r="X602" s="38"/>
    </row>
    <row r="603" spans="2:24" x14ac:dyDescent="0.3">
      <c r="B603" s="38"/>
      <c r="C603" s="40"/>
      <c r="D603" s="19"/>
      <c r="E603"/>
      <c r="F603" s="12"/>
      <c r="G603" s="43"/>
      <c r="H603"/>
      <c r="I603"/>
      <c r="K603" s="38"/>
      <c r="L603" s="39"/>
      <c r="M603" s="38"/>
      <c r="N603" s="39"/>
      <c r="O603" s="38"/>
      <c r="Q603" s="38"/>
      <c r="R603" s="39"/>
      <c r="S603" s="39"/>
      <c r="T603" s="38"/>
      <c r="V603" s="38"/>
      <c r="W603" s="39"/>
      <c r="X603" s="38"/>
    </row>
    <row r="604" spans="2:24" x14ac:dyDescent="0.3">
      <c r="B604" s="38"/>
      <c r="C604" s="40"/>
      <c r="D604" s="19"/>
      <c r="E604"/>
      <c r="F604" s="12"/>
      <c r="G604" s="43"/>
      <c r="H604"/>
      <c r="I604"/>
      <c r="K604" s="38"/>
      <c r="L604" s="39"/>
      <c r="M604" s="38"/>
      <c r="N604" s="39"/>
      <c r="O604" s="38"/>
      <c r="Q604" s="38"/>
      <c r="R604" s="39"/>
      <c r="S604" s="39"/>
      <c r="T604" s="38"/>
      <c r="V604" s="38"/>
      <c r="W604" s="39"/>
      <c r="X604" s="38"/>
    </row>
    <row r="605" spans="2:24" x14ac:dyDescent="0.3">
      <c r="B605" s="38"/>
      <c r="C605" s="40"/>
      <c r="D605" s="19"/>
      <c r="E605"/>
      <c r="F605" s="12"/>
      <c r="G605" s="43"/>
      <c r="H605"/>
      <c r="I605"/>
      <c r="K605" s="38"/>
      <c r="L605" s="39"/>
      <c r="M605" s="38"/>
      <c r="N605" s="39"/>
      <c r="O605" s="38"/>
      <c r="Q605" s="38"/>
      <c r="R605" s="39"/>
      <c r="S605" s="39"/>
      <c r="T605" s="38"/>
      <c r="V605" s="38"/>
      <c r="W605" s="39"/>
      <c r="X605" s="38"/>
    </row>
    <row r="606" spans="2:24" x14ac:dyDescent="0.3">
      <c r="B606" s="38"/>
      <c r="C606" s="40"/>
      <c r="D606" s="19"/>
      <c r="E606"/>
      <c r="F606" s="12"/>
      <c r="G606" s="43"/>
      <c r="H606"/>
      <c r="I606"/>
      <c r="K606" s="38"/>
      <c r="L606" s="39"/>
      <c r="M606" s="38"/>
      <c r="N606" s="39"/>
      <c r="O606" s="38"/>
      <c r="Q606" s="38"/>
      <c r="R606" s="39"/>
      <c r="S606" s="39"/>
      <c r="T606" s="38"/>
      <c r="V606" s="38"/>
      <c r="W606" s="39"/>
      <c r="X606" s="38"/>
    </row>
    <row r="607" spans="2:24" x14ac:dyDescent="0.3">
      <c r="B607" s="38"/>
      <c r="C607" s="40"/>
      <c r="D607" s="19"/>
      <c r="E607"/>
      <c r="F607" s="12"/>
      <c r="G607" s="43"/>
      <c r="H607"/>
      <c r="I607"/>
      <c r="K607" s="38"/>
      <c r="L607" s="39"/>
      <c r="M607" s="38"/>
      <c r="N607" s="39"/>
      <c r="O607" s="38"/>
      <c r="Q607" s="38"/>
      <c r="R607" s="39"/>
      <c r="S607" s="39"/>
      <c r="T607" s="38"/>
      <c r="V607" s="38"/>
      <c r="W607" s="39"/>
      <c r="X607" s="38"/>
    </row>
    <row r="608" spans="2:24" x14ac:dyDescent="0.3">
      <c r="B608" s="38"/>
      <c r="C608" s="40"/>
      <c r="D608" s="19"/>
      <c r="E608"/>
      <c r="F608" s="12"/>
      <c r="G608" s="43"/>
      <c r="H608"/>
      <c r="I608"/>
      <c r="K608" s="38"/>
      <c r="L608" s="39"/>
      <c r="M608" s="38"/>
      <c r="N608" s="39"/>
      <c r="O608" s="38"/>
      <c r="Q608" s="38"/>
      <c r="R608" s="39"/>
      <c r="S608" s="39"/>
      <c r="T608" s="38"/>
      <c r="V608" s="38"/>
      <c r="W608" s="39"/>
      <c r="X608" s="38"/>
    </row>
    <row r="609" spans="2:24" x14ac:dyDescent="0.3">
      <c r="B609" s="38"/>
      <c r="C609" s="40"/>
      <c r="D609" s="19"/>
      <c r="E609"/>
      <c r="F609" s="12"/>
      <c r="G609" s="43"/>
      <c r="H609"/>
      <c r="I609"/>
      <c r="K609" s="38"/>
      <c r="L609" s="39"/>
      <c r="M609" s="38"/>
      <c r="N609" s="39"/>
      <c r="O609" s="38"/>
      <c r="Q609" s="38"/>
      <c r="R609" s="39"/>
      <c r="S609" s="39"/>
      <c r="T609" s="38"/>
      <c r="V609" s="38"/>
      <c r="W609" s="39"/>
      <c r="X609" s="38"/>
    </row>
    <row r="610" spans="2:24" x14ac:dyDescent="0.3">
      <c r="B610" s="38"/>
      <c r="C610" s="40"/>
      <c r="D610" s="19"/>
      <c r="E610"/>
      <c r="F610" s="12"/>
      <c r="G610" s="43"/>
      <c r="H610"/>
      <c r="I610"/>
      <c r="K610" s="38"/>
      <c r="L610" s="39"/>
      <c r="M610" s="38"/>
      <c r="N610" s="39"/>
      <c r="O610" s="38"/>
      <c r="Q610" s="38"/>
      <c r="R610" s="39"/>
      <c r="S610" s="39"/>
      <c r="T610" s="38"/>
      <c r="V610" s="38"/>
      <c r="W610" s="39"/>
      <c r="X610" s="38"/>
    </row>
    <row r="611" spans="2:24" x14ac:dyDescent="0.3">
      <c r="B611" s="38"/>
      <c r="C611" s="40"/>
      <c r="D611" s="19"/>
      <c r="E611"/>
      <c r="F611" s="12"/>
      <c r="G611" s="43"/>
      <c r="H611"/>
      <c r="I611"/>
      <c r="K611" s="38"/>
      <c r="L611" s="39"/>
      <c r="M611" s="38"/>
      <c r="N611" s="39"/>
      <c r="O611" s="38"/>
      <c r="Q611" s="38"/>
      <c r="R611" s="39"/>
      <c r="S611" s="39"/>
      <c r="T611" s="38"/>
      <c r="V611" s="38"/>
      <c r="W611" s="39"/>
      <c r="X611" s="38"/>
    </row>
    <row r="612" spans="2:24" x14ac:dyDescent="0.3">
      <c r="B612" s="38"/>
      <c r="C612" s="40"/>
      <c r="D612" s="19"/>
      <c r="E612"/>
      <c r="F612" s="12"/>
      <c r="G612" s="43"/>
      <c r="H612"/>
      <c r="I612"/>
      <c r="K612" s="38"/>
      <c r="L612" s="39"/>
      <c r="M612" s="38"/>
      <c r="N612" s="39"/>
      <c r="O612" s="38"/>
      <c r="Q612" s="38"/>
      <c r="R612" s="39"/>
      <c r="S612" s="39"/>
      <c r="T612" s="38"/>
      <c r="V612" s="38"/>
      <c r="W612" s="39"/>
      <c r="X612" s="38"/>
    </row>
    <row r="613" spans="2:24" x14ac:dyDescent="0.3">
      <c r="B613" s="38"/>
      <c r="C613" s="40"/>
      <c r="D613" s="19"/>
      <c r="E613"/>
      <c r="F613" s="12"/>
      <c r="G613" s="43"/>
      <c r="H613"/>
      <c r="I613"/>
      <c r="K613" s="38"/>
      <c r="L613" s="39"/>
      <c r="M613" s="38"/>
      <c r="N613" s="39"/>
      <c r="O613" s="38"/>
      <c r="Q613" s="38"/>
      <c r="R613" s="39"/>
      <c r="S613" s="39"/>
      <c r="T613" s="38"/>
      <c r="V613" s="38"/>
      <c r="W613" s="39"/>
      <c r="X613" s="38"/>
    </row>
    <row r="614" spans="2:24" x14ac:dyDescent="0.3">
      <c r="B614" s="38"/>
      <c r="C614" s="40"/>
      <c r="D614" s="19"/>
      <c r="E614"/>
      <c r="F614" s="12"/>
      <c r="G614" s="43"/>
      <c r="H614"/>
      <c r="I614"/>
      <c r="K614" s="38"/>
      <c r="L614" s="39"/>
      <c r="M614" s="38"/>
      <c r="N614" s="39"/>
      <c r="O614" s="38"/>
      <c r="Q614" s="38"/>
      <c r="R614" s="39"/>
      <c r="S614" s="39"/>
      <c r="T614" s="38"/>
      <c r="V614" s="38"/>
      <c r="W614" s="39"/>
      <c r="X614" s="38"/>
    </row>
    <row r="615" spans="2:24" x14ac:dyDescent="0.3">
      <c r="B615" s="38"/>
      <c r="C615" s="40"/>
      <c r="D615" s="19"/>
      <c r="E615"/>
      <c r="F615" s="12"/>
      <c r="G615" s="43"/>
      <c r="H615"/>
      <c r="I615"/>
      <c r="K615" s="38"/>
      <c r="L615" s="39"/>
      <c r="M615" s="38"/>
      <c r="N615" s="39"/>
      <c r="O615" s="38"/>
      <c r="Q615" s="38"/>
      <c r="R615" s="39"/>
      <c r="S615" s="39"/>
      <c r="T615" s="38"/>
      <c r="V615" s="38"/>
      <c r="W615" s="39"/>
      <c r="X615" s="38"/>
    </row>
    <row r="616" spans="2:24" x14ac:dyDescent="0.3">
      <c r="B616" s="38"/>
      <c r="C616" s="40"/>
      <c r="D616" s="19"/>
      <c r="E616"/>
      <c r="F616" s="12"/>
      <c r="G616" s="43"/>
      <c r="H616"/>
      <c r="I616"/>
      <c r="K616" s="38"/>
      <c r="L616" s="39"/>
      <c r="M616" s="38"/>
      <c r="N616" s="39"/>
      <c r="O616" s="38"/>
      <c r="Q616" s="38"/>
      <c r="R616" s="39"/>
      <c r="S616" s="39"/>
      <c r="T616" s="38"/>
      <c r="V616" s="38"/>
      <c r="W616" s="39"/>
      <c r="X616" s="38"/>
    </row>
    <row r="617" spans="2:24" x14ac:dyDescent="0.3">
      <c r="B617" s="38"/>
      <c r="C617" s="40"/>
      <c r="D617" s="19"/>
      <c r="E617"/>
      <c r="F617" s="12"/>
      <c r="G617" s="43"/>
      <c r="H617"/>
      <c r="I617"/>
      <c r="K617" s="38"/>
      <c r="L617" s="39"/>
      <c r="M617" s="38"/>
      <c r="N617" s="39"/>
      <c r="O617" s="38"/>
      <c r="Q617" s="38"/>
      <c r="R617" s="39"/>
      <c r="S617" s="39"/>
      <c r="T617" s="38"/>
      <c r="V617" s="38"/>
      <c r="W617" s="39"/>
      <c r="X617" s="38"/>
    </row>
    <row r="618" spans="2:24" x14ac:dyDescent="0.3">
      <c r="B618" s="38"/>
      <c r="C618" s="40"/>
      <c r="D618" s="19"/>
      <c r="E618"/>
      <c r="F618" s="12"/>
      <c r="G618" s="43"/>
      <c r="H618"/>
      <c r="I618"/>
      <c r="K618" s="38"/>
      <c r="L618" s="39"/>
      <c r="M618" s="38"/>
      <c r="N618" s="39"/>
      <c r="O618" s="38"/>
      <c r="Q618" s="38"/>
      <c r="R618" s="39"/>
      <c r="S618" s="39"/>
      <c r="T618" s="38"/>
      <c r="V618" s="38"/>
      <c r="W618" s="39"/>
      <c r="X618" s="38"/>
    </row>
    <row r="619" spans="2:24" x14ac:dyDescent="0.3">
      <c r="B619" s="38"/>
      <c r="C619" s="40"/>
      <c r="D619" s="19"/>
      <c r="E619"/>
      <c r="F619" s="12"/>
      <c r="G619" s="43"/>
      <c r="H619"/>
      <c r="I619"/>
      <c r="K619" s="38"/>
      <c r="L619" s="39"/>
      <c r="M619" s="38"/>
      <c r="N619" s="39"/>
      <c r="O619" s="38"/>
      <c r="Q619" s="38"/>
      <c r="R619" s="39"/>
      <c r="S619" s="39"/>
      <c r="T619" s="38"/>
      <c r="V619" s="38"/>
      <c r="W619" s="39"/>
      <c r="X619" s="38"/>
    </row>
    <row r="620" spans="2:24" x14ac:dyDescent="0.3">
      <c r="B620" s="38"/>
      <c r="C620" s="40"/>
      <c r="D620" s="19"/>
      <c r="E620"/>
      <c r="F620" s="12"/>
      <c r="G620" s="43"/>
      <c r="H620"/>
      <c r="I620"/>
      <c r="K620" s="38"/>
      <c r="L620" s="39"/>
      <c r="M620" s="38"/>
      <c r="N620" s="39"/>
      <c r="O620" s="38"/>
      <c r="Q620" s="38"/>
      <c r="R620" s="39"/>
      <c r="S620" s="39"/>
      <c r="T620" s="38"/>
      <c r="V620" s="38"/>
      <c r="W620" s="39"/>
      <c r="X620" s="38"/>
    </row>
    <row r="621" spans="2:24" x14ac:dyDescent="0.3">
      <c r="B621" s="38"/>
      <c r="C621" s="40"/>
      <c r="D621" s="19"/>
      <c r="E621"/>
      <c r="F621" s="12"/>
      <c r="G621" s="43"/>
      <c r="H621"/>
      <c r="I621"/>
      <c r="K621" s="38"/>
      <c r="L621" s="39"/>
      <c r="M621" s="38"/>
      <c r="N621" s="39"/>
      <c r="O621" s="38"/>
      <c r="Q621" s="38"/>
      <c r="R621" s="39"/>
      <c r="S621" s="39"/>
      <c r="T621" s="38"/>
      <c r="V621" s="38"/>
      <c r="W621" s="39"/>
      <c r="X621" s="38"/>
    </row>
    <row r="622" spans="2:24" x14ac:dyDescent="0.3">
      <c r="B622" s="38"/>
      <c r="C622" s="40"/>
      <c r="D622" s="19"/>
      <c r="E622"/>
      <c r="F622" s="12"/>
      <c r="G622" s="43"/>
      <c r="H622"/>
      <c r="I622"/>
      <c r="K622" s="38"/>
      <c r="L622" s="39"/>
      <c r="M622" s="38"/>
      <c r="N622" s="39"/>
      <c r="O622" s="38"/>
      <c r="Q622" s="38"/>
      <c r="R622" s="39"/>
      <c r="S622" s="39"/>
      <c r="T622" s="38"/>
      <c r="V622" s="38"/>
      <c r="W622" s="39"/>
      <c r="X622" s="38"/>
    </row>
    <row r="623" spans="2:24" x14ac:dyDescent="0.3">
      <c r="B623" s="38"/>
      <c r="C623" s="40"/>
      <c r="D623" s="19"/>
      <c r="E623"/>
      <c r="F623" s="12"/>
      <c r="G623" s="43"/>
      <c r="H623"/>
      <c r="I623"/>
      <c r="K623" s="38"/>
      <c r="L623" s="39"/>
      <c r="M623" s="38"/>
      <c r="N623" s="39"/>
      <c r="O623" s="38"/>
      <c r="Q623" s="38"/>
      <c r="R623" s="39"/>
      <c r="S623" s="39"/>
      <c r="T623" s="38"/>
      <c r="V623" s="38"/>
      <c r="W623" s="39"/>
      <c r="X623" s="38"/>
    </row>
    <row r="624" spans="2:24" x14ac:dyDescent="0.3">
      <c r="B624" s="38"/>
      <c r="C624" s="40"/>
      <c r="D624" s="19"/>
      <c r="E624"/>
      <c r="F624" s="12"/>
      <c r="G624" s="43"/>
      <c r="H624"/>
      <c r="I624"/>
      <c r="K624" s="38"/>
      <c r="L624" s="39"/>
      <c r="M624" s="38"/>
      <c r="N624" s="39"/>
      <c r="O624" s="38"/>
      <c r="Q624" s="38"/>
      <c r="R624" s="39"/>
      <c r="S624" s="39"/>
      <c r="T624" s="38"/>
      <c r="V624" s="38"/>
      <c r="W624" s="39"/>
      <c r="X624" s="38"/>
    </row>
    <row r="625" spans="2:24" x14ac:dyDescent="0.3">
      <c r="B625" s="38"/>
      <c r="C625" s="40"/>
      <c r="D625" s="19"/>
      <c r="E625"/>
      <c r="F625" s="12"/>
      <c r="G625" s="43"/>
      <c r="H625"/>
      <c r="I625"/>
      <c r="K625" s="38"/>
      <c r="L625" s="39"/>
      <c r="M625" s="38"/>
      <c r="N625" s="39"/>
      <c r="O625" s="38"/>
      <c r="Q625" s="38"/>
      <c r="R625" s="39"/>
      <c r="S625" s="39"/>
      <c r="T625" s="38"/>
      <c r="V625" s="38"/>
      <c r="W625" s="39"/>
      <c r="X625" s="38"/>
    </row>
    <row r="626" spans="2:24" x14ac:dyDescent="0.3">
      <c r="B626" s="38"/>
      <c r="C626" s="40"/>
      <c r="D626" s="19"/>
      <c r="E626"/>
      <c r="F626" s="12"/>
      <c r="G626" s="43"/>
      <c r="H626"/>
      <c r="I626"/>
      <c r="K626" s="38"/>
      <c r="L626" s="39"/>
      <c r="M626" s="38"/>
      <c r="N626" s="39"/>
      <c r="O626" s="38"/>
      <c r="Q626" s="38"/>
      <c r="R626" s="39"/>
      <c r="S626" s="39"/>
      <c r="T626" s="38"/>
      <c r="V626" s="38"/>
      <c r="W626" s="39"/>
      <c r="X626" s="38"/>
    </row>
    <row r="627" spans="2:24" x14ac:dyDescent="0.3">
      <c r="B627" s="38"/>
      <c r="C627" s="40"/>
      <c r="D627" s="19"/>
      <c r="E627"/>
      <c r="F627" s="12"/>
      <c r="G627" s="43"/>
      <c r="H627"/>
      <c r="I627"/>
      <c r="K627" s="38"/>
      <c r="L627" s="39"/>
      <c r="M627" s="38"/>
      <c r="N627" s="39"/>
      <c r="O627" s="38"/>
      <c r="Q627" s="38"/>
      <c r="R627" s="39"/>
      <c r="S627" s="39"/>
      <c r="T627" s="38"/>
      <c r="V627" s="38"/>
      <c r="W627" s="39"/>
      <c r="X627" s="38"/>
    </row>
    <row r="628" spans="2:24" x14ac:dyDescent="0.3">
      <c r="B628" s="38"/>
      <c r="C628" s="40"/>
      <c r="D628" s="19"/>
      <c r="E628"/>
      <c r="F628" s="12"/>
      <c r="G628" s="43"/>
      <c r="H628"/>
      <c r="I628"/>
      <c r="K628" s="38"/>
      <c r="L628" s="39"/>
      <c r="M628" s="38"/>
      <c r="N628" s="39"/>
      <c r="O628" s="38"/>
      <c r="Q628" s="38"/>
      <c r="R628" s="39"/>
      <c r="S628" s="39"/>
      <c r="T628" s="38"/>
      <c r="V628" s="38"/>
      <c r="W628" s="39"/>
      <c r="X628" s="38"/>
    </row>
    <row r="629" spans="2:24" x14ac:dyDescent="0.3">
      <c r="B629" s="38"/>
      <c r="C629" s="40"/>
      <c r="D629" s="19"/>
      <c r="E629"/>
      <c r="F629" s="12"/>
      <c r="G629" s="43"/>
      <c r="H629"/>
      <c r="I629"/>
      <c r="K629" s="38"/>
      <c r="L629" s="39"/>
      <c r="M629" s="38"/>
      <c r="N629" s="39"/>
      <c r="O629" s="38"/>
      <c r="Q629" s="38"/>
      <c r="R629" s="39"/>
      <c r="S629" s="39"/>
      <c r="T629" s="38"/>
      <c r="V629" s="38"/>
      <c r="W629" s="39"/>
      <c r="X629" s="38"/>
    </row>
    <row r="630" spans="2:24" x14ac:dyDescent="0.3">
      <c r="B630" s="38"/>
      <c r="C630" s="40"/>
      <c r="D630" s="19"/>
      <c r="E630"/>
      <c r="F630" s="12"/>
      <c r="G630" s="43"/>
      <c r="H630"/>
      <c r="I630"/>
      <c r="K630" s="38"/>
      <c r="L630" s="39"/>
      <c r="M630" s="38"/>
      <c r="N630" s="39"/>
      <c r="O630" s="38"/>
      <c r="Q630" s="38"/>
      <c r="R630" s="39"/>
      <c r="S630" s="39"/>
      <c r="T630" s="38"/>
      <c r="V630" s="38"/>
      <c r="W630" s="39"/>
      <c r="X630" s="38"/>
    </row>
    <row r="631" spans="2:24" x14ac:dyDescent="0.3">
      <c r="B631" s="38"/>
      <c r="C631" s="40"/>
      <c r="D631" s="19"/>
      <c r="E631"/>
      <c r="F631" s="12"/>
      <c r="G631" s="43"/>
      <c r="H631"/>
      <c r="I631"/>
      <c r="K631" s="38"/>
      <c r="L631" s="39"/>
      <c r="M631" s="38"/>
      <c r="N631" s="39"/>
      <c r="O631" s="38"/>
      <c r="Q631" s="38"/>
      <c r="R631" s="39"/>
      <c r="S631" s="39"/>
      <c r="T631" s="38"/>
      <c r="V631" s="38"/>
      <c r="W631" s="39"/>
      <c r="X631" s="38"/>
    </row>
    <row r="632" spans="2:24" x14ac:dyDescent="0.3">
      <c r="B632" s="38"/>
      <c r="C632" s="40"/>
      <c r="D632" s="19"/>
      <c r="E632"/>
      <c r="F632" s="12"/>
      <c r="G632" s="43"/>
      <c r="H632"/>
      <c r="I632"/>
      <c r="K632" s="38"/>
      <c r="L632" s="39"/>
      <c r="M632" s="38"/>
      <c r="N632" s="39"/>
      <c r="O632" s="38"/>
      <c r="Q632" s="38"/>
      <c r="R632" s="39"/>
      <c r="S632" s="39"/>
      <c r="T632" s="38"/>
      <c r="V632" s="38"/>
      <c r="W632" s="39"/>
      <c r="X632" s="38"/>
    </row>
    <row r="633" spans="2:24" x14ac:dyDescent="0.3">
      <c r="B633" s="38"/>
      <c r="C633" s="40"/>
      <c r="D633" s="19"/>
      <c r="E633"/>
      <c r="F633" s="12"/>
      <c r="G633" s="43"/>
      <c r="H633"/>
      <c r="I633"/>
      <c r="K633" s="38"/>
      <c r="L633" s="39"/>
      <c r="M633" s="38"/>
      <c r="N633" s="39"/>
      <c r="O633" s="38"/>
      <c r="Q633" s="38"/>
      <c r="R633" s="39"/>
      <c r="S633" s="39"/>
      <c r="T633" s="38"/>
      <c r="V633" s="38"/>
      <c r="W633" s="39"/>
      <c r="X633" s="38"/>
    </row>
    <row r="634" spans="2:24" x14ac:dyDescent="0.3">
      <c r="B634" s="38"/>
      <c r="C634" s="40"/>
      <c r="D634" s="19"/>
      <c r="E634"/>
      <c r="F634" s="12"/>
      <c r="G634" s="43"/>
      <c r="H634"/>
      <c r="I634"/>
      <c r="K634" s="38"/>
      <c r="L634" s="39"/>
      <c r="M634" s="38"/>
      <c r="N634" s="39"/>
      <c r="O634" s="38"/>
      <c r="Q634" s="38"/>
      <c r="R634" s="39"/>
      <c r="S634" s="39"/>
      <c r="T634" s="38"/>
      <c r="V634" s="38"/>
      <c r="W634" s="39"/>
      <c r="X634" s="38"/>
    </row>
    <row r="635" spans="2:24" x14ac:dyDescent="0.3">
      <c r="B635" s="38"/>
      <c r="C635" s="40"/>
      <c r="D635" s="19"/>
      <c r="E635"/>
      <c r="F635" s="12"/>
      <c r="G635" s="43"/>
      <c r="H635"/>
      <c r="I635"/>
      <c r="K635" s="38"/>
      <c r="L635" s="39"/>
      <c r="M635" s="38"/>
      <c r="N635" s="39"/>
      <c r="O635" s="38"/>
      <c r="Q635" s="38"/>
      <c r="R635" s="39"/>
      <c r="S635" s="39"/>
      <c r="T635" s="38"/>
      <c r="V635" s="38"/>
      <c r="W635" s="39"/>
      <c r="X635" s="38"/>
    </row>
    <row r="636" spans="2:24" x14ac:dyDescent="0.3">
      <c r="B636" s="38"/>
      <c r="C636" s="40"/>
      <c r="D636" s="19"/>
      <c r="E636"/>
      <c r="F636" s="12"/>
      <c r="G636" s="43"/>
      <c r="H636"/>
      <c r="I636"/>
      <c r="K636" s="38"/>
      <c r="L636" s="39"/>
      <c r="M636" s="38"/>
      <c r="N636" s="39"/>
      <c r="O636" s="38"/>
      <c r="Q636" s="38"/>
      <c r="R636" s="39"/>
      <c r="S636" s="39"/>
      <c r="T636" s="38"/>
      <c r="V636" s="38"/>
      <c r="W636" s="39"/>
      <c r="X636" s="38"/>
    </row>
    <row r="637" spans="2:24" x14ac:dyDescent="0.3">
      <c r="B637" s="38"/>
      <c r="C637" s="40"/>
      <c r="D637" s="19"/>
      <c r="E637"/>
      <c r="F637" s="12"/>
      <c r="G637" s="43"/>
      <c r="H637"/>
      <c r="I637"/>
      <c r="K637" s="38"/>
      <c r="L637" s="39"/>
      <c r="M637" s="38"/>
      <c r="N637" s="39"/>
      <c r="O637" s="38"/>
      <c r="Q637" s="38"/>
      <c r="R637" s="39"/>
      <c r="S637" s="39"/>
      <c r="T637" s="38"/>
      <c r="V637" s="38"/>
      <c r="W637" s="39"/>
      <c r="X637" s="38"/>
    </row>
    <row r="638" spans="2:24" x14ac:dyDescent="0.3">
      <c r="B638" s="38"/>
      <c r="C638" s="40"/>
      <c r="D638" s="19"/>
      <c r="E638"/>
      <c r="F638" s="12"/>
      <c r="G638" s="43"/>
      <c r="H638"/>
      <c r="I638"/>
      <c r="K638" s="38"/>
      <c r="L638" s="39"/>
      <c r="M638" s="38"/>
      <c r="N638" s="39"/>
      <c r="O638" s="38"/>
      <c r="Q638" s="38"/>
      <c r="R638" s="39"/>
      <c r="S638" s="39"/>
      <c r="T638" s="38"/>
      <c r="V638" s="38"/>
      <c r="W638" s="39"/>
      <c r="X638" s="38"/>
    </row>
    <row r="639" spans="2:24" x14ac:dyDescent="0.3">
      <c r="B639" s="38"/>
      <c r="C639" s="40"/>
      <c r="D639" s="19"/>
      <c r="E639"/>
      <c r="F639" s="12"/>
      <c r="G639" s="43"/>
      <c r="H639"/>
      <c r="I639"/>
      <c r="K639" s="38"/>
      <c r="L639" s="39"/>
      <c r="M639" s="38"/>
      <c r="N639" s="39"/>
      <c r="O639" s="38"/>
      <c r="Q639" s="38"/>
      <c r="R639" s="39"/>
      <c r="S639" s="39"/>
      <c r="T639" s="38"/>
      <c r="V639" s="38"/>
      <c r="W639" s="39"/>
      <c r="X639" s="38"/>
    </row>
    <row r="640" spans="2:24" x14ac:dyDescent="0.3">
      <c r="B640" s="38"/>
      <c r="C640" s="40"/>
      <c r="D640" s="19"/>
      <c r="E640"/>
      <c r="F640" s="12"/>
      <c r="G640" s="43"/>
      <c r="H640"/>
      <c r="I640"/>
      <c r="K640" s="38"/>
      <c r="L640" s="39"/>
      <c r="M640" s="38"/>
      <c r="N640" s="39"/>
      <c r="O640" s="38"/>
      <c r="Q640" s="38"/>
      <c r="R640" s="39"/>
      <c r="S640" s="39"/>
      <c r="T640" s="38"/>
      <c r="V640" s="38"/>
      <c r="W640" s="39"/>
      <c r="X640" s="38"/>
    </row>
    <row r="641" spans="2:26" x14ac:dyDescent="0.3">
      <c r="B641" s="38"/>
      <c r="C641" s="40"/>
      <c r="D641" s="19"/>
      <c r="E641"/>
      <c r="F641" s="12"/>
      <c r="G641" s="43"/>
      <c r="H641"/>
      <c r="I641"/>
      <c r="K641" s="38"/>
      <c r="L641" s="39"/>
      <c r="M641" s="38"/>
      <c r="N641" s="39"/>
      <c r="O641" s="38"/>
      <c r="Q641" s="38"/>
      <c r="R641" s="39"/>
      <c r="S641" s="39"/>
      <c r="T641" s="38"/>
      <c r="V641" s="38"/>
      <c r="W641" s="39"/>
      <c r="X641" s="38"/>
    </row>
    <row r="642" spans="2:26" x14ac:dyDescent="0.3">
      <c r="B642" s="38"/>
      <c r="C642" s="40"/>
      <c r="D642" s="19"/>
      <c r="E642"/>
      <c r="F642" s="12"/>
      <c r="G642" s="43"/>
      <c r="H642"/>
      <c r="I642"/>
      <c r="K642" s="38"/>
      <c r="L642" s="39"/>
      <c r="M642" s="38"/>
      <c r="N642" s="39"/>
      <c r="O642" s="38"/>
      <c r="Q642" s="38"/>
      <c r="R642" s="39"/>
      <c r="S642" s="39"/>
      <c r="T642" s="38"/>
      <c r="V642" s="38"/>
      <c r="W642" s="39"/>
      <c r="X642" s="38"/>
    </row>
    <row r="643" spans="2:26" x14ac:dyDescent="0.3">
      <c r="B643" s="38"/>
      <c r="C643" s="40"/>
      <c r="D643" s="19"/>
      <c r="E643"/>
      <c r="F643" s="12"/>
      <c r="G643" s="43"/>
      <c r="H643"/>
      <c r="I643"/>
      <c r="K643" s="38"/>
      <c r="L643" s="39"/>
      <c r="M643" s="38"/>
      <c r="N643" s="39"/>
      <c r="O643" s="38"/>
      <c r="Q643" s="38"/>
      <c r="R643" s="39"/>
      <c r="S643" s="39"/>
      <c r="T643" s="38"/>
      <c r="V643" s="38"/>
      <c r="W643" s="39"/>
      <c r="X643" s="38"/>
    </row>
    <row r="644" spans="2:26" x14ac:dyDescent="0.3">
      <c r="B644" s="38"/>
      <c r="C644" s="40"/>
      <c r="D644" s="19"/>
      <c r="E644"/>
      <c r="F644" s="12"/>
      <c r="G644" s="43"/>
      <c r="H644"/>
      <c r="I644"/>
      <c r="K644" s="38"/>
      <c r="L644" s="39"/>
      <c r="M644" s="38"/>
      <c r="N644" s="39"/>
      <c r="O644" s="38"/>
      <c r="Q644" s="38"/>
      <c r="R644" s="39"/>
      <c r="S644" s="39"/>
      <c r="T644" s="38"/>
      <c r="V644" s="38"/>
      <c r="W644" s="39"/>
      <c r="X644" s="38"/>
    </row>
    <row r="645" spans="2:26" x14ac:dyDescent="0.3">
      <c r="B645" s="38"/>
      <c r="C645" s="40"/>
      <c r="D645" s="19"/>
      <c r="E645"/>
      <c r="F645" s="12"/>
      <c r="G645" s="43"/>
      <c r="H645"/>
      <c r="I645"/>
      <c r="K645" s="38"/>
      <c r="L645" s="39"/>
      <c r="M645" s="38"/>
      <c r="N645" s="39"/>
      <c r="O645" s="38"/>
      <c r="Q645" s="38"/>
      <c r="R645" s="39"/>
      <c r="S645" s="39"/>
      <c r="T645" s="38"/>
      <c r="V645" s="38"/>
      <c r="W645" s="39"/>
      <c r="X645" s="38"/>
    </row>
    <row r="646" spans="2:26" x14ac:dyDescent="0.3">
      <c r="O646" s="38"/>
      <c r="T646" s="38"/>
      <c r="V646" s="38"/>
      <c r="W646" s="39"/>
      <c r="X646" s="38"/>
    </row>
    <row r="647" spans="2:26" x14ac:dyDescent="0.3">
      <c r="X647" s="38"/>
    </row>
    <row r="648" spans="2:26" x14ac:dyDescent="0.3">
      <c r="Q648" s="12" t="s">
        <v>31</v>
      </c>
      <c r="Z648" s="12" t="s">
        <v>31</v>
      </c>
    </row>
    <row r="649" spans="2:26" x14ac:dyDescent="0.3">
      <c r="Q649" s="12" t="s">
        <v>31</v>
      </c>
      <c r="Z649" s="12" t="s">
        <v>31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B5B01-3FA3-4EA4-B698-FBA107729FBE}">
  <dimension ref="A1:AE645"/>
  <sheetViews>
    <sheetView topLeftCell="G27" zoomScale="70" zoomScaleNormal="70" zoomScalePageLayoutView="90" workbookViewId="0">
      <selection activeCell="N3" sqref="N3"/>
    </sheetView>
  </sheetViews>
  <sheetFormatPr defaultColWidth="8.88671875" defaultRowHeight="14.4" x14ac:dyDescent="0.3"/>
  <cols>
    <col min="1" max="1" width="14.44140625" bestFit="1" customWidth="1"/>
    <col min="2" max="2" width="18.33203125" bestFit="1" customWidth="1"/>
    <col min="3" max="3" width="12" customWidth="1"/>
    <col min="4" max="4" width="11.88671875" bestFit="1" customWidth="1"/>
    <col min="5" max="5" width="2.44140625" style="23" customWidth="1"/>
    <col min="6" max="6" width="10.77734375" customWidth="1"/>
    <col min="7" max="7" width="13.44140625" style="6" customWidth="1"/>
    <col min="8" max="8" width="13.33203125" style="42" customWidth="1"/>
    <col min="9" max="9" width="17.21875" customWidth="1"/>
    <col min="10" max="10" width="16.33203125" customWidth="1"/>
    <col min="11" max="11" width="17.109375" customWidth="1"/>
    <col min="12" max="12" width="15.33203125" customWidth="1"/>
    <col min="13" max="13" width="15.88671875" customWidth="1"/>
    <col min="14" max="14" width="17.33203125" customWidth="1"/>
    <col min="15" max="15" width="17" customWidth="1"/>
    <col min="16" max="16" width="11.21875" customWidth="1"/>
    <col min="17" max="17" width="5.5546875" style="12" customWidth="1"/>
    <col min="18" max="18" width="17.88671875" style="12" bestFit="1" customWidth="1"/>
    <col min="19" max="19" width="12.44140625" style="12" bestFit="1" customWidth="1"/>
    <col min="20" max="20" width="13.6640625" style="12" bestFit="1" customWidth="1"/>
    <col min="21" max="22" width="12.44140625" style="12" bestFit="1" customWidth="1"/>
    <col min="23" max="23" width="13.33203125" style="12" bestFit="1" customWidth="1"/>
    <col min="24" max="24" width="12.44140625" style="12" bestFit="1" customWidth="1"/>
    <col min="25" max="25" width="13" style="12" bestFit="1" customWidth="1"/>
    <col min="26" max="26" width="12.44140625" style="12" bestFit="1" customWidth="1"/>
    <col min="27" max="27" width="13" style="12" bestFit="1" customWidth="1"/>
    <col min="28" max="28" width="4.109375" style="12" customWidth="1"/>
    <col min="29" max="31" width="8.88671875" style="12"/>
  </cols>
  <sheetData>
    <row r="1" spans="1:19" x14ac:dyDescent="0.3">
      <c r="A1" s="7" t="s">
        <v>5</v>
      </c>
      <c r="B1" s="3">
        <v>45293</v>
      </c>
      <c r="F1" s="7" t="s">
        <v>5</v>
      </c>
      <c r="G1" s="5" t="s">
        <v>36</v>
      </c>
      <c r="H1" s="45" t="s">
        <v>51</v>
      </c>
      <c r="I1" s="21" t="s">
        <v>30</v>
      </c>
      <c r="J1" s="21" t="s">
        <v>46</v>
      </c>
      <c r="K1" s="21" t="s">
        <v>47</v>
      </c>
      <c r="L1" s="21" t="s">
        <v>41</v>
      </c>
      <c r="M1" s="21" t="s">
        <v>44</v>
      </c>
      <c r="N1" s="21" t="s">
        <v>82</v>
      </c>
      <c r="O1" s="21" t="s">
        <v>83</v>
      </c>
    </row>
    <row r="2" spans="1:19" x14ac:dyDescent="0.3">
      <c r="A2" s="7" t="s">
        <v>20</v>
      </c>
      <c r="F2" s="3">
        <v>45293</v>
      </c>
      <c r="G2" s="40">
        <v>4742.83</v>
      </c>
      <c r="H2" s="19"/>
      <c r="I2" s="31">
        <f>$B$5</f>
        <v>200000000</v>
      </c>
      <c r="J2" s="19">
        <f>$B$6</f>
        <v>200000000</v>
      </c>
      <c r="K2" s="19">
        <f>$B$7</f>
        <v>200000000</v>
      </c>
      <c r="L2" s="19">
        <f>$B$8</f>
        <v>200000000</v>
      </c>
      <c r="M2" s="19">
        <f>$B$9</f>
        <v>200000000</v>
      </c>
      <c r="N2" s="31">
        <f>SUM(I2:M2)</f>
        <v>1000000000</v>
      </c>
      <c r="R2" s="50">
        <f>MIN($F$2:$F$317)</f>
        <v>45293</v>
      </c>
    </row>
    <row r="3" spans="1:19" x14ac:dyDescent="0.3">
      <c r="A3" s="7" t="s">
        <v>9</v>
      </c>
      <c r="F3" s="3">
        <v>45294</v>
      </c>
      <c r="G3" s="40">
        <v>4704.8100000000004</v>
      </c>
      <c r="H3" s="46">
        <f t="shared" ref="H3:H4" si="0">$G3/$G2-1</f>
        <v>-8.0163109367190621E-3</v>
      </c>
      <c r="I3" s="19">
        <f>$B$5*Data!F3/Data!F2</f>
        <v>198525155.6859518</v>
      </c>
      <c r="J3" s="19">
        <f>$B$6*Data!I3/Data!I2</f>
        <v>199373219.4022021</v>
      </c>
      <c r="K3" s="19">
        <f>$B$7*Data!L3/Data!L2</f>
        <v>196534742.4132545</v>
      </c>
      <c r="L3" s="19">
        <f>$B$8*Data!O3/Data!O2</f>
        <v>198676450.0719786</v>
      </c>
      <c r="M3" s="19">
        <f>$B$9*Data!R3/Data!R2</f>
        <v>200022332.7067689</v>
      </c>
      <c r="N3" s="19">
        <f>SUM(I3:M3)</f>
        <v>993131900.28015578</v>
      </c>
      <c r="O3">
        <f>$N3/$N2-1</f>
        <v>-6.8680997198442562E-3</v>
      </c>
      <c r="R3" s="50">
        <f>MAX($F$2:$F$317)</f>
        <v>45777</v>
      </c>
    </row>
    <row r="4" spans="1:19" x14ac:dyDescent="0.3">
      <c r="A4" s="21" t="s">
        <v>6</v>
      </c>
      <c r="B4" s="21" t="s">
        <v>7</v>
      </c>
      <c r="C4" s="21" t="s">
        <v>8</v>
      </c>
      <c r="D4" s="21"/>
      <c r="F4" s="3">
        <v>45295</v>
      </c>
      <c r="G4" s="40">
        <v>4688.68</v>
      </c>
      <c r="H4" s="46">
        <f t="shared" si="0"/>
        <v>-3.4284062480738342E-3</v>
      </c>
      <c r="I4" s="19">
        <f>$B$5*Data!F4/Data!F3</f>
        <v>199964097.20363835</v>
      </c>
      <c r="J4" s="19">
        <f>$B$6*Data!I4/Data!I3</f>
        <v>200878637.72539142</v>
      </c>
      <c r="K4" s="19">
        <f>$B$7*Data!L4/Data!L3</f>
        <v>200438147.58476371</v>
      </c>
      <c r="L4" s="19">
        <f>$B$8*Data!O4/Data!O3</f>
        <v>200695417.28491315</v>
      </c>
      <c r="M4" s="19">
        <f>$B$9*Data!R4/Data!R3</f>
        <v>201733604.21473518</v>
      </c>
      <c r="N4" s="19">
        <f t="shared" ref="N4:N67" si="1">SUM(I4:M4)</f>
        <v>1003709904.0134418</v>
      </c>
      <c r="O4">
        <f t="shared" ref="O4:O67" si="2">$N4/$N3-1</f>
        <v>1.0651156941290596E-2</v>
      </c>
    </row>
    <row r="5" spans="1:19" x14ac:dyDescent="0.3">
      <c r="A5" s="7" t="s">
        <v>30</v>
      </c>
      <c r="B5" s="19">
        <v>200000000</v>
      </c>
      <c r="C5" s="19">
        <f>Data!F2</f>
        <v>2148.1095259420381</v>
      </c>
      <c r="D5" s="25"/>
      <c r="F5" s="3">
        <v>45296</v>
      </c>
      <c r="G5" s="40">
        <v>4697.24</v>
      </c>
      <c r="H5" s="46">
        <f>$G5/$G4-1</f>
        <v>1.8256737503945519E-3</v>
      </c>
      <c r="I5" s="19">
        <f>$B$5*Data!F5/Data!F4</f>
        <v>198591704.29241735</v>
      </c>
      <c r="J5" s="19">
        <f>$B$6*Data!I5/Data!I4</f>
        <v>197825109.72260869</v>
      </c>
      <c r="K5" s="19">
        <f>$B$7*Data!L5/Data!L4</f>
        <v>196495938.44078878</v>
      </c>
      <c r="L5" s="19">
        <f>$B$8*Data!O5/Data!O4</f>
        <v>198425441.34543654</v>
      </c>
      <c r="M5" s="19">
        <f>$B$9*Data!R5/Data!R4</f>
        <v>199971928.5734103</v>
      </c>
      <c r="N5" s="19">
        <f t="shared" si="1"/>
        <v>991310122.37466168</v>
      </c>
      <c r="O5">
        <f t="shared" si="2"/>
        <v>-1.2353949671312647E-2</v>
      </c>
      <c r="R5" s="12" t="str">
        <f>"Y"&amp;" = "&amp; $O$1</f>
        <v>Y = Portfolio HPR</v>
      </c>
    </row>
    <row r="6" spans="1:19" x14ac:dyDescent="0.3">
      <c r="A6" s="7" t="s">
        <v>46</v>
      </c>
      <c r="B6" s="19">
        <v>200000000</v>
      </c>
      <c r="C6" s="19">
        <f>Data!I2</f>
        <v>1380.5693813575588</v>
      </c>
      <c r="D6" s="25"/>
      <c r="F6" s="3">
        <v>45299</v>
      </c>
      <c r="G6" s="40">
        <v>4763.54</v>
      </c>
      <c r="H6" s="46">
        <f t="shared" ref="H6:H69" si="3">$G6/$G5-1</f>
        <v>1.4114671594383177E-2</v>
      </c>
      <c r="I6" s="19">
        <f>$B$5*Data!F6/Data!F5</f>
        <v>196357957.54961821</v>
      </c>
      <c r="J6" s="19">
        <f>$B$6*Data!I6/Data!I5</f>
        <v>195444155.52563411</v>
      </c>
      <c r="K6" s="19">
        <f>$B$7*Data!L6/Data!L5</f>
        <v>194127378.99315116</v>
      </c>
      <c r="L6" s="19">
        <f>$B$8*Data!O6/Data!O5</f>
        <v>195617597.90671581</v>
      </c>
      <c r="M6" s="19">
        <f>$B$9*Data!R6/Data!R5</f>
        <v>196076642.40883687</v>
      </c>
      <c r="N6" s="19">
        <f t="shared" si="1"/>
        <v>977623732.38395619</v>
      </c>
      <c r="O6">
        <f t="shared" si="2"/>
        <v>-1.380636561837989E-2</v>
      </c>
      <c r="R6" s="12" t="str">
        <f>"X"&amp;" = "&amp; $H$1</f>
        <v>X = S&amp;P500 HPR</v>
      </c>
    </row>
    <row r="7" spans="1:19" x14ac:dyDescent="0.3">
      <c r="A7" s="7" t="s">
        <v>47</v>
      </c>
      <c r="B7" s="19">
        <v>200000000</v>
      </c>
      <c r="C7" s="19">
        <f>Data!L2</f>
        <v>475.30804171198258</v>
      </c>
      <c r="D7" s="25"/>
      <c r="F7" s="3">
        <v>45300</v>
      </c>
      <c r="G7" s="40">
        <v>4756.5</v>
      </c>
      <c r="H7" s="46">
        <f t="shared" si="3"/>
        <v>-1.4778924917183689E-3</v>
      </c>
      <c r="I7" s="19">
        <f>$B$5*Data!F7/Data!F6</f>
        <v>199340654.8564077</v>
      </c>
      <c r="J7" s="19">
        <f>$B$6*Data!I7/Data!I6</f>
        <v>198455138.97091347</v>
      </c>
      <c r="K7" s="19">
        <f>$B$7*Data!L7/Data!L6</f>
        <v>198030484.0449641</v>
      </c>
      <c r="L7" s="19">
        <f>$B$8*Data!O7/Data!O6</f>
        <v>198632503.53823</v>
      </c>
      <c r="M7" s="19">
        <f>$B$9*Data!R7/Data!R6</f>
        <v>199613198.13906115</v>
      </c>
      <c r="N7" s="19">
        <f t="shared" si="1"/>
        <v>994071979.54957652</v>
      </c>
      <c r="O7">
        <f t="shared" si="2"/>
        <v>1.6824721639593365E-2</v>
      </c>
    </row>
    <row r="8" spans="1:19" x14ac:dyDescent="0.3">
      <c r="A8" s="7" t="s">
        <v>41</v>
      </c>
      <c r="B8" s="19">
        <v>200000000</v>
      </c>
      <c r="C8" s="19">
        <f>Data!O2</f>
        <v>725.80513082976131</v>
      </c>
      <c r="D8" s="25"/>
      <c r="F8" s="3">
        <v>45301</v>
      </c>
      <c r="G8" s="40">
        <v>4783.45</v>
      </c>
      <c r="H8" s="46">
        <f t="shared" si="3"/>
        <v>5.6659308314936929E-3</v>
      </c>
      <c r="I8" s="19">
        <f>$B$5*Data!F8/Data!F7</f>
        <v>198767887.58785337</v>
      </c>
      <c r="J8" s="19">
        <f>$B$6*Data!I8/Data!I7</f>
        <v>199397719.60355556</v>
      </c>
      <c r="K8" s="19">
        <f>$B$7*Data!L8/Data!L7</f>
        <v>198391043.95412949</v>
      </c>
      <c r="L8" s="19">
        <f>$B$8*Data!O8/Data!O7</f>
        <v>198866470.16288963</v>
      </c>
      <c r="M8" s="19">
        <f>$B$9*Data!R8/Data!R7</f>
        <v>199422472.02338409</v>
      </c>
      <c r="N8" s="19">
        <f t="shared" si="1"/>
        <v>994845593.33181214</v>
      </c>
      <c r="O8">
        <f t="shared" si="2"/>
        <v>7.7822712856878695E-4</v>
      </c>
      <c r="R8" s="12" t="s">
        <v>52</v>
      </c>
    </row>
    <row r="9" spans="1:19" ht="15" thickBot="1" x14ac:dyDescent="0.35">
      <c r="A9" s="7" t="s">
        <v>44</v>
      </c>
      <c r="B9" s="19">
        <v>200000000</v>
      </c>
      <c r="C9" s="19">
        <f>Data!R2</f>
        <v>420.53483462350459</v>
      </c>
      <c r="D9" s="25"/>
      <c r="F9" s="3">
        <v>45302</v>
      </c>
      <c r="G9" s="40">
        <v>4780.24</v>
      </c>
      <c r="H9" s="46">
        <f t="shared" si="3"/>
        <v>-6.7106377196379796E-4</v>
      </c>
      <c r="I9" s="19">
        <f>$B$5*Data!F9/Data!F8</f>
        <v>202585486.77065507</v>
      </c>
      <c r="J9" s="19">
        <f>$B$6*Data!I9/Data!I8</f>
        <v>203134274.48015112</v>
      </c>
      <c r="K9" s="19">
        <f>$B$7*Data!L9/Data!L8</f>
        <v>204406800.04911202</v>
      </c>
      <c r="L9" s="19">
        <f>$B$8*Data!O9/Data!O8</f>
        <v>202743825.65551114</v>
      </c>
      <c r="M9" s="19">
        <f>$B$9*Data!R9/Data!R8</f>
        <v>200784003.56812009</v>
      </c>
      <c r="N9" s="19">
        <f t="shared" si="1"/>
        <v>1013654390.5235494</v>
      </c>
      <c r="O9">
        <f t="shared" si="2"/>
        <v>1.8906247680853916E-2</v>
      </c>
    </row>
    <row r="10" spans="1:19" x14ac:dyDescent="0.3">
      <c r="B10" s="20">
        <f>SUM(B5:B9)</f>
        <v>1000000000</v>
      </c>
      <c r="F10" s="3">
        <v>45303</v>
      </c>
      <c r="G10" s="40">
        <v>4783.83</v>
      </c>
      <c r="H10" s="46">
        <f t="shared" si="3"/>
        <v>7.5100831757413111E-4</v>
      </c>
      <c r="I10" s="19">
        <f>$B$5*Data!F10/Data!F9</f>
        <v>199203323.36954698</v>
      </c>
      <c r="J10" s="19">
        <f>$B$6*Data!I10/Data!I9</f>
        <v>199268508.68953675</v>
      </c>
      <c r="K10" s="19">
        <f>$B$7*Data!L10/Data!L9</f>
        <v>198060101.71963716</v>
      </c>
      <c r="L10" s="19">
        <f>$B$8*Data!O10/Data!O9</f>
        <v>199451693.32482684</v>
      </c>
      <c r="M10" s="19">
        <f>$B$9*Data!R10/Data!R9</f>
        <v>200741324.50634119</v>
      </c>
      <c r="N10" s="19">
        <f t="shared" si="1"/>
        <v>996724951.60988891</v>
      </c>
      <c r="O10">
        <f t="shared" si="2"/>
        <v>-1.6701391590595804E-2</v>
      </c>
      <c r="R10" s="47" t="s">
        <v>53</v>
      </c>
      <c r="S10" s="47"/>
    </row>
    <row r="11" spans="1:19" x14ac:dyDescent="0.3">
      <c r="F11" s="3">
        <v>45307</v>
      </c>
      <c r="G11" s="40">
        <v>4765.9799999999996</v>
      </c>
      <c r="H11" s="46">
        <f t="shared" si="3"/>
        <v>-3.7313198838587747E-3</v>
      </c>
      <c r="I11" s="19">
        <f>$B$5*Data!F11/Data!F10</f>
        <v>195215709.61912096</v>
      </c>
      <c r="J11" s="19">
        <f>$B$6*Data!I11/Data!I10</f>
        <v>194795145.89279073</v>
      </c>
      <c r="K11" s="19">
        <f>$B$7*Data!L11/Data!L10</f>
        <v>191540901.6858083</v>
      </c>
      <c r="L11" s="19">
        <f>$B$8*Data!O11/Data!O10</f>
        <v>194819879.94496006</v>
      </c>
      <c r="M11" s="19">
        <f>$B$9*Data!R11/Data!R10</f>
        <v>196836927.37278339</v>
      </c>
      <c r="N11" s="19">
        <f t="shared" si="1"/>
        <v>973208564.51546359</v>
      </c>
      <c r="O11">
        <f t="shared" si="2"/>
        <v>-2.3593657464320628E-2</v>
      </c>
      <c r="R11" s="12" t="s">
        <v>54</v>
      </c>
      <c r="S11" s="12">
        <v>0.1145643602228254</v>
      </c>
    </row>
    <row r="12" spans="1:19" x14ac:dyDescent="0.3">
      <c r="A12" s="7"/>
      <c r="F12" s="3">
        <v>45308</v>
      </c>
      <c r="G12" s="40">
        <v>4739.21</v>
      </c>
      <c r="H12" s="46">
        <f t="shared" si="3"/>
        <v>-5.6168930629166836E-3</v>
      </c>
      <c r="I12" s="19">
        <f>$B$5*Data!F12/Data!F11</f>
        <v>192698142.81113398</v>
      </c>
      <c r="J12" s="19">
        <f>$B$6*Data!I12/Data!I11</f>
        <v>192064378.45928958</v>
      </c>
      <c r="K12" s="19">
        <f>$B$7*Data!L12/Data!L11</f>
        <v>190143520.88108903</v>
      </c>
      <c r="L12" s="19">
        <f>$B$8*Data!O12/Data!O11</f>
        <v>192244546.80063465</v>
      </c>
      <c r="M12" s="19">
        <f>$B$9*Data!R12/Data!R11</f>
        <v>192450190.79428136</v>
      </c>
      <c r="N12" s="19">
        <f t="shared" si="1"/>
        <v>959600779.74642861</v>
      </c>
      <c r="O12">
        <f t="shared" si="2"/>
        <v>-1.3982393153116113E-2</v>
      </c>
      <c r="R12" s="12" t="s">
        <v>55</v>
      </c>
      <c r="S12" s="12">
        <v>1.31249926332653E-2</v>
      </c>
    </row>
    <row r="13" spans="1:19" x14ac:dyDescent="0.3">
      <c r="A13" s="7"/>
      <c r="B13" s="31"/>
      <c r="F13" s="3">
        <v>45309</v>
      </c>
      <c r="G13" s="40">
        <v>4780.9399999999996</v>
      </c>
      <c r="H13" s="46">
        <f t="shared" si="3"/>
        <v>8.8052650125229892E-3</v>
      </c>
      <c r="I13" s="19">
        <f>$B$5*Data!F13/Data!F12</f>
        <v>201509253.99329683</v>
      </c>
      <c r="J13" s="19">
        <f>$B$6*Data!I13/Data!I12</f>
        <v>201789345.14807037</v>
      </c>
      <c r="K13" s="19">
        <f>$B$7*Data!L13/Data!L12</f>
        <v>201022862.11129293</v>
      </c>
      <c r="L13" s="19">
        <f>$B$8*Data!O13/Data!O12</f>
        <v>201533748.0746555</v>
      </c>
      <c r="M13" s="19">
        <f>$B$9*Data!R13/Data!R12</f>
        <v>201671251.85487932</v>
      </c>
      <c r="N13" s="19">
        <f t="shared" si="1"/>
        <v>1007526461.1821949</v>
      </c>
      <c r="O13">
        <f t="shared" si="2"/>
        <v>4.9943353993970874E-2</v>
      </c>
      <c r="R13" s="12" t="s">
        <v>56</v>
      </c>
      <c r="S13" s="12">
        <v>9.9720373381639114E-3</v>
      </c>
    </row>
    <row r="14" spans="1:19" x14ac:dyDescent="0.3">
      <c r="A14" s="7"/>
      <c r="B14" s="30"/>
      <c r="F14" s="3">
        <v>45310</v>
      </c>
      <c r="G14" s="40">
        <v>4839.8100000000004</v>
      </c>
      <c r="H14" s="46">
        <f t="shared" si="3"/>
        <v>1.2313478102632613E-2</v>
      </c>
      <c r="I14" s="19">
        <f>$B$5*Data!F14/Data!F13</f>
        <v>199004173.71615541</v>
      </c>
      <c r="J14" s="19">
        <f>$B$6*Data!I14/Data!I13</f>
        <v>198361277.7275601</v>
      </c>
      <c r="K14" s="19">
        <f>$B$7*Data!L14/Data!L13</f>
        <v>197176471.1606209</v>
      </c>
      <c r="L14" s="19">
        <f>$B$8*Data!O14/Data!O13</f>
        <v>198350919.30607668</v>
      </c>
      <c r="M14" s="19">
        <f>$B$9*Data!R14/Data!R13</f>
        <v>198611927.32617912</v>
      </c>
      <c r="N14" s="19">
        <f t="shared" si="1"/>
        <v>991504769.23659217</v>
      </c>
      <c r="O14">
        <f t="shared" si="2"/>
        <v>-1.5902006113867717E-2</v>
      </c>
      <c r="R14" s="12" t="s">
        <v>57</v>
      </c>
      <c r="S14" s="12">
        <v>2.5021647030699465E-2</v>
      </c>
    </row>
    <row r="15" spans="1:19" ht="15" thickBot="1" x14ac:dyDescent="0.35">
      <c r="A15" s="7"/>
      <c r="B15" s="30"/>
      <c r="F15" s="3">
        <v>45313</v>
      </c>
      <c r="G15" s="40">
        <v>4850.43</v>
      </c>
      <c r="H15" s="46">
        <f t="shared" si="3"/>
        <v>2.194301015948863E-3</v>
      </c>
      <c r="I15" s="19">
        <f>$B$5*Data!F15/Data!F14</f>
        <v>195457463.98715594</v>
      </c>
      <c r="J15" s="19">
        <f>$B$6*Data!I15/Data!I14</f>
        <v>195198752.04120964</v>
      </c>
      <c r="K15" s="19">
        <f>$B$7*Data!L15/Data!L14</f>
        <v>193962220.84470883</v>
      </c>
      <c r="L15" s="19">
        <f>$B$8*Data!O15/Data!O14</f>
        <v>195110274.4091647</v>
      </c>
      <c r="M15" s="19">
        <f>$B$9*Data!R15/Data!R14</f>
        <v>192040810.89216214</v>
      </c>
      <c r="N15" s="19">
        <f t="shared" si="1"/>
        <v>971769522.17440128</v>
      </c>
      <c r="O15">
        <f t="shared" si="2"/>
        <v>-1.9904339015319183E-2</v>
      </c>
      <c r="R15" s="48" t="s">
        <v>58</v>
      </c>
      <c r="S15" s="48">
        <v>315</v>
      </c>
    </row>
    <row r="16" spans="1:19" x14ac:dyDescent="0.3">
      <c r="A16" s="7"/>
      <c r="B16" s="30"/>
      <c r="F16" s="3">
        <v>45314</v>
      </c>
      <c r="G16" s="40">
        <v>4864.6000000000004</v>
      </c>
      <c r="H16" s="46">
        <f t="shared" si="3"/>
        <v>2.9213904746590025E-3</v>
      </c>
      <c r="I16" s="19">
        <f>$B$5*Data!F16/Data!F15</f>
        <v>205138088.37575492</v>
      </c>
      <c r="J16" s="19">
        <f>$B$6*Data!I16/Data!I15</f>
        <v>205926743.16817829</v>
      </c>
      <c r="K16" s="19">
        <f>$B$7*Data!L16/Data!L15</f>
        <v>207287802.381874</v>
      </c>
      <c r="L16" s="19">
        <f>$B$8*Data!O16/Data!O15</f>
        <v>205444030.13115481</v>
      </c>
      <c r="M16" s="19">
        <f>$B$9*Data!R16/Data!R15</f>
        <v>204283151.45476651</v>
      </c>
      <c r="N16" s="19">
        <f t="shared" si="1"/>
        <v>1028079815.5117285</v>
      </c>
      <c r="O16">
        <f t="shared" si="2"/>
        <v>5.7946140573877036E-2</v>
      </c>
    </row>
    <row r="17" spans="1:26" ht="15" thickBot="1" x14ac:dyDescent="0.35">
      <c r="A17" s="7"/>
      <c r="B17" s="30"/>
      <c r="F17" s="3">
        <v>45315</v>
      </c>
      <c r="G17" s="40">
        <v>4868.55</v>
      </c>
      <c r="H17" s="46">
        <f t="shared" si="3"/>
        <v>8.1198865271558951E-4</v>
      </c>
      <c r="I17" s="19">
        <f>$B$5*Data!F17/Data!F16</f>
        <v>207221998.26364964</v>
      </c>
      <c r="J17" s="19">
        <f>$B$6*Data!I17/Data!I16</f>
        <v>209057276.77847305</v>
      </c>
      <c r="K17" s="19">
        <f>$B$7*Data!L17/Data!L16</f>
        <v>208584557.41043812</v>
      </c>
      <c r="L17" s="19">
        <f>$B$8*Data!O17/Data!O16</f>
        <v>208364085.31104749</v>
      </c>
      <c r="M17" s="19">
        <f>$B$9*Data!R17/Data!R16</f>
        <v>208316304.92376176</v>
      </c>
      <c r="N17" s="19">
        <f t="shared" si="1"/>
        <v>1041544222.6873702</v>
      </c>
      <c r="O17">
        <f t="shared" si="2"/>
        <v>1.3096655505234089E-2</v>
      </c>
      <c r="R17" s="12" t="s">
        <v>59</v>
      </c>
    </row>
    <row r="18" spans="1:26" x14ac:dyDescent="0.3">
      <c r="A18" s="7"/>
      <c r="B18" s="30"/>
      <c r="C18" s="19"/>
      <c r="F18" s="3">
        <v>45316</v>
      </c>
      <c r="G18" s="40">
        <v>4894.16</v>
      </c>
      <c r="H18" s="46">
        <f t="shared" si="3"/>
        <v>5.2602931057501578E-3</v>
      </c>
      <c r="I18" s="19">
        <f>$B$5*Data!F18/Data!F17</f>
        <v>203928301.02022004</v>
      </c>
      <c r="J18" s="19">
        <f>$B$6*Data!I18/Data!I17</f>
        <v>204284529.78128201</v>
      </c>
      <c r="K18" s="19">
        <f>$B$7*Data!L18/Data!L17</f>
        <v>201802554.53476521</v>
      </c>
      <c r="L18" s="19">
        <f>$B$8*Data!O18/Data!O17</f>
        <v>204323888.39342597</v>
      </c>
      <c r="M18" s="19">
        <f>$B$9*Data!R18/Data!R17</f>
        <v>207318914.18279141</v>
      </c>
      <c r="N18" s="19">
        <f t="shared" si="1"/>
        <v>1021658187.9124846</v>
      </c>
      <c r="O18">
        <f t="shared" si="2"/>
        <v>-1.9092837674790197E-2</v>
      </c>
      <c r="R18" s="49"/>
      <c r="S18" s="49" t="s">
        <v>64</v>
      </c>
      <c r="T18" s="49" t="s">
        <v>65</v>
      </c>
      <c r="U18" s="49" t="s">
        <v>66</v>
      </c>
      <c r="V18" s="49" t="s">
        <v>67</v>
      </c>
      <c r="W18" s="49" t="s">
        <v>68</v>
      </c>
    </row>
    <row r="19" spans="1:26" x14ac:dyDescent="0.3">
      <c r="A19" s="7"/>
      <c r="B19" s="30"/>
      <c r="F19" s="3">
        <v>45317</v>
      </c>
      <c r="G19" s="40">
        <v>4890.97</v>
      </c>
      <c r="H19" s="46">
        <f t="shared" si="3"/>
        <v>-6.517972440622799E-4</v>
      </c>
      <c r="I19" s="19">
        <f>$B$5*Data!F19/Data!F18</f>
        <v>196876410.31334206</v>
      </c>
      <c r="J19" s="19">
        <f>$B$6*Data!I19/Data!I18</f>
        <v>195240007.34683123</v>
      </c>
      <c r="K19" s="19">
        <f>$B$7*Data!L19/Data!L18</f>
        <v>192575859.95426139</v>
      </c>
      <c r="L19" s="19">
        <f>$B$8*Data!O19/Data!O18</f>
        <v>196113343.74925786</v>
      </c>
      <c r="M19" s="19">
        <f>$B$9*Data!R19/Data!R18</f>
        <v>198598566.93744954</v>
      </c>
      <c r="N19" s="19">
        <f t="shared" si="1"/>
        <v>979404188.3011421</v>
      </c>
      <c r="O19">
        <f t="shared" si="2"/>
        <v>-4.1358254758060098E-2</v>
      </c>
      <c r="R19" s="12" t="s">
        <v>60</v>
      </c>
      <c r="S19" s="12">
        <v>1</v>
      </c>
      <c r="T19" s="12">
        <v>2.6062318152029751E-3</v>
      </c>
      <c r="U19" s="12">
        <v>2.6062318152029751E-3</v>
      </c>
      <c r="V19" s="12">
        <v>4.162758873764254</v>
      </c>
      <c r="W19" s="12">
        <v>4.2161052733333468E-2</v>
      </c>
    </row>
    <row r="20" spans="1:26" x14ac:dyDescent="0.3">
      <c r="F20" s="3">
        <v>45320</v>
      </c>
      <c r="G20" s="40">
        <v>4927.93</v>
      </c>
      <c r="H20" s="46">
        <f t="shared" si="3"/>
        <v>7.5567832147815928E-3</v>
      </c>
      <c r="I20" s="19">
        <f>$B$5*Data!F20/Data!F19</f>
        <v>201587941.96934563</v>
      </c>
      <c r="J20" s="19">
        <f>$B$6*Data!I20/Data!I19</f>
        <v>201967216.3435989</v>
      </c>
      <c r="K20" s="19">
        <f>$B$7*Data!L20/Data!L19</f>
        <v>201093868.2646673</v>
      </c>
      <c r="L20" s="19">
        <f>$B$8*Data!O20/Data!O19</f>
        <v>201837372.82127139</v>
      </c>
      <c r="M20" s="19">
        <f>$B$9*Data!R20/Data!R19</f>
        <v>202994226.12803733</v>
      </c>
      <c r="N20" s="19">
        <f t="shared" si="1"/>
        <v>1009480625.5269206</v>
      </c>
      <c r="O20">
        <f t="shared" si="2"/>
        <v>3.0708912198903926E-2</v>
      </c>
      <c r="R20" s="12" t="s">
        <v>61</v>
      </c>
      <c r="S20" s="12">
        <v>313</v>
      </c>
      <c r="T20" s="12">
        <v>0.19596392270034924</v>
      </c>
      <c r="U20" s="12">
        <v>6.2608282012891132E-4</v>
      </c>
    </row>
    <row r="21" spans="1:26" ht="15" thickBot="1" x14ac:dyDescent="0.35">
      <c r="F21" s="3">
        <v>45321</v>
      </c>
      <c r="G21" s="40">
        <v>4924.97</v>
      </c>
      <c r="H21" s="46">
        <f t="shared" si="3"/>
        <v>-6.0065788272156695E-4</v>
      </c>
      <c r="I21" s="19">
        <f>$B$5*Data!F21/Data!F20</f>
        <v>195247620.99856097</v>
      </c>
      <c r="J21" s="19">
        <f>$B$6*Data!I21/Data!I20</f>
        <v>194714304.79453191</v>
      </c>
      <c r="K21" s="19">
        <f>$B$7*Data!L21/Data!L20</f>
        <v>193360872.94320479</v>
      </c>
      <c r="L21" s="19">
        <f>$B$8*Data!O21/Data!O20</f>
        <v>194959199.96455249</v>
      </c>
      <c r="M21" s="19">
        <f>$B$9*Data!R21/Data!R20</f>
        <v>195175564.53535554</v>
      </c>
      <c r="N21" s="19">
        <f t="shared" si="1"/>
        <v>973457563.2362057</v>
      </c>
      <c r="O21">
        <f t="shared" si="2"/>
        <v>-3.568474855266468E-2</v>
      </c>
      <c r="R21" s="48" t="s">
        <v>62</v>
      </c>
      <c r="S21" s="48">
        <v>314</v>
      </c>
      <c r="T21" s="48">
        <v>0.19857015451555221</v>
      </c>
      <c r="U21" s="48"/>
      <c r="V21" s="48"/>
      <c r="W21" s="48"/>
    </row>
    <row r="22" spans="1:26" ht="15" thickBot="1" x14ac:dyDescent="0.35">
      <c r="C22" s="21"/>
      <c r="F22" s="3">
        <v>45322</v>
      </c>
      <c r="G22" s="40">
        <v>4845.6499999999996</v>
      </c>
      <c r="H22" s="46">
        <f t="shared" si="3"/>
        <v>-1.6105681862021659E-2</v>
      </c>
      <c r="I22" s="19">
        <f>$B$5*Data!F22/Data!F21</f>
        <v>197211132.47897357</v>
      </c>
      <c r="J22" s="19">
        <f>$B$6*Data!I22/Data!I21</f>
        <v>196972935.33346063</v>
      </c>
      <c r="K22" s="19">
        <f>$B$7*Data!L22/Data!L21</f>
        <v>193985850.22801414</v>
      </c>
      <c r="L22" s="19">
        <f>$B$8*Data!O22/Data!O21</f>
        <v>196909058.10128269</v>
      </c>
      <c r="M22" s="19">
        <f>$B$9*Data!R22/Data!R21</f>
        <v>198364376.89278233</v>
      </c>
      <c r="N22" s="19">
        <f t="shared" si="1"/>
        <v>983443353.03451335</v>
      </c>
      <c r="O22">
        <f t="shared" si="2"/>
        <v>1.0258063808257223E-2</v>
      </c>
    </row>
    <row r="23" spans="1:26" x14ac:dyDescent="0.3">
      <c r="C23" s="1"/>
      <c r="F23" s="3">
        <v>45323</v>
      </c>
      <c r="G23" s="40">
        <v>4906.1899999999996</v>
      </c>
      <c r="H23" s="46">
        <f t="shared" si="3"/>
        <v>1.2493679898465615E-2</v>
      </c>
      <c r="I23" s="19">
        <f>$B$5*Data!F23/Data!F22</f>
        <v>201006839.94039771</v>
      </c>
      <c r="J23" s="19">
        <f>$B$6*Data!I23/Data!I22</f>
        <v>201602856.26854983</v>
      </c>
      <c r="K23" s="19">
        <f>$B$7*Data!L23/Data!L22</f>
        <v>203960520.56446555</v>
      </c>
      <c r="L23" s="19">
        <f>$B$8*Data!O23/Data!O22</f>
        <v>201092452.21904564</v>
      </c>
      <c r="M23" s="19">
        <f>$B$9*Data!R23/Data!R22</f>
        <v>199215257.74874532</v>
      </c>
      <c r="N23" s="19">
        <f t="shared" si="1"/>
        <v>1006877926.741204</v>
      </c>
      <c r="O23">
        <f t="shared" si="2"/>
        <v>2.3829103765235615E-2</v>
      </c>
      <c r="R23" s="49"/>
      <c r="S23" s="49" t="s">
        <v>69</v>
      </c>
      <c r="T23" s="49" t="s">
        <v>57</v>
      </c>
      <c r="U23" s="49" t="s">
        <v>70</v>
      </c>
      <c r="V23" s="49" t="s">
        <v>71</v>
      </c>
      <c r="W23" s="49" t="s">
        <v>72</v>
      </c>
      <c r="X23" s="49" t="s">
        <v>73</v>
      </c>
      <c r="Y23" s="49" t="s">
        <v>74</v>
      </c>
      <c r="Z23" s="49" t="s">
        <v>75</v>
      </c>
    </row>
    <row r="24" spans="1:26" x14ac:dyDescent="0.3">
      <c r="C24" s="1"/>
      <c r="F24" s="3">
        <v>45324</v>
      </c>
      <c r="G24" s="40">
        <v>4958.6099999999997</v>
      </c>
      <c r="H24" s="46">
        <f t="shared" si="3"/>
        <v>1.0684461873673889E-2</v>
      </c>
      <c r="I24" s="19">
        <f>$B$5*Data!F24/Data!F23</f>
        <v>199567740.873689</v>
      </c>
      <c r="J24" s="19">
        <f>$B$6*Data!I24/Data!I23</f>
        <v>198950298.99292526</v>
      </c>
      <c r="K24" s="19">
        <f>$B$7*Data!L24/Data!L23</f>
        <v>198548924.78524452</v>
      </c>
      <c r="L24" s="19">
        <f>$B$8*Data!O24/Data!O23</f>
        <v>199815307.39102507</v>
      </c>
      <c r="M24" s="19">
        <f>$B$9*Data!R24/Data!R23</f>
        <v>200420902.83597291</v>
      </c>
      <c r="N24" s="19">
        <f t="shared" si="1"/>
        <v>997303174.87885678</v>
      </c>
      <c r="O24">
        <f t="shared" si="2"/>
        <v>-9.5093472684779634E-3</v>
      </c>
      <c r="R24" s="12" t="s">
        <v>63</v>
      </c>
      <c r="S24" s="12">
        <v>1.8439805712535309E-4</v>
      </c>
      <c r="T24" s="12">
        <v>1.4116342571390203E-3</v>
      </c>
      <c r="U24" s="12">
        <v>0.13062736058777386</v>
      </c>
      <c r="V24" s="12">
        <v>0.89615401195036704</v>
      </c>
      <c r="W24" s="12">
        <v>-2.5930940089690237E-3</v>
      </c>
      <c r="X24" s="12">
        <v>2.96189012321973E-3</v>
      </c>
      <c r="Y24" s="12">
        <v>-2.5930940089690237E-3</v>
      </c>
      <c r="Z24" s="12">
        <v>2.96189012321973E-3</v>
      </c>
    </row>
    <row r="25" spans="1:26" ht="15" thickBot="1" x14ac:dyDescent="0.35">
      <c r="C25" s="1"/>
      <c r="F25" s="3">
        <v>45327</v>
      </c>
      <c r="G25" s="40">
        <v>4942.8100000000004</v>
      </c>
      <c r="H25" s="46">
        <f t="shared" si="3"/>
        <v>-3.18637682737688E-3</v>
      </c>
      <c r="I25" s="19">
        <f>$B$5*Data!F25/Data!F24</f>
        <v>199661041.05414793</v>
      </c>
      <c r="J25" s="19">
        <f>$B$6*Data!I25/Data!I24</f>
        <v>200353042.05567887</v>
      </c>
      <c r="K25" s="19">
        <f>$B$7*Data!L25/Data!L24</f>
        <v>199631792.53480148</v>
      </c>
      <c r="L25" s="19">
        <f>$B$8*Data!O25/Data!O24</f>
        <v>199901748.22761112</v>
      </c>
      <c r="M25" s="19">
        <f>$B$9*Data!R25/Data!R24</f>
        <v>198439082.97086295</v>
      </c>
      <c r="N25" s="19">
        <f t="shared" si="1"/>
        <v>997986706.84310234</v>
      </c>
      <c r="O25">
        <f t="shared" si="2"/>
        <v>6.853803150967952E-4</v>
      </c>
      <c r="R25" s="48" t="s">
        <v>76</v>
      </c>
      <c r="S25" s="48">
        <v>0.25543987584687744</v>
      </c>
      <c r="T25" s="48">
        <v>0.12519819476298003</v>
      </c>
      <c r="U25" s="48">
        <v>2.0402840179162767</v>
      </c>
      <c r="V25" s="48">
        <v>4.2161052733325585E-2</v>
      </c>
      <c r="W25" s="48">
        <v>9.1034109411027575E-3</v>
      </c>
      <c r="X25" s="48">
        <v>0.50177634075265209</v>
      </c>
      <c r="Y25" s="48">
        <v>9.1034109411027575E-3</v>
      </c>
      <c r="Z25" s="48">
        <v>0.50177634075265209</v>
      </c>
    </row>
    <row r="26" spans="1:26" x14ac:dyDescent="0.3">
      <c r="A26" s="2"/>
      <c r="B26" s="1"/>
      <c r="C26" s="1"/>
      <c r="F26" s="3">
        <v>45328</v>
      </c>
      <c r="G26" s="40">
        <v>4954.2299999999996</v>
      </c>
      <c r="H26" s="46">
        <f t="shared" si="3"/>
        <v>2.310426660138587E-3</v>
      </c>
      <c r="I26" s="19">
        <f>$B$5*Data!F26/Data!F25</f>
        <v>208059355.02656898</v>
      </c>
      <c r="J26" s="19">
        <f>$B$6*Data!I26/Data!I25</f>
        <v>209947792.78768826</v>
      </c>
      <c r="K26" s="19">
        <f>$B$7*Data!L26/Data!L25</f>
        <v>213465453.00343218</v>
      </c>
      <c r="L26" s="19">
        <f>$B$8*Data!O26/Data!O25</f>
        <v>209804200.67063087</v>
      </c>
      <c r="M26" s="19">
        <f>$B$9*Data!R26/Data!R25</f>
        <v>206750385.98022038</v>
      </c>
      <c r="N26" s="19">
        <f t="shared" si="1"/>
        <v>1048027187.4685407</v>
      </c>
      <c r="O26">
        <f t="shared" si="2"/>
        <v>5.0141430023381561E-2</v>
      </c>
    </row>
    <row r="27" spans="1:26" x14ac:dyDescent="0.3">
      <c r="A27" s="2"/>
      <c r="B27" s="2"/>
      <c r="C27" s="1"/>
      <c r="F27" s="3">
        <v>45329</v>
      </c>
      <c r="G27" s="40">
        <v>4995.0600000000004</v>
      </c>
      <c r="H27" s="46">
        <f t="shared" si="3"/>
        <v>8.2414421615468747E-3</v>
      </c>
      <c r="I27" s="19">
        <f>$B$5*Data!F27/Data!F26</f>
        <v>199407800.76274601</v>
      </c>
      <c r="J27" s="19">
        <f>$B$6*Data!I27/Data!I26</f>
        <v>199075394.54784131</v>
      </c>
      <c r="K27" s="19">
        <f>$B$7*Data!L27/Data!L26</f>
        <v>196812282.75477418</v>
      </c>
      <c r="L27" s="19">
        <f>$B$8*Data!O27/Data!O26</f>
        <v>198180657.03981552</v>
      </c>
      <c r="M27" s="19">
        <f>$B$9*Data!R27/Data!R26</f>
        <v>198657760.12123725</v>
      </c>
      <c r="N27" s="19">
        <f t="shared" si="1"/>
        <v>992133895.22641432</v>
      </c>
      <c r="O27">
        <f t="shared" si="2"/>
        <v>-5.3331910574890617E-2</v>
      </c>
    </row>
    <row r="28" spans="1:26" x14ac:dyDescent="0.3">
      <c r="A28" s="2"/>
      <c r="B28" s="1"/>
      <c r="C28" s="1"/>
      <c r="F28" s="3">
        <v>45330</v>
      </c>
      <c r="G28" s="40">
        <v>4997.91</v>
      </c>
      <c r="H28" s="46">
        <f t="shared" si="3"/>
        <v>5.7056371695218822E-4</v>
      </c>
      <c r="I28" s="19">
        <f>$B$5*Data!F28/Data!F27</f>
        <v>197412202.33876339</v>
      </c>
      <c r="J28" s="19">
        <f>$B$6*Data!I28/Data!I27</f>
        <v>196961209.05467719</v>
      </c>
      <c r="K28" s="19">
        <f>$B$7*Data!L28/Data!L27</f>
        <v>198559505.77364594</v>
      </c>
      <c r="L28" s="19">
        <f>$B$8*Data!O28/Data!O27</f>
        <v>197680019.34403419</v>
      </c>
      <c r="M28" s="19">
        <f>$B$9*Data!R28/Data!R27</f>
        <v>199806563.65681785</v>
      </c>
      <c r="N28" s="19">
        <f t="shared" si="1"/>
        <v>990419500.16793871</v>
      </c>
      <c r="O28">
        <f t="shared" si="2"/>
        <v>-1.7279875899052222E-3</v>
      </c>
      <c r="R28" s="52" t="s">
        <v>84</v>
      </c>
      <c r="S28" s="51">
        <f>S25</f>
        <v>0.25543987584687744</v>
      </c>
      <c r="U28" s="12" t="str">
        <f xml:space="preserve"> "Y = "&amp;S24&amp;" + "&amp;S25&amp;"x"</f>
        <v>Y = 0.000184398057125353 + 0.255439875846877x</v>
      </c>
    </row>
    <row r="29" spans="1:26" x14ac:dyDescent="0.3">
      <c r="A29" s="2"/>
      <c r="B29" s="1"/>
      <c r="C29" s="1"/>
      <c r="F29" s="3">
        <v>45331</v>
      </c>
      <c r="G29" s="40">
        <v>5026.6099999999997</v>
      </c>
      <c r="H29" s="46">
        <f t="shared" si="3"/>
        <v>5.7424003233350618E-3</v>
      </c>
      <c r="I29" s="19">
        <f>$B$5*Data!F29/Data!F28</f>
        <v>198376727.37720171</v>
      </c>
      <c r="J29" s="19">
        <f>$B$6*Data!I29/Data!I28</f>
        <v>197972523.60649413</v>
      </c>
      <c r="K29" s="19">
        <f>$B$7*Data!L29/Data!L28</f>
        <v>197424051.39746067</v>
      </c>
      <c r="L29" s="19">
        <f>$B$8*Data!O29/Data!O28</f>
        <v>198044515.63359416</v>
      </c>
      <c r="M29" s="19">
        <f>$B$9*Data!R29/Data!R28</f>
        <v>197018456.23303306</v>
      </c>
      <c r="N29" s="19">
        <f t="shared" si="1"/>
        <v>988836274.24778378</v>
      </c>
      <c r="O29">
        <f t="shared" si="2"/>
        <v>-1.598540739440657E-3</v>
      </c>
    </row>
    <row r="30" spans="1:26" ht="15" thickBot="1" x14ac:dyDescent="0.35">
      <c r="A30" s="2"/>
      <c r="B30" s="1"/>
      <c r="C30" s="1"/>
      <c r="F30" s="3">
        <v>45336</v>
      </c>
      <c r="G30" s="40">
        <v>5000.62</v>
      </c>
      <c r="H30" s="46">
        <f t="shared" si="3"/>
        <v>-5.1704826911178614E-3</v>
      </c>
      <c r="I30" s="19">
        <f>$B$5*Data!F30/Data!F29</f>
        <v>201725411.08161134</v>
      </c>
      <c r="J30" s="19">
        <f>$B$6*Data!I30/Data!I29</f>
        <v>203147341.0777573</v>
      </c>
      <c r="K30" s="19">
        <f>$B$7*Data!L30/Data!L29</f>
        <v>204557629.03785065</v>
      </c>
      <c r="L30" s="19">
        <f>$B$8*Data!O30/Data!O29</f>
        <v>203035862.26470482</v>
      </c>
      <c r="M30" s="19">
        <f>$B$9*Data!R30/Data!R29</f>
        <v>199575967.65929896</v>
      </c>
      <c r="N30" s="19">
        <f t="shared" si="1"/>
        <v>1012042211.121223</v>
      </c>
      <c r="O30">
        <f t="shared" si="2"/>
        <v>2.3467926367377823E-2</v>
      </c>
    </row>
    <row r="31" spans="1:26" x14ac:dyDescent="0.3">
      <c r="A31" s="2"/>
      <c r="B31" s="1"/>
      <c r="C31" s="1"/>
      <c r="F31" s="3">
        <v>45337</v>
      </c>
      <c r="G31" s="40">
        <v>5029.7299999999996</v>
      </c>
      <c r="H31" s="46">
        <f t="shared" si="3"/>
        <v>5.8212781615079034E-3</v>
      </c>
      <c r="I31" s="19">
        <f>$B$5*Data!F31/Data!F30</f>
        <v>200793569.3767398</v>
      </c>
      <c r="J31" s="19">
        <f>$B$6*Data!I31/Data!I30</f>
        <v>200892612.19914353</v>
      </c>
      <c r="K31" s="19">
        <f>$B$7*Data!L31/Data!L30</f>
        <v>201549567.8170079</v>
      </c>
      <c r="L31" s="19">
        <f>$B$8*Data!O31/Data!O30</f>
        <v>200886276.58618119</v>
      </c>
      <c r="M31" s="19">
        <f>$B$9*Data!R31/Data!R30</f>
        <v>199490361.10959893</v>
      </c>
      <c r="N31" s="19">
        <f t="shared" si="1"/>
        <v>1003612387.0886712</v>
      </c>
      <c r="O31">
        <f t="shared" si="2"/>
        <v>-8.3295182156607472E-3</v>
      </c>
      <c r="R31" s="54" t="s">
        <v>125</v>
      </c>
      <c r="S31" s="54"/>
    </row>
    <row r="32" spans="1:26" x14ac:dyDescent="0.3">
      <c r="A32" s="2"/>
      <c r="B32" s="1"/>
      <c r="C32" s="1"/>
      <c r="F32" s="3">
        <v>45338</v>
      </c>
      <c r="G32" s="40">
        <v>5005.57</v>
      </c>
      <c r="H32" s="46">
        <f t="shared" si="3"/>
        <v>-4.8034387531735723E-3</v>
      </c>
      <c r="I32" s="19">
        <f>$B$5*Data!F32/Data!F31</f>
        <v>204880179.92625788</v>
      </c>
      <c r="J32" s="19">
        <f>$B$6*Data!I32/Data!I31</f>
        <v>205416496.82808673</v>
      </c>
      <c r="K32" s="19">
        <f>$B$7*Data!L32/Data!L31</f>
        <v>207343737.3845692</v>
      </c>
      <c r="L32" s="19">
        <f>$B$8*Data!O32/Data!O31</f>
        <v>205388641.23610389</v>
      </c>
      <c r="M32" s="19">
        <f>$B$9*Data!R32/Data!R31</f>
        <v>206379265.23124191</v>
      </c>
      <c r="N32" s="19">
        <f t="shared" si="1"/>
        <v>1029408320.6062596</v>
      </c>
      <c r="O32">
        <f t="shared" si="2"/>
        <v>2.5703084028704026E-2</v>
      </c>
      <c r="R32"/>
      <c r="S32"/>
    </row>
    <row r="33" spans="6:19" x14ac:dyDescent="0.3">
      <c r="F33" s="3">
        <v>45342</v>
      </c>
      <c r="G33" s="40">
        <v>4975.51</v>
      </c>
      <c r="H33" s="46">
        <f t="shared" si="3"/>
        <v>-6.0053100845657292E-3</v>
      </c>
      <c r="I33" s="19">
        <f>$B$5*Data!F33/Data!F32</f>
        <v>198909103.83105424</v>
      </c>
      <c r="J33" s="19">
        <f>$B$6*Data!I33/Data!I32</f>
        <v>198671243.43129498</v>
      </c>
      <c r="K33" s="19">
        <f>$B$7*Data!L33/Data!L32</f>
        <v>195353369.73949948</v>
      </c>
      <c r="L33" s="19">
        <f>$B$8*Data!O33/Data!O32</f>
        <v>198614793.43408033</v>
      </c>
      <c r="M33" s="19">
        <f>$B$9*Data!R33/Data!R32</f>
        <v>203955096.04440516</v>
      </c>
      <c r="N33" s="19">
        <f t="shared" si="1"/>
        <v>995503606.48033428</v>
      </c>
      <c r="O33">
        <f t="shared" si="2"/>
        <v>-3.2936118202306242E-2</v>
      </c>
      <c r="R33" t="s">
        <v>2</v>
      </c>
      <c r="S33">
        <v>1001134987.4989408</v>
      </c>
    </row>
    <row r="34" spans="6:19" x14ac:dyDescent="0.3">
      <c r="F34" s="3">
        <v>45343</v>
      </c>
      <c r="G34" s="40">
        <v>4981.8</v>
      </c>
      <c r="H34" s="46">
        <f t="shared" si="3"/>
        <v>1.2641920124771833E-3</v>
      </c>
      <c r="I34" s="19">
        <f>$B$5*Data!F34/Data!F33</f>
        <v>203141010.21512741</v>
      </c>
      <c r="J34" s="19">
        <f>$B$6*Data!I34/Data!I33</f>
        <v>204555644.84475803</v>
      </c>
      <c r="K34" s="19">
        <f>$B$7*Data!L34/Data!L33</f>
        <v>205313950.55211738</v>
      </c>
      <c r="L34" s="19">
        <f>$B$8*Data!O34/Data!O33</f>
        <v>204471844.80383596</v>
      </c>
      <c r="M34" s="19">
        <f>$B$9*Data!R34/Data!R33</f>
        <v>202847092.41225824</v>
      </c>
      <c r="N34" s="19">
        <f t="shared" si="1"/>
        <v>1020329542.8280971</v>
      </c>
      <c r="O34">
        <f t="shared" si="2"/>
        <v>2.493806771382423E-2</v>
      </c>
      <c r="R34" t="s">
        <v>57</v>
      </c>
      <c r="S34">
        <v>1026526.9767852463</v>
      </c>
    </row>
    <row r="35" spans="6:19" x14ac:dyDescent="0.3">
      <c r="F35" s="3">
        <v>45344</v>
      </c>
      <c r="G35" s="40">
        <v>5087.03</v>
      </c>
      <c r="H35" s="46">
        <f t="shared" si="3"/>
        <v>2.1122887309807714E-2</v>
      </c>
      <c r="I35" s="19">
        <f>$B$5*Data!F35/Data!F34</f>
        <v>202873004.80469057</v>
      </c>
      <c r="J35" s="19">
        <f>$B$6*Data!I35/Data!I34</f>
        <v>203787969.40752903</v>
      </c>
      <c r="K35" s="19">
        <f>$B$7*Data!L35/Data!L34</f>
        <v>203475347.86233827</v>
      </c>
      <c r="L35" s="19">
        <f>$B$8*Data!O35/Data!O34</f>
        <v>204066186.54249936</v>
      </c>
      <c r="M35" s="19">
        <f>$B$9*Data!R35/Data!R34</f>
        <v>206088228.78046104</v>
      </c>
      <c r="N35" s="19">
        <f t="shared" si="1"/>
        <v>1020290737.3975184</v>
      </c>
      <c r="O35">
        <f t="shared" si="2"/>
        <v>-3.803225227716478E-5</v>
      </c>
      <c r="R35" t="s">
        <v>116</v>
      </c>
      <c r="S35">
        <v>1000079449.1604009</v>
      </c>
    </row>
    <row r="36" spans="6:19" x14ac:dyDescent="0.3">
      <c r="F36" s="3">
        <v>45345</v>
      </c>
      <c r="G36" s="40">
        <v>5088.8</v>
      </c>
      <c r="H36" s="46">
        <f t="shared" si="3"/>
        <v>3.4794369209545373E-4</v>
      </c>
      <c r="I36" s="19">
        <f>$B$5*Data!F36/Data!F35</f>
        <v>199754995.28214312</v>
      </c>
      <c r="J36" s="19">
        <f>$B$6*Data!I36/Data!I35</f>
        <v>200684493.64686158</v>
      </c>
      <c r="K36" s="19">
        <f>$B$7*Data!L36/Data!L35</f>
        <v>199362157.31422529</v>
      </c>
      <c r="L36" s="19">
        <f>$B$8*Data!O36/Data!O35</f>
        <v>200189669.21041653</v>
      </c>
      <c r="M36" s="19">
        <f>$B$9*Data!R36/Data!R35</f>
        <v>200777639.16621745</v>
      </c>
      <c r="N36" s="19">
        <f t="shared" si="1"/>
        <v>1000768954.619864</v>
      </c>
      <c r="O36">
        <f t="shared" si="2"/>
        <v>-1.9133548960220015E-2</v>
      </c>
      <c r="R36" t="s">
        <v>117</v>
      </c>
      <c r="S36" t="e">
        <v>#N/A</v>
      </c>
    </row>
    <row r="37" spans="6:19" x14ac:dyDescent="0.3">
      <c r="F37" s="3">
        <v>45348</v>
      </c>
      <c r="G37" s="40">
        <v>5069.53</v>
      </c>
      <c r="H37" s="46">
        <f t="shared" si="3"/>
        <v>-3.7867473667663187E-3</v>
      </c>
      <c r="I37" s="19">
        <f>$B$5*Data!F37/Data!F36</f>
        <v>198910429.71781418</v>
      </c>
      <c r="J37" s="19">
        <f>$B$6*Data!I37/Data!I36</f>
        <v>198203816.88911065</v>
      </c>
      <c r="K37" s="19">
        <f>$B$7*Data!L37/Data!L36</f>
        <v>199614687.75001177</v>
      </c>
      <c r="L37" s="19">
        <f>$B$8*Data!O37/Data!O36</f>
        <v>198551976.54854211</v>
      </c>
      <c r="M37" s="19">
        <f>$B$9*Data!R37/Data!R36</f>
        <v>199029863.69727197</v>
      </c>
      <c r="N37" s="19">
        <f t="shared" si="1"/>
        <v>994310774.60275066</v>
      </c>
      <c r="O37">
        <f t="shared" si="2"/>
        <v>-6.4532177854842443E-3</v>
      </c>
      <c r="R37" t="s">
        <v>118</v>
      </c>
      <c r="S37">
        <v>18247942.688572951</v>
      </c>
    </row>
    <row r="38" spans="6:19" x14ac:dyDescent="0.3">
      <c r="F38" s="3">
        <v>45349</v>
      </c>
      <c r="G38" s="40">
        <v>5078.18</v>
      </c>
      <c r="H38" s="46">
        <f t="shared" si="3"/>
        <v>1.7062725735916828E-3</v>
      </c>
      <c r="I38" s="19">
        <f>$B$5*Data!F38/Data!F37</f>
        <v>201868573.71032262</v>
      </c>
      <c r="J38" s="19">
        <f>$B$6*Data!I38/Data!I37</f>
        <v>202510818.19279987</v>
      </c>
      <c r="K38" s="19">
        <f>$B$7*Data!L38/Data!L37</f>
        <v>206468393.66595435</v>
      </c>
      <c r="L38" s="19">
        <f>$B$8*Data!O38/Data!O37</f>
        <v>202911483.66124788</v>
      </c>
      <c r="M38" s="19">
        <f>$B$9*Data!R38/Data!R37</f>
        <v>199067245.64344993</v>
      </c>
      <c r="N38" s="19">
        <f t="shared" si="1"/>
        <v>1012826514.8737745</v>
      </c>
      <c r="O38">
        <f t="shared" si="2"/>
        <v>1.8621683224162355E-2</v>
      </c>
      <c r="R38" t="s">
        <v>119</v>
      </c>
      <c r="S38">
        <v>332987412365443</v>
      </c>
    </row>
    <row r="39" spans="6:19" x14ac:dyDescent="0.3">
      <c r="F39" s="3">
        <v>45350</v>
      </c>
      <c r="G39" s="40">
        <v>5069.76</v>
      </c>
      <c r="H39" s="46">
        <f t="shared" si="3"/>
        <v>-1.6580743494716277E-3</v>
      </c>
      <c r="I39" s="19">
        <f>$B$5*Data!F39/Data!F38</f>
        <v>196879509.02114883</v>
      </c>
      <c r="J39" s="19">
        <f>$B$6*Data!I39/Data!I38</f>
        <v>196544298.5999884</v>
      </c>
      <c r="K39" s="19">
        <f>$B$7*Data!L39/Data!L38</f>
        <v>195534134.84573734</v>
      </c>
      <c r="L39" s="19">
        <f>$B$8*Data!O39/Data!O38</f>
        <v>195825606.65326595</v>
      </c>
      <c r="M39" s="19">
        <f>$B$9*Data!R39/Data!R38</f>
        <v>196737641.28497297</v>
      </c>
      <c r="N39" s="19">
        <f t="shared" si="1"/>
        <v>981521190.40511346</v>
      </c>
      <c r="O39">
        <f t="shared" si="2"/>
        <v>-3.0908871370298407E-2</v>
      </c>
      <c r="R39" t="s">
        <v>4</v>
      </c>
      <c r="S39">
        <v>10.877239911512579</v>
      </c>
    </row>
    <row r="40" spans="6:19" x14ac:dyDescent="0.3">
      <c r="F40" s="3">
        <v>45351</v>
      </c>
      <c r="G40" s="40">
        <v>5096.2700000000004</v>
      </c>
      <c r="H40" s="46">
        <f t="shared" si="3"/>
        <v>5.229044372909275E-3</v>
      </c>
      <c r="I40" s="19">
        <f>$B$5*Data!F40/Data!F39</f>
        <v>199669729.63324884</v>
      </c>
      <c r="J40" s="19">
        <f>$B$6*Data!I40/Data!I39</f>
        <v>199392592.71372211</v>
      </c>
      <c r="K40" s="19">
        <f>$B$7*Data!L40/Data!L39</f>
        <v>200250716.436775</v>
      </c>
      <c r="L40" s="19">
        <f>$B$8*Data!O40/Data!O39</f>
        <v>199605069.56468728</v>
      </c>
      <c r="M40" s="19">
        <f>$B$9*Data!R40/Data!R39</f>
        <v>198300908.36515409</v>
      </c>
      <c r="N40" s="19">
        <f t="shared" si="1"/>
        <v>997219016.71358728</v>
      </c>
      <c r="O40">
        <f t="shared" si="2"/>
        <v>1.5993364648596797E-2</v>
      </c>
      <c r="R40" t="s">
        <v>3</v>
      </c>
      <c r="S40">
        <v>-1.2974225841142641</v>
      </c>
    </row>
    <row r="41" spans="6:19" x14ac:dyDescent="0.3">
      <c r="F41" s="3">
        <v>45352</v>
      </c>
      <c r="G41" s="40">
        <v>5137.08</v>
      </c>
      <c r="H41" s="46">
        <f t="shared" si="3"/>
        <v>8.0078174821975878E-3</v>
      </c>
      <c r="I41" s="19">
        <f>$B$5*Data!F41/Data!F40</f>
        <v>200952499.99413508</v>
      </c>
      <c r="J41" s="19">
        <f>$B$6*Data!I41/Data!I40</f>
        <v>201609380.99470755</v>
      </c>
      <c r="K41" s="19">
        <f>$B$7*Data!L41/Data!L40</f>
        <v>203320238.41896361</v>
      </c>
      <c r="L41" s="19">
        <f>$B$8*Data!O41/Data!O40</f>
        <v>201802769.26749066</v>
      </c>
      <c r="M41" s="19">
        <f>$B$9*Data!R41/Data!R40</f>
        <v>199732777.30236828</v>
      </c>
      <c r="N41" s="19">
        <f t="shared" si="1"/>
        <v>1007417665.9776651</v>
      </c>
      <c r="O41">
        <f t="shared" si="2"/>
        <v>1.0227090632194624E-2</v>
      </c>
      <c r="R41" t="s">
        <v>120</v>
      </c>
      <c r="S41">
        <v>198879811.1109184</v>
      </c>
    </row>
    <row r="42" spans="6:19" x14ac:dyDescent="0.3">
      <c r="F42" s="3">
        <v>45355</v>
      </c>
      <c r="G42" s="40">
        <v>5130.95</v>
      </c>
      <c r="H42" s="46">
        <f t="shared" si="3"/>
        <v>-1.1932849011501157E-3</v>
      </c>
      <c r="I42" s="19">
        <f>$B$5*Data!F42/Data!F41</f>
        <v>200175891.33557469</v>
      </c>
      <c r="J42" s="19">
        <f>$B$6*Data!I42/Data!I41</f>
        <v>199332188.93366349</v>
      </c>
      <c r="K42" s="19">
        <f>$B$7*Data!L42/Data!L41</f>
        <v>199330729.81448662</v>
      </c>
      <c r="L42" s="19">
        <f>$B$8*Data!O42/Data!O41</f>
        <v>199537930.47205564</v>
      </c>
      <c r="M42" s="19">
        <f>$B$9*Data!R42/Data!R41</f>
        <v>199239709.04542378</v>
      </c>
      <c r="N42" s="19">
        <f t="shared" si="1"/>
        <v>997616449.60120416</v>
      </c>
      <c r="O42">
        <f t="shared" si="2"/>
        <v>-9.7290495367173824E-3</v>
      </c>
      <c r="R42" t="s">
        <v>121</v>
      </c>
      <c r="S42">
        <v>863500917.17784417</v>
      </c>
    </row>
    <row r="43" spans="6:19" x14ac:dyDescent="0.3">
      <c r="F43" s="3">
        <v>45356</v>
      </c>
      <c r="G43" s="40">
        <v>5078.6499999999996</v>
      </c>
      <c r="H43" s="46">
        <f t="shared" si="3"/>
        <v>-1.0193044173106403E-2</v>
      </c>
      <c r="I43" s="19">
        <f>$B$5*Data!F43/Data!F42</f>
        <v>194795315.29603004</v>
      </c>
      <c r="J43" s="19">
        <f>$B$6*Data!I43/Data!I42</f>
        <v>194197056.99549386</v>
      </c>
      <c r="K43" s="19">
        <f>$B$7*Data!L43/Data!L42</f>
        <v>191332800.89309642</v>
      </c>
      <c r="L43" s="19">
        <f>$B$8*Data!O43/Data!O42</f>
        <v>194762584.84888387</v>
      </c>
      <c r="M43" s="19">
        <f>$B$9*Data!R43/Data!R42</f>
        <v>197427893.17287135</v>
      </c>
      <c r="N43" s="19">
        <f t="shared" si="1"/>
        <v>972515651.2063756</v>
      </c>
      <c r="O43">
        <f t="shared" si="2"/>
        <v>-2.5160770359051843E-2</v>
      </c>
      <c r="R43" t="s">
        <v>122</v>
      </c>
      <c r="S43">
        <v>1062380728.2887626</v>
      </c>
    </row>
    <row r="44" spans="6:19" x14ac:dyDescent="0.3">
      <c r="F44" s="3">
        <v>45357</v>
      </c>
      <c r="G44" s="40">
        <v>5104.76</v>
      </c>
      <c r="H44" s="46">
        <f t="shared" si="3"/>
        <v>5.1411300247115044E-3</v>
      </c>
      <c r="I44" s="19">
        <f>$B$5*Data!F44/Data!F43</f>
        <v>203377284.98780909</v>
      </c>
      <c r="J44" s="19">
        <f>$B$6*Data!I44/Data!I43</f>
        <v>204217889.66262665</v>
      </c>
      <c r="K44" s="19">
        <f>$B$7*Data!L44/Data!L43</f>
        <v>205304428.2426351</v>
      </c>
      <c r="L44" s="19">
        <f>$B$8*Data!O44/Data!O43</f>
        <v>203932243.55685842</v>
      </c>
      <c r="M44" s="19">
        <f>$B$9*Data!R44/Data!R43</f>
        <v>203315213.76080671</v>
      </c>
      <c r="N44" s="19">
        <f t="shared" si="1"/>
        <v>1020147060.2107359</v>
      </c>
      <c r="O44">
        <f t="shared" si="2"/>
        <v>4.8977524367114222E-2</v>
      </c>
      <c r="R44" t="s">
        <v>123</v>
      </c>
      <c r="S44">
        <v>316358656049.66528</v>
      </c>
    </row>
    <row r="45" spans="6:19" ht="15" thickBot="1" x14ac:dyDescent="0.35">
      <c r="F45" s="3">
        <v>45358</v>
      </c>
      <c r="G45" s="40">
        <v>5157.3599999999997</v>
      </c>
      <c r="H45" s="46">
        <f t="shared" si="3"/>
        <v>1.0304108322428451E-2</v>
      </c>
      <c r="I45" s="19">
        <f>$B$5*Data!F45/Data!F44</f>
        <v>197579141.51262474</v>
      </c>
      <c r="J45" s="19">
        <f>$B$6*Data!I45/Data!I44</f>
        <v>197426650.6154238</v>
      </c>
      <c r="K45" s="19">
        <f>$B$7*Data!L45/Data!L44</f>
        <v>196993641.21554223</v>
      </c>
      <c r="L45" s="19">
        <f>$B$8*Data!O45/Data!O44</f>
        <v>198028904.63681626</v>
      </c>
      <c r="M45" s="19">
        <f>$B$9*Data!R45/Data!R44</f>
        <v>199732050.52461362</v>
      </c>
      <c r="N45" s="19">
        <f t="shared" si="1"/>
        <v>989760388.50502062</v>
      </c>
      <c r="O45">
        <f t="shared" si="2"/>
        <v>-2.9786560086188185E-2</v>
      </c>
      <c r="R45" s="53" t="s">
        <v>124</v>
      </c>
      <c r="S45" s="53">
        <v>316</v>
      </c>
    </row>
    <row r="46" spans="6:19" x14ac:dyDescent="0.3">
      <c r="F46" s="3">
        <v>45359</v>
      </c>
      <c r="G46" s="40">
        <v>5123.6899999999996</v>
      </c>
      <c r="H46" s="46">
        <f t="shared" si="3"/>
        <v>-6.5285339786247398E-3</v>
      </c>
      <c r="I46" s="19">
        <f>$B$5*Data!F46/Data!F45</f>
        <v>201533556.93605071</v>
      </c>
      <c r="J46" s="19">
        <f>$B$6*Data!I46/Data!I45</f>
        <v>201282233.1617533</v>
      </c>
      <c r="K46" s="19">
        <f>$B$7*Data!L46/Data!L45</f>
        <v>201572521.3169412</v>
      </c>
      <c r="L46" s="19">
        <f>$B$8*Data!O46/Data!O45</f>
        <v>201538320.01295888</v>
      </c>
      <c r="M46" s="19">
        <f>$B$9*Data!R46/Data!R45</f>
        <v>202155577.43960008</v>
      </c>
      <c r="N46" s="19">
        <f t="shared" si="1"/>
        <v>1008082208.8673042</v>
      </c>
      <c r="O46">
        <f t="shared" si="2"/>
        <v>1.8511369595178184E-2</v>
      </c>
      <c r="S46" s="12">
        <v>1</v>
      </c>
    </row>
    <row r="47" spans="6:19" x14ac:dyDescent="0.3">
      <c r="F47" s="3">
        <v>45362</v>
      </c>
      <c r="G47" s="40">
        <v>5117.9399999999996</v>
      </c>
      <c r="H47" s="46">
        <f t="shared" si="3"/>
        <v>-1.1222380745127269E-3</v>
      </c>
      <c r="I47" s="19">
        <f>$B$5*Data!F47/Data!F46</f>
        <v>202830276.04257467</v>
      </c>
      <c r="J47" s="19">
        <f>$B$6*Data!I47/Data!I46</f>
        <v>203585161.63832098</v>
      </c>
      <c r="K47" s="19">
        <f>$B$7*Data!L47/Data!L46</f>
        <v>205678862.77126259</v>
      </c>
      <c r="L47" s="19">
        <f>$B$8*Data!O47/Data!O46</f>
        <v>203224996.02855045</v>
      </c>
      <c r="M47" s="19">
        <f>$B$9*Data!R47/Data!R46</f>
        <v>199748700.74905777</v>
      </c>
      <c r="N47" s="19">
        <f t="shared" si="1"/>
        <v>1015067997.2297664</v>
      </c>
      <c r="O47">
        <f t="shared" si="2"/>
        <v>6.9297804296253318E-3</v>
      </c>
    </row>
    <row r="48" spans="6:19" x14ac:dyDescent="0.3">
      <c r="F48" s="3">
        <v>45363</v>
      </c>
      <c r="G48" s="40">
        <v>5175.2700000000004</v>
      </c>
      <c r="H48" s="46">
        <f t="shared" si="3"/>
        <v>1.1201772588189884E-2</v>
      </c>
      <c r="I48" s="19">
        <f>$B$5*Data!F48/Data!F47</f>
        <v>206050056.82956824</v>
      </c>
      <c r="J48" s="19">
        <f>$B$6*Data!I48/Data!I47</f>
        <v>206732673.05880272</v>
      </c>
      <c r="K48" s="19">
        <f>$B$7*Data!L48/Data!L47</f>
        <v>209231571.58660999</v>
      </c>
      <c r="L48" s="19">
        <f>$B$8*Data!O48/Data!O47</f>
        <v>206929515.47653601</v>
      </c>
      <c r="M48" s="19">
        <f>$B$9*Data!R48/Data!R47</f>
        <v>206159220.89806575</v>
      </c>
      <c r="N48" s="19">
        <f t="shared" si="1"/>
        <v>1035103037.8495827</v>
      </c>
      <c r="O48">
        <f t="shared" si="2"/>
        <v>1.9737634005302374E-2</v>
      </c>
    </row>
    <row r="49" spans="6:15" x14ac:dyDescent="0.3">
      <c r="F49" s="3">
        <v>45364</v>
      </c>
      <c r="G49" s="40">
        <v>5165.3100000000004</v>
      </c>
      <c r="H49" s="46">
        <f t="shared" si="3"/>
        <v>-1.9245372705192221E-3</v>
      </c>
      <c r="I49" s="19">
        <f>$B$5*Data!F49/Data!F48</f>
        <v>199871842.49362901</v>
      </c>
      <c r="J49" s="19">
        <f>$B$6*Data!I49/Data!I48</f>
        <v>199543464.31520054</v>
      </c>
      <c r="K49" s="19">
        <f>$B$7*Data!L49/Data!L48</f>
        <v>200685169.06642696</v>
      </c>
      <c r="L49" s="19">
        <f>$B$8*Data!O49/Data!O48</f>
        <v>199431606.62774116</v>
      </c>
      <c r="M49" s="19">
        <f>$B$9*Data!R49/Data!R48</f>
        <v>200289545.77417693</v>
      </c>
      <c r="N49" s="19">
        <f t="shared" si="1"/>
        <v>999821628.27717459</v>
      </c>
      <c r="O49">
        <f t="shared" si="2"/>
        <v>-3.4084925154605816E-2</v>
      </c>
    </row>
    <row r="50" spans="6:15" x14ac:dyDescent="0.3">
      <c r="F50" s="3">
        <v>45365</v>
      </c>
      <c r="G50" s="40">
        <v>5150.4799999999996</v>
      </c>
      <c r="H50" s="46">
        <f t="shared" si="3"/>
        <v>-2.871076469757039E-3</v>
      </c>
      <c r="I50" s="19">
        <f>$B$5*Data!F50/Data!F49</f>
        <v>198617679.43437612</v>
      </c>
      <c r="J50" s="19">
        <f>$B$6*Data!I50/Data!I49</f>
        <v>199080101.83331767</v>
      </c>
      <c r="K50" s="19">
        <f>$B$7*Data!L50/Data!L49</f>
        <v>197157606.8721655</v>
      </c>
      <c r="L50" s="19">
        <f>$B$8*Data!O50/Data!O49</f>
        <v>199165629.68346423</v>
      </c>
      <c r="M50" s="19">
        <f>$B$9*Data!R50/Data!R49</f>
        <v>200749335.36109251</v>
      </c>
      <c r="N50" s="19">
        <f t="shared" si="1"/>
        <v>994770353.18441606</v>
      </c>
      <c r="O50">
        <f t="shared" si="2"/>
        <v>-5.052176258141694E-3</v>
      </c>
    </row>
    <row r="51" spans="6:15" x14ac:dyDescent="0.3">
      <c r="F51" s="3">
        <v>45366</v>
      </c>
      <c r="G51" s="40">
        <v>5117.09</v>
      </c>
      <c r="H51" s="46">
        <f t="shared" si="3"/>
        <v>-6.4828909150214109E-3</v>
      </c>
      <c r="I51" s="19">
        <f>$B$5*Data!F51/Data!F50</f>
        <v>197178654.30403715</v>
      </c>
      <c r="J51" s="19">
        <f>$B$6*Data!I51/Data!I50</f>
        <v>196740483.25416651</v>
      </c>
      <c r="K51" s="19">
        <f>$B$7*Data!L51/Data!L50</f>
        <v>197021374.46405494</v>
      </c>
      <c r="L51" s="19">
        <f>$B$8*Data!O51/Data!O50</f>
        <v>197092912.55972549</v>
      </c>
      <c r="M51" s="19">
        <f>$B$9*Data!R51/Data!R50</f>
        <v>198727049.4720363</v>
      </c>
      <c r="N51" s="19">
        <f t="shared" si="1"/>
        <v>986760474.0540204</v>
      </c>
      <c r="O51">
        <f t="shared" si="2"/>
        <v>-8.0519881847652686E-3</v>
      </c>
    </row>
    <row r="52" spans="6:15" x14ac:dyDescent="0.3">
      <c r="F52" s="3">
        <v>45369</v>
      </c>
      <c r="G52" s="40">
        <v>5149.42</v>
      </c>
      <c r="H52" s="46">
        <f t="shared" si="3"/>
        <v>6.3180440445644859E-3</v>
      </c>
      <c r="I52" s="19">
        <f>$B$5*Data!F52/Data!F51</f>
        <v>200253015.07280633</v>
      </c>
      <c r="J52" s="19">
        <f>$B$6*Data!I52/Data!I51</f>
        <v>200748664.5042938</v>
      </c>
      <c r="K52" s="19">
        <f>$B$7*Data!L52/Data!L51</f>
        <v>202559959.41710642</v>
      </c>
      <c r="L52" s="19">
        <f>$B$8*Data!O52/Data!O51</f>
        <v>201009199.21310002</v>
      </c>
      <c r="M52" s="19">
        <f>$B$9*Data!R52/Data!R51</f>
        <v>201178049.32778257</v>
      </c>
      <c r="N52" s="19">
        <f t="shared" si="1"/>
        <v>1005748887.5350893</v>
      </c>
      <c r="O52">
        <f t="shared" si="2"/>
        <v>1.9243184116461975E-2</v>
      </c>
    </row>
    <row r="53" spans="6:15" x14ac:dyDescent="0.3">
      <c r="F53" s="3">
        <v>45370</v>
      </c>
      <c r="G53" s="40">
        <v>5178.51</v>
      </c>
      <c r="H53" s="46">
        <f t="shared" si="3"/>
        <v>5.6491799076401339E-3</v>
      </c>
      <c r="I53" s="19">
        <f>$B$5*Data!F53/Data!F52</f>
        <v>197422864.2932927</v>
      </c>
      <c r="J53" s="19">
        <f>$B$6*Data!I53/Data!I52</f>
        <v>197142709.273752</v>
      </c>
      <c r="K53" s="19">
        <f>$B$7*Data!L53/Data!L52</f>
        <v>196245975.80187607</v>
      </c>
      <c r="L53" s="19">
        <f>$B$8*Data!O53/Data!O52</f>
        <v>197580509.37244913</v>
      </c>
      <c r="M53" s="19">
        <f>$B$9*Data!R53/Data!R52</f>
        <v>197192609.9397718</v>
      </c>
      <c r="N53" s="19">
        <f t="shared" si="1"/>
        <v>985584668.68114173</v>
      </c>
      <c r="O53">
        <f t="shared" si="2"/>
        <v>-2.0048959639782815E-2</v>
      </c>
    </row>
    <row r="54" spans="6:15" x14ac:dyDescent="0.3">
      <c r="F54" s="3">
        <v>45371</v>
      </c>
      <c r="G54" s="40">
        <v>5224.62</v>
      </c>
      <c r="H54" s="46">
        <f t="shared" si="3"/>
        <v>8.9041056211149883E-3</v>
      </c>
      <c r="I54" s="19">
        <f>$B$5*Data!F54/Data!F53</f>
        <v>200169550.9475354</v>
      </c>
      <c r="J54" s="19">
        <f>$B$6*Data!I54/Data!I53</f>
        <v>200398148.61507887</v>
      </c>
      <c r="K54" s="19">
        <f>$B$7*Data!L54/Data!L53</f>
        <v>201305993.62588897</v>
      </c>
      <c r="L54" s="19">
        <f>$B$8*Data!O54/Data!O53</f>
        <v>200827941.77067003</v>
      </c>
      <c r="M54" s="19">
        <f>$B$9*Data!R54/Data!R53</f>
        <v>199777567.02709952</v>
      </c>
      <c r="N54" s="19">
        <f t="shared" si="1"/>
        <v>1002479201.9862728</v>
      </c>
      <c r="O54">
        <f t="shared" si="2"/>
        <v>1.7141635662554E-2</v>
      </c>
    </row>
    <row r="55" spans="6:15" x14ac:dyDescent="0.3">
      <c r="F55" s="3">
        <v>45372</v>
      </c>
      <c r="G55" s="40">
        <v>5241.53</v>
      </c>
      <c r="H55" s="46">
        <f t="shared" si="3"/>
        <v>3.2365990253835353E-3</v>
      </c>
      <c r="I55" s="19">
        <f>$B$5*Data!F55/Data!F54</f>
        <v>203900329.97064775</v>
      </c>
      <c r="J55" s="19">
        <f>$B$6*Data!I55/Data!I54</f>
        <v>203783298.90462714</v>
      </c>
      <c r="K55" s="19">
        <f>$B$7*Data!L55/Data!L54</f>
        <v>201803768.24804786</v>
      </c>
      <c r="L55" s="19">
        <f>$B$8*Data!O55/Data!O54</f>
        <v>203521232.60618958</v>
      </c>
      <c r="M55" s="19">
        <f>$B$9*Data!R55/Data!R54</f>
        <v>204270013.43976039</v>
      </c>
      <c r="N55" s="19">
        <f t="shared" si="1"/>
        <v>1017278643.1692727</v>
      </c>
      <c r="O55">
        <f t="shared" si="2"/>
        <v>1.476284111797721E-2</v>
      </c>
    </row>
    <row r="56" spans="6:15" x14ac:dyDescent="0.3">
      <c r="F56" s="3">
        <v>45373</v>
      </c>
      <c r="G56" s="40">
        <v>5234.18</v>
      </c>
      <c r="H56" s="46">
        <f t="shared" si="3"/>
        <v>-1.4022623165372838E-3</v>
      </c>
      <c r="I56" s="19">
        <f>$B$5*Data!F56/Data!F55</f>
        <v>195687269.83769298</v>
      </c>
      <c r="J56" s="19">
        <f>$B$6*Data!I56/Data!I55</f>
        <v>195175564.21124983</v>
      </c>
      <c r="K56" s="19">
        <f>$B$7*Data!L56/Data!L55</f>
        <v>192909654.19073936</v>
      </c>
      <c r="L56" s="19">
        <f>$B$8*Data!O56/Data!O55</f>
        <v>195001075.31069705</v>
      </c>
      <c r="M56" s="19">
        <f>$B$9*Data!R56/Data!R55</f>
        <v>195845355.52440163</v>
      </c>
      <c r="N56" s="19">
        <f t="shared" si="1"/>
        <v>974618919.07478094</v>
      </c>
      <c r="O56">
        <f t="shared" si="2"/>
        <v>-4.1935141744043558E-2</v>
      </c>
    </row>
    <row r="57" spans="6:15" x14ac:dyDescent="0.3">
      <c r="F57" s="3">
        <v>45376</v>
      </c>
      <c r="G57" s="40">
        <v>5218.1899999999996</v>
      </c>
      <c r="H57" s="46">
        <f t="shared" si="3"/>
        <v>-3.0549197773100945E-3</v>
      </c>
      <c r="I57" s="19">
        <f>$B$5*Data!F57/Data!F56</f>
        <v>199686899.03372651</v>
      </c>
      <c r="J57" s="19">
        <f>$B$6*Data!I57/Data!I56</f>
        <v>200167467.62537143</v>
      </c>
      <c r="K57" s="19">
        <f>$B$7*Data!L57/Data!L56</f>
        <v>198918943.94481286</v>
      </c>
      <c r="L57" s="19">
        <f>$B$8*Data!O57/Data!O56</f>
        <v>199895096.45394745</v>
      </c>
      <c r="M57" s="19">
        <f>$B$9*Data!R57/Data!R56</f>
        <v>200115910.42763489</v>
      </c>
      <c r="N57" s="19">
        <f t="shared" si="1"/>
        <v>998784317.48549318</v>
      </c>
      <c r="O57">
        <f t="shared" si="2"/>
        <v>2.4794715080693086E-2</v>
      </c>
    </row>
    <row r="58" spans="6:15" x14ac:dyDescent="0.3">
      <c r="F58" s="3">
        <v>45377</v>
      </c>
      <c r="G58" s="40">
        <v>5203.58</v>
      </c>
      <c r="H58" s="46">
        <f t="shared" si="3"/>
        <v>-2.7998213940082506E-3</v>
      </c>
      <c r="I58" s="19">
        <f>$B$5*Data!F58/Data!F57</f>
        <v>201702348.60436487</v>
      </c>
      <c r="J58" s="19">
        <f>$B$6*Data!I58/Data!I57</f>
        <v>202425690.64661142</v>
      </c>
      <c r="K58" s="19">
        <f>$B$7*Data!L58/Data!L57</f>
        <v>201941010.08480498</v>
      </c>
      <c r="L58" s="19">
        <f>$B$8*Data!O58/Data!O57</f>
        <v>202405232.94121438</v>
      </c>
      <c r="M58" s="19">
        <f>$B$9*Data!R58/Data!R57</f>
        <v>198540517.42858097</v>
      </c>
      <c r="N58" s="19">
        <f t="shared" si="1"/>
        <v>1007014799.7055767</v>
      </c>
      <c r="O58">
        <f t="shared" si="2"/>
        <v>8.2405000519074623E-3</v>
      </c>
    </row>
    <row r="59" spans="6:15" x14ac:dyDescent="0.3">
      <c r="F59" s="3">
        <v>45378</v>
      </c>
      <c r="G59" s="40">
        <v>5248.49</v>
      </c>
      <c r="H59" s="46">
        <f t="shared" si="3"/>
        <v>8.6305966277062662E-3</v>
      </c>
      <c r="I59" s="19">
        <f>$B$5*Data!F59/Data!F58</f>
        <v>197281325.12512463</v>
      </c>
      <c r="J59" s="19">
        <f>$B$6*Data!I59/Data!I58</f>
        <v>197053629.11014396</v>
      </c>
      <c r="K59" s="19">
        <f>$B$7*Data!L59/Data!L58</f>
        <v>195497798.05044168</v>
      </c>
      <c r="L59" s="19">
        <f>$B$8*Data!O59/Data!O58</f>
        <v>196654784.4975124</v>
      </c>
      <c r="M59" s="19">
        <f>$B$9*Data!R59/Data!R58</f>
        <v>196179163.23246524</v>
      </c>
      <c r="N59" s="19">
        <f t="shared" si="1"/>
        <v>982666700.01568794</v>
      </c>
      <c r="O59">
        <f t="shared" si="2"/>
        <v>-2.4178492408460595E-2</v>
      </c>
    </row>
    <row r="60" spans="6:15" x14ac:dyDescent="0.3">
      <c r="F60" s="3">
        <v>45379</v>
      </c>
      <c r="G60" s="40">
        <v>5254.35</v>
      </c>
      <c r="H60" s="46">
        <f t="shared" si="3"/>
        <v>1.1165116061955249E-3</v>
      </c>
      <c r="I60" s="19">
        <f>$B$5*Data!F60/Data!F59</f>
        <v>201745699.49697578</v>
      </c>
      <c r="J60" s="19">
        <f>$B$6*Data!I60/Data!I59</f>
        <v>202785562.49892804</v>
      </c>
      <c r="K60" s="19">
        <f>$B$7*Data!L60/Data!L59</f>
        <v>204889727.59615394</v>
      </c>
      <c r="L60" s="19">
        <f>$B$8*Data!O60/Data!O59</f>
        <v>202818707.96626687</v>
      </c>
      <c r="M60" s="19">
        <f>$B$9*Data!R60/Data!R59</f>
        <v>200754628.14582476</v>
      </c>
      <c r="N60" s="19">
        <f t="shared" si="1"/>
        <v>1012994325.7041495</v>
      </c>
      <c r="O60">
        <f t="shared" si="2"/>
        <v>3.0862575976144724E-2</v>
      </c>
    </row>
    <row r="61" spans="6:15" x14ac:dyDescent="0.3">
      <c r="F61" s="3">
        <v>45384</v>
      </c>
      <c r="G61" s="40">
        <v>5205.8100000000004</v>
      </c>
      <c r="H61" s="46">
        <f t="shared" si="3"/>
        <v>-9.2380598932313429E-3</v>
      </c>
      <c r="I61" s="19">
        <f>$B$5*Data!F61/Data!F60</f>
        <v>204648659.39685985</v>
      </c>
      <c r="J61" s="19">
        <f>$B$6*Data!I61/Data!I60</f>
        <v>204856385.44255167</v>
      </c>
      <c r="K61" s="19">
        <f>$B$7*Data!L61/Data!L60</f>
        <v>203703374.49125516</v>
      </c>
      <c r="L61" s="19">
        <f>$B$8*Data!O61/Data!O60</f>
        <v>205092267.26387784</v>
      </c>
      <c r="M61" s="19">
        <f>$B$9*Data!R61/Data!R60</f>
        <v>205315819.88368294</v>
      </c>
      <c r="N61" s="19">
        <f t="shared" si="1"/>
        <v>1023616506.4782275</v>
      </c>
      <c r="O61">
        <f t="shared" si="2"/>
        <v>1.0485923271775777E-2</v>
      </c>
    </row>
    <row r="62" spans="6:15" x14ac:dyDescent="0.3">
      <c r="F62" s="3">
        <v>45385</v>
      </c>
      <c r="G62" s="40">
        <v>5211.49</v>
      </c>
      <c r="H62" s="46">
        <f t="shared" si="3"/>
        <v>1.0910886106099138E-3</v>
      </c>
      <c r="I62" s="19">
        <f>$B$5*Data!F62/Data!F61</f>
        <v>197571801.623465</v>
      </c>
      <c r="J62" s="19">
        <f>$B$6*Data!I62/Data!I61</f>
        <v>197589806.44584152</v>
      </c>
      <c r="K62" s="19">
        <f>$B$7*Data!L62/Data!L61</f>
        <v>195367180.89534548</v>
      </c>
      <c r="L62" s="19">
        <f>$B$8*Data!O62/Data!O61</f>
        <v>197133573.69716704</v>
      </c>
      <c r="M62" s="19">
        <f>$B$9*Data!R62/Data!R61</f>
        <v>198289148.19375846</v>
      </c>
      <c r="N62" s="19">
        <f t="shared" si="1"/>
        <v>985951510.85557747</v>
      </c>
      <c r="O62">
        <f t="shared" si="2"/>
        <v>-3.6796002589130961E-2</v>
      </c>
    </row>
    <row r="63" spans="6:15" x14ac:dyDescent="0.3">
      <c r="F63" s="3">
        <v>45387</v>
      </c>
      <c r="G63" s="40">
        <v>5204.34</v>
      </c>
      <c r="H63" s="46">
        <f t="shared" si="3"/>
        <v>-1.3719684773452201E-3</v>
      </c>
      <c r="I63" s="19">
        <f>$B$5*Data!F63/Data!F62</f>
        <v>199996108.08293411</v>
      </c>
      <c r="J63" s="19">
        <f>$B$6*Data!I63/Data!I62</f>
        <v>199397972.36993513</v>
      </c>
      <c r="K63" s="19">
        <f>$B$7*Data!L63/Data!L62</f>
        <v>199433456.2673727</v>
      </c>
      <c r="L63" s="19">
        <f>$B$8*Data!O63/Data!O62</f>
        <v>199621432.84856835</v>
      </c>
      <c r="M63" s="19">
        <f>$B$9*Data!R63/Data!R62</f>
        <v>198353119.99787915</v>
      </c>
      <c r="N63" s="19">
        <f t="shared" si="1"/>
        <v>996802089.56668937</v>
      </c>
      <c r="O63">
        <f t="shared" si="2"/>
        <v>1.1005184932163736E-2</v>
      </c>
    </row>
    <row r="64" spans="6:15" x14ac:dyDescent="0.3">
      <c r="F64" s="3">
        <v>45390</v>
      </c>
      <c r="G64" s="40">
        <v>5202.3900000000003</v>
      </c>
      <c r="H64" s="46">
        <f t="shared" si="3"/>
        <v>-3.7468728023148934E-4</v>
      </c>
      <c r="I64" s="19">
        <f>$B$5*Data!F64/Data!F63</f>
        <v>200022474.17777604</v>
      </c>
      <c r="J64" s="19">
        <f>$B$6*Data!I64/Data!I63</f>
        <v>200334520.21278483</v>
      </c>
      <c r="K64" s="19">
        <f>$B$7*Data!L64/Data!L63</f>
        <v>199551915.31764656</v>
      </c>
      <c r="L64" s="19">
        <f>$B$8*Data!O64/Data!O63</f>
        <v>200099836.55279359</v>
      </c>
      <c r="M64" s="19">
        <f>$B$9*Data!R64/Data!R63</f>
        <v>200572293.27135551</v>
      </c>
      <c r="N64" s="19">
        <f t="shared" si="1"/>
        <v>1000581039.5323565</v>
      </c>
      <c r="O64">
        <f t="shared" si="2"/>
        <v>3.7910734790993494E-3</v>
      </c>
    </row>
    <row r="65" spans="6:15" x14ac:dyDescent="0.3">
      <c r="F65" s="3">
        <v>45391</v>
      </c>
      <c r="G65" s="40">
        <v>5209.91</v>
      </c>
      <c r="H65" s="46">
        <f t="shared" si="3"/>
        <v>1.4454894769517779E-3</v>
      </c>
      <c r="I65" s="19">
        <f>$B$5*Data!F65/Data!F64</f>
        <v>201168944.71432772</v>
      </c>
      <c r="J65" s="19">
        <f>$B$6*Data!I65/Data!I64</f>
        <v>200863563.63211101</v>
      </c>
      <c r="K65" s="19">
        <f>$B$7*Data!L65/Data!L64</f>
        <v>201983564.83730036</v>
      </c>
      <c r="L65" s="19">
        <f>$B$8*Data!O65/Data!O64</f>
        <v>200928730.29389113</v>
      </c>
      <c r="M65" s="19">
        <f>$B$9*Data!R65/Data!R64</f>
        <v>200907182.39780107</v>
      </c>
      <c r="N65" s="19">
        <f t="shared" si="1"/>
        <v>1005851985.8754314</v>
      </c>
      <c r="O65">
        <f t="shared" si="2"/>
        <v>5.267885493351443E-3</v>
      </c>
    </row>
    <row r="66" spans="6:15" x14ac:dyDescent="0.3">
      <c r="F66" s="3">
        <v>45392</v>
      </c>
      <c r="G66" s="40">
        <v>5160.6400000000003</v>
      </c>
      <c r="H66" s="46">
        <f t="shared" si="3"/>
        <v>-9.4569771838668437E-3</v>
      </c>
      <c r="I66" s="19">
        <f>$B$5*Data!F66/Data!F65</f>
        <v>203567408.38093022</v>
      </c>
      <c r="J66" s="19">
        <f>$B$6*Data!I66/Data!I65</f>
        <v>204121218.83915338</v>
      </c>
      <c r="K66" s="19">
        <f>$B$7*Data!L66/Data!L65</f>
        <v>204111467.72978607</v>
      </c>
      <c r="L66" s="19">
        <f>$B$8*Data!O66/Data!O65</f>
        <v>203991996.47149494</v>
      </c>
      <c r="M66" s="19">
        <f>$B$9*Data!R66/Data!R65</f>
        <v>202884694.7957046</v>
      </c>
      <c r="N66" s="19">
        <f t="shared" si="1"/>
        <v>1018676786.2170691</v>
      </c>
      <c r="O66">
        <f t="shared" si="2"/>
        <v>1.2750186430735999E-2</v>
      </c>
    </row>
    <row r="67" spans="6:15" x14ac:dyDescent="0.3">
      <c r="F67" s="3">
        <v>45393</v>
      </c>
      <c r="G67" s="40">
        <v>5199.0600000000004</v>
      </c>
      <c r="H67" s="46">
        <f t="shared" si="3"/>
        <v>7.4448130464439544E-3</v>
      </c>
      <c r="I67" s="19">
        <f>$B$5*Data!F67/Data!F66</f>
        <v>199421294.24189386</v>
      </c>
      <c r="J67" s="19">
        <f>$B$6*Data!I67/Data!I66</f>
        <v>199384930.20712221</v>
      </c>
      <c r="K67" s="19">
        <f>$B$7*Data!L67/Data!L66</f>
        <v>199169562.2790778</v>
      </c>
      <c r="L67" s="19">
        <f>$B$8*Data!O67/Data!O66</f>
        <v>199508876.1288496</v>
      </c>
      <c r="M67" s="19">
        <f>$B$9*Data!R67/Data!R66</f>
        <v>200510617.66878569</v>
      </c>
      <c r="N67" s="19">
        <f t="shared" si="1"/>
        <v>997995280.52572918</v>
      </c>
      <c r="O67">
        <f t="shared" si="2"/>
        <v>-2.0302323534967637E-2</v>
      </c>
    </row>
    <row r="68" spans="6:15" x14ac:dyDescent="0.3">
      <c r="F68" s="3">
        <v>45394</v>
      </c>
      <c r="G68" s="40">
        <v>5123.41</v>
      </c>
      <c r="H68" s="46">
        <f t="shared" si="3"/>
        <v>-1.4550707243232486E-2</v>
      </c>
      <c r="I68" s="19">
        <f>$B$5*Data!F68/Data!F67</f>
        <v>195647157.82359675</v>
      </c>
      <c r="J68" s="19">
        <f>$B$6*Data!I68/Data!I67</f>
        <v>196137513.92834204</v>
      </c>
      <c r="K68" s="19">
        <f>$B$7*Data!L68/Data!L67</f>
        <v>196402092.19004804</v>
      </c>
      <c r="L68" s="19">
        <f>$B$8*Data!O68/Data!O67</f>
        <v>195871402.51779899</v>
      </c>
      <c r="M68" s="19">
        <f>$B$9*Data!R68/Data!R67</f>
        <v>195993048.0487068</v>
      </c>
      <c r="N68" s="19">
        <f t="shared" ref="N68:N131" si="4">SUM(I68:M68)</f>
        <v>980051214.50849259</v>
      </c>
      <c r="O68">
        <f t="shared" ref="O68:O131" si="5">$N68/$N67-1</f>
        <v>-1.7980111096100537E-2</v>
      </c>
    </row>
    <row r="69" spans="6:15" x14ac:dyDescent="0.3">
      <c r="F69" s="3">
        <v>45397</v>
      </c>
      <c r="G69" s="40">
        <v>5061.82</v>
      </c>
      <c r="H69" s="46">
        <f t="shared" si="3"/>
        <v>-1.2021290507689297E-2</v>
      </c>
      <c r="I69" s="19">
        <f>$B$5*Data!F69/Data!F68</f>
        <v>198770677.53431579</v>
      </c>
      <c r="J69" s="19">
        <f>$B$6*Data!I69/Data!I68</f>
        <v>199293287.86108887</v>
      </c>
      <c r="K69" s="19">
        <f>$B$7*Data!L69/Data!L68</f>
        <v>198379359.89761043</v>
      </c>
      <c r="L69" s="19">
        <f>$B$8*Data!O69/Data!O68</f>
        <v>199434256.16250518</v>
      </c>
      <c r="M69" s="19">
        <f>$B$9*Data!R69/Data!R68</f>
        <v>200200860.62242556</v>
      </c>
      <c r="N69" s="19">
        <f t="shared" si="4"/>
        <v>996078442.07794583</v>
      </c>
      <c r="O69">
        <f t="shared" si="5"/>
        <v>1.6353459219466515E-2</v>
      </c>
    </row>
    <row r="70" spans="6:15" x14ac:dyDescent="0.3">
      <c r="F70" s="3">
        <v>45398</v>
      </c>
      <c r="G70" s="40">
        <v>5051.41</v>
      </c>
      <c r="H70" s="46">
        <f t="shared" ref="H70:H133" si="6">$G70/$G69-1</f>
        <v>-2.056572537150636E-3</v>
      </c>
      <c r="I70" s="19">
        <f>$B$5*Data!F70/Data!F69</f>
        <v>195690307.53246087</v>
      </c>
      <c r="J70" s="19">
        <f>$B$6*Data!I70/Data!I69</f>
        <v>196336201.84153879</v>
      </c>
      <c r="K70" s="19">
        <f>$B$7*Data!L70/Data!L69</f>
        <v>193846395.57657152</v>
      </c>
      <c r="L70" s="19">
        <f>$B$8*Data!O70/Data!O69</f>
        <v>196077472.58089048</v>
      </c>
      <c r="M70" s="19">
        <f>$B$9*Data!R70/Data!R69</f>
        <v>196996044.97390515</v>
      </c>
      <c r="N70" s="19">
        <f t="shared" si="4"/>
        <v>978946422.5053668</v>
      </c>
      <c r="O70">
        <f t="shared" si="5"/>
        <v>-1.7199468283682018E-2</v>
      </c>
    </row>
    <row r="71" spans="6:15" x14ac:dyDescent="0.3">
      <c r="F71" s="3">
        <v>45399</v>
      </c>
      <c r="G71" s="40">
        <v>5022.21</v>
      </c>
      <c r="H71" s="46">
        <f t="shared" si="6"/>
        <v>-5.780564238499708E-3</v>
      </c>
      <c r="I71" s="19">
        <f>$B$5*Data!F71/Data!F70</f>
        <v>200071090.61643663</v>
      </c>
      <c r="J71" s="19">
        <f>$B$6*Data!I71/Data!I70</f>
        <v>200148343.055673</v>
      </c>
      <c r="K71" s="19">
        <f>$B$7*Data!L71/Data!L70</f>
        <v>200177791.95440847</v>
      </c>
      <c r="L71" s="19">
        <f>$B$8*Data!O71/Data!O70</f>
        <v>200241583.60439864</v>
      </c>
      <c r="M71" s="19">
        <f>$B$9*Data!R71/Data!R70</f>
        <v>201282126.07169822</v>
      </c>
      <c r="N71" s="19">
        <f t="shared" si="4"/>
        <v>1001920935.3026148</v>
      </c>
      <c r="O71">
        <f t="shared" si="5"/>
        <v>2.3468611018007124E-2</v>
      </c>
    </row>
    <row r="72" spans="6:15" x14ac:dyDescent="0.3">
      <c r="F72" s="3">
        <v>45400</v>
      </c>
      <c r="G72" s="40">
        <v>5011.12</v>
      </c>
      <c r="H72" s="46">
        <f t="shared" si="6"/>
        <v>-2.2081912146246774E-3</v>
      </c>
      <c r="I72" s="19">
        <f>$B$5*Data!F72/Data!F71</f>
        <v>201623663.7447578</v>
      </c>
      <c r="J72" s="19">
        <f>$B$6*Data!I72/Data!I71</f>
        <v>202181638.80839679</v>
      </c>
      <c r="K72" s="19">
        <f>$B$7*Data!L72/Data!L71</f>
        <v>200968280.71500331</v>
      </c>
      <c r="L72" s="19">
        <f>$B$8*Data!O72/Data!O71</f>
        <v>201858496.01857331</v>
      </c>
      <c r="M72" s="19">
        <f>$B$9*Data!R72/Data!R71</f>
        <v>200633512.04390976</v>
      </c>
      <c r="N72" s="19">
        <f t="shared" si="4"/>
        <v>1007265591.330641</v>
      </c>
      <c r="O72">
        <f t="shared" si="5"/>
        <v>5.3344089735103406E-3</v>
      </c>
    </row>
    <row r="73" spans="6:15" x14ac:dyDescent="0.3">
      <c r="F73" s="3">
        <v>45401</v>
      </c>
      <c r="G73" s="40">
        <v>4967.2299999999996</v>
      </c>
      <c r="H73" s="46">
        <f t="shared" si="6"/>
        <v>-8.7585210491867294E-3</v>
      </c>
      <c r="I73" s="19">
        <f>$B$5*Data!F73/Data!F72</f>
        <v>198003226.63779688</v>
      </c>
      <c r="J73" s="19">
        <f>$B$6*Data!I73/Data!I72</f>
        <v>198205712.76050889</v>
      </c>
      <c r="K73" s="19">
        <f>$B$7*Data!L73/Data!L72</f>
        <v>195285020.4968718</v>
      </c>
      <c r="L73" s="19">
        <f>$B$8*Data!O73/Data!O72</f>
        <v>198004419.37679589</v>
      </c>
      <c r="M73" s="19">
        <f>$B$9*Data!R73/Data!R72</f>
        <v>200126285.44606286</v>
      </c>
      <c r="N73" s="19">
        <f t="shared" si="4"/>
        <v>989624664.71803641</v>
      </c>
      <c r="O73">
        <f t="shared" si="5"/>
        <v>-1.7513679375565916E-2</v>
      </c>
    </row>
    <row r="74" spans="6:15" x14ac:dyDescent="0.3">
      <c r="F74" s="3">
        <v>45404</v>
      </c>
      <c r="G74" s="40">
        <v>5010.6000000000004</v>
      </c>
      <c r="H74" s="46">
        <f t="shared" si="6"/>
        <v>8.7312244450128418E-3</v>
      </c>
      <c r="I74" s="19">
        <f>$B$5*Data!F74/Data!F73</f>
        <v>203456395.29326689</v>
      </c>
      <c r="J74" s="19">
        <f>$B$6*Data!I74/Data!I73</f>
        <v>202773685.89338303</v>
      </c>
      <c r="K74" s="19">
        <f>$B$7*Data!L74/Data!L73</f>
        <v>203468044.06021506</v>
      </c>
      <c r="L74" s="19">
        <f>$B$8*Data!O74/Data!O73</f>
        <v>202858021.85621324</v>
      </c>
      <c r="M74" s="19">
        <f>$B$9*Data!R74/Data!R73</f>
        <v>200961619.07606596</v>
      </c>
      <c r="N74" s="19">
        <f t="shared" si="4"/>
        <v>1013517766.1791441</v>
      </c>
      <c r="O74">
        <f t="shared" si="5"/>
        <v>2.4143599399794047E-2</v>
      </c>
    </row>
    <row r="75" spans="6:15" x14ac:dyDescent="0.3">
      <c r="F75" s="3">
        <v>45405</v>
      </c>
      <c r="G75" s="40">
        <v>5070.55</v>
      </c>
      <c r="H75" s="46">
        <f t="shared" si="6"/>
        <v>1.1964634973855359E-2</v>
      </c>
      <c r="I75" s="19">
        <f>$B$5*Data!F75/Data!F74</f>
        <v>203868629.4875885</v>
      </c>
      <c r="J75" s="19">
        <f>$B$6*Data!I75/Data!I74</f>
        <v>204212797.23964745</v>
      </c>
      <c r="K75" s="19">
        <f>$B$7*Data!L75/Data!L74</f>
        <v>206785274.03119475</v>
      </c>
      <c r="L75" s="19">
        <f>$B$8*Data!O75/Data!O74</f>
        <v>204257057.68757436</v>
      </c>
      <c r="M75" s="19">
        <f>$B$9*Data!R75/Data!R74</f>
        <v>201602069.20665255</v>
      </c>
      <c r="N75" s="19">
        <f t="shared" si="4"/>
        <v>1020725827.6526576</v>
      </c>
      <c r="O75">
        <f t="shared" si="5"/>
        <v>7.1119241458263982E-3</v>
      </c>
    </row>
    <row r="76" spans="6:15" x14ac:dyDescent="0.3">
      <c r="F76" s="3">
        <v>45406</v>
      </c>
      <c r="G76" s="40">
        <v>5071.63</v>
      </c>
      <c r="H76" s="46">
        <f t="shared" si="6"/>
        <v>2.129946455513565E-4</v>
      </c>
      <c r="I76" s="19">
        <f>$B$5*Data!F76/Data!F75</f>
        <v>204500696.58825159</v>
      </c>
      <c r="J76" s="19">
        <f>$B$6*Data!I76/Data!I75</f>
        <v>205044272.18115842</v>
      </c>
      <c r="K76" s="19">
        <f>$B$7*Data!L76/Data!L75</f>
        <v>207295426.71708634</v>
      </c>
      <c r="L76" s="19">
        <f>$B$8*Data!O76/Data!O75</f>
        <v>204966190.25752234</v>
      </c>
      <c r="M76" s="19">
        <f>$B$9*Data!R76/Data!R75</f>
        <v>203606139.60839075</v>
      </c>
      <c r="N76" s="19">
        <f t="shared" si="4"/>
        <v>1025412725.3524094</v>
      </c>
      <c r="O76">
        <f t="shared" si="5"/>
        <v>4.5917302891513856E-3</v>
      </c>
    </row>
    <row r="77" spans="6:15" x14ac:dyDescent="0.3">
      <c r="F77" s="3">
        <v>45407</v>
      </c>
      <c r="G77" s="40">
        <v>5048.42</v>
      </c>
      <c r="H77" s="46">
        <f t="shared" si="6"/>
        <v>-4.5764379499293462E-3</v>
      </c>
      <c r="I77" s="19">
        <f>$B$5*Data!F77/Data!F76</f>
        <v>201068312.83351591</v>
      </c>
      <c r="J77" s="19">
        <f>$B$6*Data!I77/Data!I76</f>
        <v>200558050.3914102</v>
      </c>
      <c r="K77" s="19">
        <f>$B$7*Data!L77/Data!L76</f>
        <v>199019521.61118105</v>
      </c>
      <c r="L77" s="19">
        <f>$B$8*Data!O77/Data!O76</f>
        <v>200760607.18719012</v>
      </c>
      <c r="M77" s="19">
        <f>$B$9*Data!R77/Data!R76</f>
        <v>203063981.02659455</v>
      </c>
      <c r="N77" s="19">
        <f t="shared" si="4"/>
        <v>1004470473.0498918</v>
      </c>
      <c r="O77">
        <f t="shared" si="5"/>
        <v>-2.0423242061210267E-2</v>
      </c>
    </row>
    <row r="78" spans="6:15" x14ac:dyDescent="0.3">
      <c r="F78" s="3">
        <v>45408</v>
      </c>
      <c r="G78" s="40">
        <v>5099.96</v>
      </c>
      <c r="H78" s="46">
        <f t="shared" si="6"/>
        <v>1.0209134739185721E-2</v>
      </c>
      <c r="I78" s="19">
        <f>$B$5*Data!F78/Data!F77</f>
        <v>204226402.64338976</v>
      </c>
      <c r="J78" s="19">
        <f>$B$6*Data!I78/Data!I77</f>
        <v>204438593.59790492</v>
      </c>
      <c r="K78" s="19">
        <f>$B$7*Data!L78/Data!L77</f>
        <v>209210534.46367845</v>
      </c>
      <c r="L78" s="19">
        <f>$B$8*Data!O78/Data!O77</f>
        <v>204866027.84758604</v>
      </c>
      <c r="M78" s="19">
        <f>$B$9*Data!R78/Data!R77</f>
        <v>203723345.06426683</v>
      </c>
      <c r="N78" s="19">
        <f t="shared" si="4"/>
        <v>1026464903.6168259</v>
      </c>
      <c r="O78">
        <f t="shared" si="5"/>
        <v>2.189654266307306E-2</v>
      </c>
    </row>
    <row r="79" spans="6:15" x14ac:dyDescent="0.3">
      <c r="F79" s="3">
        <v>45411</v>
      </c>
      <c r="G79" s="40">
        <v>5116.17</v>
      </c>
      <c r="H79" s="46">
        <f t="shared" si="6"/>
        <v>3.178456301617949E-3</v>
      </c>
      <c r="I79" s="19">
        <f>$B$5*Data!F79/Data!F78</f>
        <v>201180115.0535875</v>
      </c>
      <c r="J79" s="19">
        <f>$B$6*Data!I79/Data!I78</f>
        <v>200640049.86808768</v>
      </c>
      <c r="K79" s="19">
        <f>$B$7*Data!L79/Data!L78</f>
        <v>199828194.76802114</v>
      </c>
      <c r="L79" s="19">
        <f>$B$8*Data!O79/Data!O78</f>
        <v>200512649.96017364</v>
      </c>
      <c r="M79" s="19">
        <f>$B$9*Data!R79/Data!R78</f>
        <v>201034931.06698284</v>
      </c>
      <c r="N79" s="19">
        <f t="shared" si="4"/>
        <v>1003195940.7168528</v>
      </c>
      <c r="O79">
        <f t="shared" si="5"/>
        <v>-2.2669029226409232E-2</v>
      </c>
    </row>
    <row r="80" spans="6:15" x14ac:dyDescent="0.3">
      <c r="F80" s="3">
        <v>45412</v>
      </c>
      <c r="G80" s="40">
        <v>5035.6899999999996</v>
      </c>
      <c r="H80" s="46">
        <f t="shared" si="6"/>
        <v>-1.5730517164206925E-2</v>
      </c>
      <c r="I80" s="19">
        <f>$B$5*Data!F80/Data!F79</f>
        <v>200209811.37694943</v>
      </c>
      <c r="J80" s="19">
        <f>$B$6*Data!I80/Data!I79</f>
        <v>199185570.13898841</v>
      </c>
      <c r="K80" s="19">
        <f>$B$7*Data!L80/Data!L79</f>
        <v>199346693.61773366</v>
      </c>
      <c r="L80" s="19">
        <f>$B$8*Data!O80/Data!O79</f>
        <v>199738084.31193385</v>
      </c>
      <c r="M80" s="19">
        <f>$B$9*Data!R80/Data!R79</f>
        <v>200433604.05678189</v>
      </c>
      <c r="N80" s="19">
        <f t="shared" si="4"/>
        <v>998913763.50238729</v>
      </c>
      <c r="O80">
        <f t="shared" si="5"/>
        <v>-4.268535228926007E-3</v>
      </c>
    </row>
    <row r="81" spans="6:15" x14ac:dyDescent="0.3">
      <c r="F81" s="3">
        <v>45414</v>
      </c>
      <c r="G81" s="40">
        <v>5064.2</v>
      </c>
      <c r="H81" s="46">
        <f t="shared" si="6"/>
        <v>5.6615875877983335E-3</v>
      </c>
      <c r="I81" s="19">
        <f>$B$5*Data!F81/Data!F80</f>
        <v>205283658.16179287</v>
      </c>
      <c r="J81" s="19">
        <f>$B$6*Data!I81/Data!I80</f>
        <v>204646767.32192156</v>
      </c>
      <c r="K81" s="19">
        <f>$B$7*Data!L81/Data!L80</f>
        <v>209195821.44629645</v>
      </c>
      <c r="L81" s="19">
        <f>$B$8*Data!O81/Data!O80</f>
        <v>205490764.06987277</v>
      </c>
      <c r="M81" s="19">
        <f>$B$9*Data!R81/Data!R80</f>
        <v>201929635.92611429</v>
      </c>
      <c r="N81" s="19">
        <f t="shared" si="4"/>
        <v>1026546646.925998</v>
      </c>
      <c r="O81">
        <f t="shared" si="5"/>
        <v>2.7662931909882227E-2</v>
      </c>
    </row>
    <row r="82" spans="6:15" x14ac:dyDescent="0.3">
      <c r="F82" s="3">
        <v>45415</v>
      </c>
      <c r="G82" s="40">
        <v>5127.79</v>
      </c>
      <c r="H82" s="46">
        <f t="shared" si="6"/>
        <v>1.2556771059594851E-2</v>
      </c>
      <c r="I82" s="19">
        <f>$B$5*Data!F82/Data!F81</f>
        <v>203009745.64727926</v>
      </c>
      <c r="J82" s="19">
        <f>$B$6*Data!I82/Data!I81</f>
        <v>204266322.25255027</v>
      </c>
      <c r="K82" s="19">
        <f>$B$7*Data!L82/Data!L81</f>
        <v>205532487.64065608</v>
      </c>
      <c r="L82" s="19">
        <f>$B$8*Data!O82/Data!O81</f>
        <v>203481206.22754622</v>
      </c>
      <c r="M82" s="19">
        <f>$B$9*Data!R82/Data!R81</f>
        <v>202028488.02118549</v>
      </c>
      <c r="N82" s="19">
        <f t="shared" si="4"/>
        <v>1018318249.7892174</v>
      </c>
      <c r="O82">
        <f t="shared" si="5"/>
        <v>-8.0156095793801896E-3</v>
      </c>
    </row>
    <row r="83" spans="6:15" x14ac:dyDescent="0.3">
      <c r="F83" s="3">
        <v>45418</v>
      </c>
      <c r="G83" s="40">
        <v>5180.74</v>
      </c>
      <c r="H83" s="46">
        <f t="shared" si="6"/>
        <v>1.0326085896653403E-2</v>
      </c>
      <c r="I83" s="19">
        <f>$B$5*Data!F83/Data!F82</f>
        <v>200910185.55308303</v>
      </c>
      <c r="J83" s="19">
        <f>$B$6*Data!I83/Data!I82</f>
        <v>201303253.71907529</v>
      </c>
      <c r="K83" s="19">
        <f>$B$7*Data!L83/Data!L82</f>
        <v>201638903.82724193</v>
      </c>
      <c r="L83" s="19">
        <f>$B$8*Data!O83/Data!O82</f>
        <v>200570829.03131086</v>
      </c>
      <c r="M83" s="19">
        <f>$B$9*Data!R83/Data!R82</f>
        <v>199977633.56172612</v>
      </c>
      <c r="N83" s="19">
        <f t="shared" si="4"/>
        <v>1004400805.6924372</v>
      </c>
      <c r="O83">
        <f t="shared" si="5"/>
        <v>-1.3667086983525034E-2</v>
      </c>
    </row>
    <row r="84" spans="6:15" x14ac:dyDescent="0.3">
      <c r="F84" s="3">
        <v>45419</v>
      </c>
      <c r="G84" s="40">
        <v>5187.7</v>
      </c>
      <c r="H84" s="46">
        <f t="shared" si="6"/>
        <v>1.3434374239973401E-3</v>
      </c>
      <c r="I84" s="19">
        <f>$B$5*Data!F84/Data!F83</f>
        <v>198856145.46161321</v>
      </c>
      <c r="J84" s="19">
        <f>$B$6*Data!I84/Data!I83</f>
        <v>198054569.85903198</v>
      </c>
      <c r="K84" s="19">
        <f>$B$7*Data!L84/Data!L83</f>
        <v>195668688.76816198</v>
      </c>
      <c r="L84" s="19">
        <f>$B$8*Data!O84/Data!O83</f>
        <v>198528193.63229918</v>
      </c>
      <c r="M84" s="19">
        <f>$B$9*Data!R84/Data!R83</f>
        <v>201823912.57697007</v>
      </c>
      <c r="N84" s="19">
        <f t="shared" si="4"/>
        <v>992931510.29807651</v>
      </c>
      <c r="O84">
        <f t="shared" si="5"/>
        <v>-1.1419042407531443E-2</v>
      </c>
    </row>
    <row r="85" spans="6:15" x14ac:dyDescent="0.3">
      <c r="F85" s="3">
        <v>45420</v>
      </c>
      <c r="G85" s="40">
        <v>5187.67</v>
      </c>
      <c r="H85" s="46">
        <f t="shared" si="6"/>
        <v>-5.7829095745365322E-6</v>
      </c>
      <c r="I85" s="19">
        <f>$B$5*Data!F85/Data!F84</f>
        <v>198317736.43620971</v>
      </c>
      <c r="J85" s="19">
        <f>$B$6*Data!I85/Data!I84</f>
        <v>198072725.18801826</v>
      </c>
      <c r="K85" s="19">
        <f>$B$7*Data!L85/Data!L84</f>
        <v>197532207.57293898</v>
      </c>
      <c r="L85" s="19">
        <f>$B$8*Data!O85/Data!O84</f>
        <v>197965324.82536593</v>
      </c>
      <c r="M85" s="19">
        <f>$B$9*Data!R85/Data!R84</f>
        <v>196987777.4551076</v>
      </c>
      <c r="N85" s="19">
        <f t="shared" si="4"/>
        <v>988875771.47764039</v>
      </c>
      <c r="O85">
        <f t="shared" si="5"/>
        <v>-4.0846108501668699E-3</v>
      </c>
    </row>
    <row r="86" spans="6:15" x14ac:dyDescent="0.3">
      <c r="F86" s="3">
        <v>45421</v>
      </c>
      <c r="G86" s="40">
        <v>5214.08</v>
      </c>
      <c r="H86" s="46">
        <f t="shared" si="6"/>
        <v>5.0909175024624886E-3</v>
      </c>
      <c r="I86" s="19">
        <f>$B$5*Data!F86/Data!F85</f>
        <v>202533780.63549796</v>
      </c>
      <c r="J86" s="19">
        <f>$B$6*Data!I86/Data!I85</f>
        <v>203111155.04350987</v>
      </c>
      <c r="K86" s="19">
        <f>$B$7*Data!L86/Data!L85</f>
        <v>203983340.48641014</v>
      </c>
      <c r="L86" s="19">
        <f>$B$8*Data!O86/Data!O85</f>
        <v>203308329.97645649</v>
      </c>
      <c r="M86" s="19">
        <f>$B$9*Data!R86/Data!R85</f>
        <v>203925257.47089723</v>
      </c>
      <c r="N86" s="19">
        <f t="shared" si="4"/>
        <v>1016861863.6127716</v>
      </c>
      <c r="O86">
        <f t="shared" si="5"/>
        <v>2.8300918014517285E-2</v>
      </c>
    </row>
    <row r="87" spans="6:15" x14ac:dyDescent="0.3">
      <c r="F87" s="3">
        <v>45422</v>
      </c>
      <c r="G87" s="40">
        <v>5222.68</v>
      </c>
      <c r="H87" s="46">
        <f t="shared" si="6"/>
        <v>1.6493801399288799E-3</v>
      </c>
      <c r="I87" s="19">
        <f>$B$5*Data!F87/Data!F86</f>
        <v>204605083.91689774</v>
      </c>
      <c r="J87" s="19">
        <f>$B$6*Data!I87/Data!I86</f>
        <v>204741569.21339205</v>
      </c>
      <c r="K87" s="19">
        <f>$B$7*Data!L87/Data!L86</f>
        <v>200765709.80001605</v>
      </c>
      <c r="L87" s="19">
        <f>$B$8*Data!O87/Data!O86</f>
        <v>204832859.29064733</v>
      </c>
      <c r="M87" s="19">
        <f>$B$9*Data!R87/Data!R86</f>
        <v>207859018.77537391</v>
      </c>
      <c r="N87" s="19">
        <f t="shared" si="4"/>
        <v>1022804240.9963272</v>
      </c>
      <c r="O87">
        <f t="shared" si="5"/>
        <v>5.8438393612707529E-3</v>
      </c>
    </row>
    <row r="88" spans="6:15" x14ac:dyDescent="0.3">
      <c r="F88" s="3">
        <v>45425</v>
      </c>
      <c r="G88" s="40">
        <v>5221.42</v>
      </c>
      <c r="H88" s="46">
        <f t="shared" si="6"/>
        <v>-2.4125544739483917E-4</v>
      </c>
      <c r="I88" s="19">
        <f>$B$5*Data!F88/Data!F87</f>
        <v>201635236.06574106</v>
      </c>
      <c r="J88" s="19">
        <f>$B$6*Data!I88/Data!I87</f>
        <v>202092895.70163316</v>
      </c>
      <c r="K88" s="19">
        <f>$B$7*Data!L88/Data!L87</f>
        <v>202884253.03856084</v>
      </c>
      <c r="L88" s="19">
        <f>$B$8*Data!O88/Data!O87</f>
        <v>201312078.77029338</v>
      </c>
      <c r="M88" s="19">
        <f>$B$9*Data!R88/Data!R87</f>
        <v>200816649.65383464</v>
      </c>
      <c r="N88" s="19">
        <f t="shared" si="4"/>
        <v>1008741113.230063</v>
      </c>
      <c r="O88">
        <f t="shared" si="5"/>
        <v>-1.3749579051965166E-2</v>
      </c>
    </row>
    <row r="89" spans="6:15" x14ac:dyDescent="0.3">
      <c r="F89" s="3">
        <v>45426</v>
      </c>
      <c r="G89" s="40">
        <v>5246.68</v>
      </c>
      <c r="H89" s="46">
        <f t="shared" si="6"/>
        <v>4.8377644395585229E-3</v>
      </c>
      <c r="I89" s="19">
        <f>$B$5*Data!F89/Data!F88</f>
        <v>199580131.2745153</v>
      </c>
      <c r="J89" s="19">
        <f>$B$6*Data!I89/Data!I88</f>
        <v>199782893.08531553</v>
      </c>
      <c r="K89" s="19">
        <f>$B$7*Data!L89/Data!L88</f>
        <v>201145582.06017324</v>
      </c>
      <c r="L89" s="19">
        <f>$B$8*Data!O89/Data!O88</f>
        <v>199414388.28583801</v>
      </c>
      <c r="M89" s="19">
        <f>$B$9*Data!R89/Data!R88</f>
        <v>198714219.94681999</v>
      </c>
      <c r="N89" s="19">
        <f t="shared" si="4"/>
        <v>998637214.65266216</v>
      </c>
      <c r="O89">
        <f t="shared" si="5"/>
        <v>-1.0016344575316638E-2</v>
      </c>
    </row>
    <row r="90" spans="6:15" x14ac:dyDescent="0.3">
      <c r="F90" s="3">
        <v>45428</v>
      </c>
      <c r="G90" s="40">
        <v>5297.1</v>
      </c>
      <c r="H90" s="46">
        <f t="shared" si="6"/>
        <v>9.6098866330709409E-3</v>
      </c>
      <c r="I90" s="19">
        <f>$B$5*Data!F90/Data!F89</f>
        <v>203435701.64289272</v>
      </c>
      <c r="J90" s="19">
        <f>$B$6*Data!I90/Data!I89</f>
        <v>204616179.56585729</v>
      </c>
      <c r="K90" s="19">
        <f>$B$7*Data!L90/Data!L89</f>
        <v>201777574.98256069</v>
      </c>
      <c r="L90" s="19">
        <f>$B$8*Data!O90/Data!O89</f>
        <v>204117183.39175817</v>
      </c>
      <c r="M90" s="19">
        <f>$B$9*Data!R90/Data!R89</f>
        <v>202362883.13493538</v>
      </c>
      <c r="N90" s="19">
        <f t="shared" si="4"/>
        <v>1016309522.7180042</v>
      </c>
      <c r="O90">
        <f t="shared" si="5"/>
        <v>1.7696424493341967E-2</v>
      </c>
    </row>
    <row r="91" spans="6:15" x14ac:dyDescent="0.3">
      <c r="F91" s="3">
        <v>45429</v>
      </c>
      <c r="G91" s="40">
        <v>5303.27</v>
      </c>
      <c r="H91" s="46">
        <f t="shared" si="6"/>
        <v>1.1647882803798026E-3</v>
      </c>
      <c r="I91" s="19">
        <f>$B$5*Data!F91/Data!F90</f>
        <v>201804496.6926679</v>
      </c>
      <c r="J91" s="19">
        <f>$B$6*Data!I91/Data!I90</f>
        <v>202576179.67119205</v>
      </c>
      <c r="K91" s="19">
        <f>$B$7*Data!L91/Data!L90</f>
        <v>201962874.55561319</v>
      </c>
      <c r="L91" s="19">
        <f>$B$8*Data!O91/Data!O90</f>
        <v>201819723.48136121</v>
      </c>
      <c r="M91" s="19">
        <f>$B$9*Data!R91/Data!R90</f>
        <v>202414305.70296159</v>
      </c>
      <c r="N91" s="19">
        <f t="shared" si="4"/>
        <v>1010577580.1037959</v>
      </c>
      <c r="O91">
        <f t="shared" si="5"/>
        <v>-5.639957597641021E-3</v>
      </c>
    </row>
    <row r="92" spans="6:15" x14ac:dyDescent="0.3">
      <c r="F92" s="3">
        <v>45432</v>
      </c>
      <c r="G92" s="40">
        <v>5308.13</v>
      </c>
      <c r="H92" s="46">
        <f t="shared" si="6"/>
        <v>9.1641572086653689E-4</v>
      </c>
      <c r="I92" s="19">
        <f>$B$5*Data!F92/Data!F91</f>
        <v>200942827.93838009</v>
      </c>
      <c r="J92" s="19">
        <f>$B$6*Data!I92/Data!I91</f>
        <v>200615209.64244872</v>
      </c>
      <c r="K92" s="19">
        <f>$B$7*Data!L92/Data!L91</f>
        <v>201206301.21158004</v>
      </c>
      <c r="L92" s="19">
        <f>$B$8*Data!O92/Data!O91</f>
        <v>200971460.62443289</v>
      </c>
      <c r="M92" s="19">
        <f>$B$9*Data!R92/Data!R91</f>
        <v>201147894.60463229</v>
      </c>
      <c r="N92" s="19">
        <f t="shared" si="4"/>
        <v>1004883694.021474</v>
      </c>
      <c r="O92">
        <f t="shared" si="5"/>
        <v>-5.6342889397339446E-3</v>
      </c>
    </row>
    <row r="93" spans="6:15" x14ac:dyDescent="0.3">
      <c r="F93" s="3">
        <v>45433</v>
      </c>
      <c r="G93" s="40">
        <v>5321.41</v>
      </c>
      <c r="H93" s="46">
        <f t="shared" si="6"/>
        <v>2.5018226757822504E-3</v>
      </c>
      <c r="I93" s="19">
        <f>$B$5*Data!F93/Data!F92</f>
        <v>195613992.55070773</v>
      </c>
      <c r="J93" s="19">
        <f>$B$6*Data!I93/Data!I92</f>
        <v>195638929.67651203</v>
      </c>
      <c r="K93" s="19">
        <f>$B$7*Data!L93/Data!L92</f>
        <v>192365330.31055894</v>
      </c>
      <c r="L93" s="19">
        <f>$B$8*Data!O93/Data!O92</f>
        <v>195711369.55228204</v>
      </c>
      <c r="M93" s="19">
        <f>$B$9*Data!R93/Data!R92</f>
        <v>196966334.62138525</v>
      </c>
      <c r="N93" s="19">
        <f t="shared" si="4"/>
        <v>976295956.71144593</v>
      </c>
      <c r="O93">
        <f t="shared" si="5"/>
        <v>-2.8448802065462853E-2</v>
      </c>
    </row>
    <row r="94" spans="6:15" x14ac:dyDescent="0.3">
      <c r="F94" s="3">
        <v>45434</v>
      </c>
      <c r="G94" s="40">
        <v>5307.01</v>
      </c>
      <c r="H94" s="46">
        <f t="shared" si="6"/>
        <v>-2.7060497123881921E-3</v>
      </c>
      <c r="I94" s="19">
        <f>$B$5*Data!F94/Data!F93</f>
        <v>199652675.57584879</v>
      </c>
      <c r="J94" s="19">
        <f>$B$6*Data!I94/Data!I93</f>
        <v>199043745.63228565</v>
      </c>
      <c r="K94" s="19">
        <f>$B$7*Data!L94/Data!L93</f>
        <v>200513555.83802226</v>
      </c>
      <c r="L94" s="19">
        <f>$B$8*Data!O94/Data!O93</f>
        <v>199816482.39501482</v>
      </c>
      <c r="M94" s="19">
        <f>$B$9*Data!R94/Data!R93</f>
        <v>199351870.00416988</v>
      </c>
      <c r="N94" s="19">
        <f t="shared" si="4"/>
        <v>998378329.44534135</v>
      </c>
      <c r="O94">
        <f t="shared" si="5"/>
        <v>2.2618523186634487E-2</v>
      </c>
    </row>
    <row r="95" spans="6:15" x14ac:dyDescent="0.3">
      <c r="F95" s="3">
        <v>45435</v>
      </c>
      <c r="G95" s="40">
        <v>5267.84</v>
      </c>
      <c r="H95" s="46">
        <f t="shared" si="6"/>
        <v>-7.3808038801509435E-3</v>
      </c>
      <c r="I95" s="19">
        <f>$B$5*Data!F95/Data!F94</f>
        <v>196558870.76532963</v>
      </c>
      <c r="J95" s="19">
        <f>$B$6*Data!I95/Data!I94</f>
        <v>195835570.36834115</v>
      </c>
      <c r="K95" s="19">
        <f>$B$7*Data!L95/Data!L94</f>
        <v>195136064.94575483</v>
      </c>
      <c r="L95" s="19">
        <f>$B$8*Data!O95/Data!O94</f>
        <v>196564770.81718594</v>
      </c>
      <c r="M95" s="19">
        <f>$B$9*Data!R95/Data!R94</f>
        <v>197863171.45840424</v>
      </c>
      <c r="N95" s="19">
        <f t="shared" si="4"/>
        <v>981958448.35501575</v>
      </c>
      <c r="O95">
        <f t="shared" si="5"/>
        <v>-1.6446551979396262E-2</v>
      </c>
    </row>
    <row r="96" spans="6:15" x14ac:dyDescent="0.3">
      <c r="F96" s="3">
        <v>45436</v>
      </c>
      <c r="G96" s="40">
        <v>5304.72</v>
      </c>
      <c r="H96" s="46">
        <f t="shared" si="6"/>
        <v>7.0009719353663069E-3</v>
      </c>
      <c r="I96" s="19">
        <f>$B$5*Data!F96/Data!F95</f>
        <v>197168283.19023466</v>
      </c>
      <c r="J96" s="19">
        <f>$B$6*Data!I96/Data!I95</f>
        <v>196967655.80469781</v>
      </c>
      <c r="K96" s="19">
        <f>$B$7*Data!L96/Data!L95</f>
        <v>194957757.79454759</v>
      </c>
      <c r="L96" s="19">
        <f>$B$8*Data!O96/Data!O95</f>
        <v>197040755.55060673</v>
      </c>
      <c r="M96" s="19">
        <f>$B$9*Data!R96/Data!R95</f>
        <v>198579217.76074913</v>
      </c>
      <c r="N96" s="19">
        <f t="shared" si="4"/>
        <v>984713670.10083592</v>
      </c>
      <c r="O96">
        <f t="shared" si="5"/>
        <v>2.8058435165314588E-3</v>
      </c>
    </row>
    <row r="97" spans="6:15" x14ac:dyDescent="0.3">
      <c r="F97" s="3">
        <v>45440</v>
      </c>
      <c r="G97" s="40">
        <v>5306.04</v>
      </c>
      <c r="H97" s="46">
        <f t="shared" si="6"/>
        <v>2.4883499977379486E-4</v>
      </c>
      <c r="I97" s="19">
        <f>$B$5*Data!F97/Data!F96</f>
        <v>202304145.24370778</v>
      </c>
      <c r="J97" s="19">
        <f>$B$6*Data!I97/Data!I96</f>
        <v>201751687.74338096</v>
      </c>
      <c r="K97" s="19">
        <f>$B$7*Data!L97/Data!L96</f>
        <v>202923781.94824788</v>
      </c>
      <c r="L97" s="19">
        <f>$B$8*Data!O97/Data!O96</f>
        <v>202472592.99106073</v>
      </c>
      <c r="M97" s="19">
        <f>$B$9*Data!R97/Data!R96</f>
        <v>203614802.16390339</v>
      </c>
      <c r="N97" s="19">
        <f t="shared" si="4"/>
        <v>1013067010.0903007</v>
      </c>
      <c r="O97">
        <f t="shared" si="5"/>
        <v>2.8793486726513384E-2</v>
      </c>
    </row>
    <row r="98" spans="6:15" x14ac:dyDescent="0.3">
      <c r="F98" s="3">
        <v>45441</v>
      </c>
      <c r="G98" s="40">
        <v>5266.95</v>
      </c>
      <c r="H98" s="46">
        <f t="shared" si="6"/>
        <v>-7.3670760114887823E-3</v>
      </c>
      <c r="I98" s="19">
        <f>$B$5*Data!F98/Data!F97</f>
        <v>196290175.68904394</v>
      </c>
      <c r="J98" s="19">
        <f>$B$6*Data!I98/Data!I97</f>
        <v>195693907.02918491</v>
      </c>
      <c r="K98" s="19">
        <f>$B$7*Data!L98/Data!L97</f>
        <v>195312474.95932221</v>
      </c>
      <c r="L98" s="19">
        <f>$B$8*Data!O98/Data!O97</f>
        <v>196099016.17128003</v>
      </c>
      <c r="M98" s="19">
        <f>$B$9*Data!R98/Data!R97</f>
        <v>197946004.51204655</v>
      </c>
      <c r="N98" s="19">
        <f t="shared" si="4"/>
        <v>981341578.36087763</v>
      </c>
      <c r="O98">
        <f t="shared" si="5"/>
        <v>-3.1316222336166266E-2</v>
      </c>
    </row>
    <row r="99" spans="6:15" x14ac:dyDescent="0.3">
      <c r="F99" s="3">
        <v>45442</v>
      </c>
      <c r="G99" s="40">
        <v>5235.4799999999996</v>
      </c>
      <c r="H99" s="46">
        <f t="shared" si="6"/>
        <v>-5.9749950160910004E-3</v>
      </c>
      <c r="I99" s="19">
        <f>$B$5*Data!F99/Data!F98</f>
        <v>197232434.03802487</v>
      </c>
      <c r="J99" s="19">
        <f>$B$6*Data!I99/Data!I98</f>
        <v>196830817.54372555</v>
      </c>
      <c r="K99" s="19">
        <f>$B$7*Data!L99/Data!L98</f>
        <v>199240196.02138454</v>
      </c>
      <c r="L99" s="19">
        <f>$B$8*Data!O99/Data!O98</f>
        <v>197021061.48547712</v>
      </c>
      <c r="M99" s="19">
        <f>$B$9*Data!R99/Data!R98</f>
        <v>196823530.81603539</v>
      </c>
      <c r="N99" s="19">
        <f t="shared" si="4"/>
        <v>987148039.90464735</v>
      </c>
      <c r="O99">
        <f t="shared" si="5"/>
        <v>5.9168608278763468E-3</v>
      </c>
    </row>
    <row r="100" spans="6:15" x14ac:dyDescent="0.3">
      <c r="F100" s="3">
        <v>45443</v>
      </c>
      <c r="G100" s="40">
        <v>5277.51</v>
      </c>
      <c r="H100" s="46">
        <f t="shared" si="6"/>
        <v>8.0279172110295782E-3</v>
      </c>
      <c r="I100" s="19">
        <f>$B$5*Data!F100/Data!F99</f>
        <v>198312499.24446094</v>
      </c>
      <c r="J100" s="19">
        <f>$B$6*Data!I100/Data!I99</f>
        <v>197294094.95440304</v>
      </c>
      <c r="K100" s="19">
        <f>$B$7*Data!L100/Data!L99</f>
        <v>196660545.31951338</v>
      </c>
      <c r="L100" s="19">
        <f>$B$8*Data!O100/Data!O99</f>
        <v>197786935.00806445</v>
      </c>
      <c r="M100" s="19">
        <f>$B$9*Data!R100/Data!R99</f>
        <v>198435132.57804015</v>
      </c>
      <c r="N100" s="19">
        <f t="shared" si="4"/>
        <v>988489207.10448194</v>
      </c>
      <c r="O100">
        <f t="shared" si="5"/>
        <v>1.3586282357043178E-3</v>
      </c>
    </row>
    <row r="101" spans="6:15" x14ac:dyDescent="0.3">
      <c r="F101" s="3">
        <v>45446</v>
      </c>
      <c r="G101" s="40">
        <v>5283.4</v>
      </c>
      <c r="H101" s="46">
        <f t="shared" si="6"/>
        <v>1.116056625188655E-3</v>
      </c>
      <c r="I101" s="19">
        <f>$B$5*Data!F101/Data!F100</f>
        <v>203557014.95418042</v>
      </c>
      <c r="J101" s="19">
        <f>$B$6*Data!I101/Data!I100</f>
        <v>204611821.19531825</v>
      </c>
      <c r="K101" s="19">
        <f>$B$7*Data!L101/Data!L100</f>
        <v>205033806.65122533</v>
      </c>
      <c r="L101" s="19">
        <f>$B$8*Data!O101/Data!O100</f>
        <v>204340711.35598433</v>
      </c>
      <c r="M101" s="19">
        <f>$B$9*Data!R101/Data!R100</f>
        <v>203035087.84624591</v>
      </c>
      <c r="N101" s="19">
        <f t="shared" si="4"/>
        <v>1020578442.0029542</v>
      </c>
      <c r="O101">
        <f t="shared" si="5"/>
        <v>3.2462908717505679E-2</v>
      </c>
    </row>
    <row r="102" spans="6:15" x14ac:dyDescent="0.3">
      <c r="F102" s="3">
        <v>45447</v>
      </c>
      <c r="G102" s="40">
        <v>5291.34</v>
      </c>
      <c r="H102" s="46">
        <f t="shared" si="6"/>
        <v>1.5028201536890773E-3</v>
      </c>
      <c r="I102" s="19">
        <f>$B$5*Data!F102/Data!F101</f>
        <v>200605397.22780049</v>
      </c>
      <c r="J102" s="19">
        <f>$B$6*Data!I102/Data!I101</f>
        <v>200720085.67086244</v>
      </c>
      <c r="K102" s="19">
        <f>$B$7*Data!L102/Data!L101</f>
        <v>200800326.21479678</v>
      </c>
      <c r="L102" s="19">
        <f>$B$8*Data!O102/Data!O101</f>
        <v>200842958.29516214</v>
      </c>
      <c r="M102" s="19">
        <f>$B$9*Data!R102/Data!R101</f>
        <v>202531414.07236785</v>
      </c>
      <c r="N102" s="19">
        <f t="shared" si="4"/>
        <v>1005500181.4809897</v>
      </c>
      <c r="O102">
        <f t="shared" si="5"/>
        <v>-1.4774229889054302E-2</v>
      </c>
    </row>
    <row r="103" spans="6:15" x14ac:dyDescent="0.3">
      <c r="F103" s="3">
        <v>45448</v>
      </c>
      <c r="G103" s="40">
        <v>5354.03</v>
      </c>
      <c r="H103" s="46">
        <f t="shared" si="6"/>
        <v>1.1847660516995706E-2</v>
      </c>
      <c r="I103" s="19">
        <f>$B$5*Data!F103/Data!F102</f>
        <v>199835825.45557645</v>
      </c>
      <c r="J103" s="19">
        <f>$B$6*Data!I103/Data!I102</f>
        <v>200046436.4955579</v>
      </c>
      <c r="K103" s="19">
        <f>$B$7*Data!L103/Data!L102</f>
        <v>200652692.45104119</v>
      </c>
      <c r="L103" s="19">
        <f>$B$8*Data!O103/Data!O102</f>
        <v>199681852.7473298</v>
      </c>
      <c r="M103" s="19">
        <f>$B$9*Data!R103/Data!R102</f>
        <v>197346111.00268221</v>
      </c>
      <c r="N103" s="19">
        <f t="shared" si="4"/>
        <v>997562918.15218759</v>
      </c>
      <c r="O103">
        <f t="shared" si="5"/>
        <v>-7.8938457446237065E-3</v>
      </c>
    </row>
    <row r="104" spans="6:15" x14ac:dyDescent="0.3">
      <c r="F104" s="3">
        <v>45449</v>
      </c>
      <c r="G104" s="40">
        <v>5352.96</v>
      </c>
      <c r="H104" s="46">
        <f t="shared" si="6"/>
        <v>-1.9984945919238051E-4</v>
      </c>
      <c r="I104" s="19">
        <f>$B$5*Data!F104/Data!F103</f>
        <v>200619215.80591208</v>
      </c>
      <c r="J104" s="19">
        <f>$B$6*Data!I104/Data!I103</f>
        <v>200427898.14053375</v>
      </c>
      <c r="K104" s="19">
        <f>$B$7*Data!L104/Data!L103</f>
        <v>201786469.0604324</v>
      </c>
      <c r="L104" s="19">
        <f>$B$8*Data!O104/Data!O103</f>
        <v>200441320.71348637</v>
      </c>
      <c r="M104" s="19">
        <f>$B$9*Data!R104/Data!R103</f>
        <v>200807438.29577288</v>
      </c>
      <c r="N104" s="19">
        <f t="shared" si="4"/>
        <v>1004082342.0161375</v>
      </c>
      <c r="O104">
        <f t="shared" si="5"/>
        <v>6.5353510493613154E-3</v>
      </c>
    </row>
    <row r="105" spans="6:15" x14ac:dyDescent="0.3">
      <c r="F105" s="3">
        <v>45450</v>
      </c>
      <c r="G105" s="40">
        <v>5346.99</v>
      </c>
      <c r="H105" s="46">
        <f t="shared" si="6"/>
        <v>-1.1152708034434244E-3</v>
      </c>
      <c r="I105" s="19">
        <f>$B$5*Data!F105/Data!F104</f>
        <v>198749861.09458563</v>
      </c>
      <c r="J105" s="19">
        <f>$B$6*Data!I105/Data!I104</f>
        <v>198759643.34583175</v>
      </c>
      <c r="K105" s="19">
        <f>$B$7*Data!L105/Data!L104</f>
        <v>196388693.26464754</v>
      </c>
      <c r="L105" s="19">
        <f>$B$8*Data!O105/Data!O104</f>
        <v>198575446.60525537</v>
      </c>
      <c r="M105" s="19">
        <f>$B$9*Data!R105/Data!R104</f>
        <v>201983445.8579177</v>
      </c>
      <c r="N105" s="19">
        <f t="shared" si="4"/>
        <v>994457090.16823804</v>
      </c>
      <c r="O105">
        <f t="shared" si="5"/>
        <v>-9.5861180354716025E-3</v>
      </c>
    </row>
    <row r="106" spans="6:15" x14ac:dyDescent="0.3">
      <c r="F106" s="3">
        <v>45454</v>
      </c>
      <c r="G106" s="40">
        <v>5375.32</v>
      </c>
      <c r="H106" s="46">
        <f t="shared" si="6"/>
        <v>5.2983080200261767E-3</v>
      </c>
      <c r="I106" s="19">
        <f>$B$5*Data!F106/Data!F105</f>
        <v>197916823.34634802</v>
      </c>
      <c r="J106" s="19">
        <f>$B$6*Data!I106/Data!I105</f>
        <v>198185059.3490656</v>
      </c>
      <c r="K106" s="19">
        <f>$B$7*Data!L106/Data!L105</f>
        <v>199088437.25666025</v>
      </c>
      <c r="L106" s="19">
        <f>$B$8*Data!O106/Data!O105</f>
        <v>198201092.35604382</v>
      </c>
      <c r="M106" s="19">
        <f>$B$9*Data!R106/Data!R105</f>
        <v>195764274.47663558</v>
      </c>
      <c r="N106" s="19">
        <f t="shared" si="4"/>
        <v>989155686.7847532</v>
      </c>
      <c r="O106">
        <f t="shared" si="5"/>
        <v>-5.3309523717991469E-3</v>
      </c>
    </row>
    <row r="107" spans="6:15" x14ac:dyDescent="0.3">
      <c r="F107" s="3">
        <v>45455</v>
      </c>
      <c r="G107" s="40">
        <v>5421.03</v>
      </c>
      <c r="H107" s="46">
        <f t="shared" si="6"/>
        <v>8.503679780924589E-3</v>
      </c>
      <c r="I107" s="19">
        <f>$B$5*Data!F107/Data!F106</f>
        <v>197446477.74217939</v>
      </c>
      <c r="J107" s="19">
        <f>$B$6*Data!I107/Data!I106</f>
        <v>197265760.979285</v>
      </c>
      <c r="K107" s="19">
        <f>$B$7*Data!L107/Data!L106</f>
        <v>196654621.68579343</v>
      </c>
      <c r="L107" s="19">
        <f>$B$8*Data!O107/Data!O106</f>
        <v>197197178.22105369</v>
      </c>
      <c r="M107" s="19">
        <f>$B$9*Data!R107/Data!R106</f>
        <v>197887265.59635717</v>
      </c>
      <c r="N107" s="19">
        <f t="shared" si="4"/>
        <v>986451304.22466874</v>
      </c>
      <c r="O107">
        <f t="shared" si="5"/>
        <v>-2.7340312513139953E-3</v>
      </c>
    </row>
    <row r="108" spans="6:15" x14ac:dyDescent="0.3">
      <c r="F108" s="3">
        <v>45456</v>
      </c>
      <c r="G108" s="40">
        <v>5433.74</v>
      </c>
      <c r="H108" s="46">
        <f t="shared" si="6"/>
        <v>2.3445728948188194E-3</v>
      </c>
      <c r="I108" s="19">
        <f>$B$5*Data!F108/Data!F107</f>
        <v>201928155.19303149</v>
      </c>
      <c r="J108" s="19">
        <f>$B$6*Data!I108/Data!I107</f>
        <v>202085799.57309556</v>
      </c>
      <c r="K108" s="19">
        <f>$B$7*Data!L108/Data!L107</f>
        <v>202572386.51116586</v>
      </c>
      <c r="L108" s="19">
        <f>$B$8*Data!O108/Data!O107</f>
        <v>201943346.64435568</v>
      </c>
      <c r="M108" s="19">
        <f>$B$9*Data!R108/Data!R107</f>
        <v>201856623.8741338</v>
      </c>
      <c r="N108" s="19">
        <f t="shared" si="4"/>
        <v>1010386311.7957824</v>
      </c>
      <c r="O108">
        <f t="shared" si="5"/>
        <v>2.4263749734637186E-2</v>
      </c>
    </row>
    <row r="109" spans="6:15" x14ac:dyDescent="0.3">
      <c r="F109" s="3">
        <v>45457</v>
      </c>
      <c r="G109" s="40">
        <v>5431.6</v>
      </c>
      <c r="H109" s="46">
        <f t="shared" si="6"/>
        <v>-3.9383555341243603E-4</v>
      </c>
      <c r="I109" s="19">
        <f>$B$5*Data!F109/Data!F108</f>
        <v>198100788.75074297</v>
      </c>
      <c r="J109" s="19">
        <f>$B$6*Data!I109/Data!I108</f>
        <v>198816893.54482594</v>
      </c>
      <c r="K109" s="19">
        <f>$B$7*Data!L109/Data!L108</f>
        <v>198301355.63779896</v>
      </c>
      <c r="L109" s="19">
        <f>$B$8*Data!O109/Data!O108</f>
        <v>198518857.5344196</v>
      </c>
      <c r="M109" s="19">
        <f>$B$9*Data!R109/Data!R108</f>
        <v>200370672.06736481</v>
      </c>
      <c r="N109" s="19">
        <f t="shared" si="4"/>
        <v>994108567.53515232</v>
      </c>
      <c r="O109">
        <f t="shared" si="5"/>
        <v>-1.6110416452197684E-2</v>
      </c>
    </row>
    <row r="110" spans="6:15" x14ac:dyDescent="0.3">
      <c r="F110" s="3">
        <v>45460</v>
      </c>
      <c r="G110" s="40">
        <v>5473.23</v>
      </c>
      <c r="H110" s="46">
        <f t="shared" si="6"/>
        <v>7.6644082774870448E-3</v>
      </c>
      <c r="I110" s="19">
        <f>$B$5*Data!F110/Data!F109</f>
        <v>199949706.93461668</v>
      </c>
      <c r="J110" s="19">
        <f>$B$6*Data!I110/Data!I109</f>
        <v>200019586.43411583</v>
      </c>
      <c r="K110" s="19">
        <f>$B$7*Data!L110/Data!L109</f>
        <v>200106131.22980234</v>
      </c>
      <c r="L110" s="19">
        <f>$B$8*Data!O110/Data!O109</f>
        <v>199975779.98093143</v>
      </c>
      <c r="M110" s="19">
        <f>$B$9*Data!R110/Data!R109</f>
        <v>197720686.54925966</v>
      </c>
      <c r="N110" s="19">
        <f t="shared" si="4"/>
        <v>997771891.12872589</v>
      </c>
      <c r="O110">
        <f t="shared" si="5"/>
        <v>3.6850337208707007E-3</v>
      </c>
    </row>
    <row r="111" spans="6:15" x14ac:dyDescent="0.3">
      <c r="F111" s="3">
        <v>45461</v>
      </c>
      <c r="G111" s="40">
        <v>5487.03</v>
      </c>
      <c r="H111" s="46">
        <f t="shared" si="6"/>
        <v>2.5213630708009749E-3</v>
      </c>
      <c r="I111" s="19">
        <f>$B$5*Data!F111/Data!F110</f>
        <v>199847395.41939563</v>
      </c>
      <c r="J111" s="19">
        <f>$B$6*Data!I111/Data!I110</f>
        <v>199290519.67448807</v>
      </c>
      <c r="K111" s="19">
        <f>$B$7*Data!L111/Data!L110</f>
        <v>199422039.47512054</v>
      </c>
      <c r="L111" s="19">
        <f>$B$8*Data!O111/Data!O110</f>
        <v>199907963.68060434</v>
      </c>
      <c r="M111" s="19">
        <f>$B$9*Data!R111/Data!R110</f>
        <v>200242192.57139295</v>
      </c>
      <c r="N111" s="19">
        <f t="shared" si="4"/>
        <v>998710110.82100153</v>
      </c>
      <c r="O111">
        <f t="shared" si="5"/>
        <v>9.4031481605916234E-4</v>
      </c>
    </row>
    <row r="112" spans="6:15" x14ac:dyDescent="0.3">
      <c r="F112" s="3">
        <v>45463</v>
      </c>
      <c r="G112" s="40">
        <v>5473.17</v>
      </c>
      <c r="H112" s="46">
        <f t="shared" si="6"/>
        <v>-2.5259566650810417E-3</v>
      </c>
      <c r="I112" s="19">
        <f>$B$5*Data!F112/Data!F111</f>
        <v>204759533.29095796</v>
      </c>
      <c r="J112" s="19">
        <f>$B$6*Data!I112/Data!I111</f>
        <v>205478058.41723025</v>
      </c>
      <c r="K112" s="19">
        <f>$B$7*Data!L112/Data!L111</f>
        <v>203896009.5352816</v>
      </c>
      <c r="L112" s="19">
        <f>$B$8*Data!O112/Data!O111</f>
        <v>205978303.57824051</v>
      </c>
      <c r="M112" s="19">
        <f>$B$9*Data!R112/Data!R111</f>
        <v>204914986.9972581</v>
      </c>
      <c r="N112" s="19">
        <f t="shared" si="4"/>
        <v>1025026891.8189683</v>
      </c>
      <c r="O112">
        <f t="shared" si="5"/>
        <v>2.6350770571785587E-2</v>
      </c>
    </row>
    <row r="113" spans="6:15" x14ac:dyDescent="0.3">
      <c r="F113" s="3">
        <v>45464</v>
      </c>
      <c r="G113" s="40">
        <v>5464.62</v>
      </c>
      <c r="H113" s="46">
        <f t="shared" si="6"/>
        <v>-1.5621659842468549E-3</v>
      </c>
      <c r="I113" s="19">
        <f>$B$5*Data!F113/Data!F112</f>
        <v>196618182.55427915</v>
      </c>
      <c r="J113" s="19">
        <f>$B$6*Data!I113/Data!I112</f>
        <v>196288027.54082906</v>
      </c>
      <c r="K113" s="19">
        <f>$B$7*Data!L113/Data!L112</f>
        <v>196435986.88326985</v>
      </c>
      <c r="L113" s="19">
        <f>$B$8*Data!O113/Data!O112</f>
        <v>196417534.17201251</v>
      </c>
      <c r="M113" s="19">
        <f>$B$9*Data!R113/Data!R112</f>
        <v>197572378.29962453</v>
      </c>
      <c r="N113" s="19">
        <f t="shared" si="4"/>
        <v>983332109.45001519</v>
      </c>
      <c r="O113">
        <f t="shared" si="5"/>
        <v>-4.0676769265012513E-2</v>
      </c>
    </row>
    <row r="114" spans="6:15" x14ac:dyDescent="0.3">
      <c r="F114" s="3">
        <v>45467</v>
      </c>
      <c r="G114" s="40">
        <v>5447.87</v>
      </c>
      <c r="H114" s="46">
        <f t="shared" si="6"/>
        <v>-3.0651719607218686E-3</v>
      </c>
      <c r="I114" s="19">
        <f>$B$5*Data!F114/Data!F113</f>
        <v>199944906.79900065</v>
      </c>
      <c r="J114" s="19">
        <f>$B$6*Data!I114/Data!I113</f>
        <v>200104741.29164869</v>
      </c>
      <c r="K114" s="19">
        <f>$B$7*Data!L114/Data!L113</f>
        <v>198663325.17846271</v>
      </c>
      <c r="L114" s="19">
        <f>$B$8*Data!O114/Data!O113</f>
        <v>199995496.96544495</v>
      </c>
      <c r="M114" s="19">
        <f>$B$9*Data!R114/Data!R113</f>
        <v>199599884.46416765</v>
      </c>
      <c r="N114" s="19">
        <f t="shared" si="4"/>
        <v>998308354.69872475</v>
      </c>
      <c r="O114">
        <f t="shared" si="5"/>
        <v>1.5230098869735809E-2</v>
      </c>
    </row>
    <row r="115" spans="6:15" x14ac:dyDescent="0.3">
      <c r="F115" s="3">
        <v>45468</v>
      </c>
      <c r="G115" s="40">
        <v>5469.3</v>
      </c>
      <c r="H115" s="46">
        <f t="shared" si="6"/>
        <v>3.9336474622191364E-3</v>
      </c>
      <c r="I115" s="19">
        <f>$B$5*Data!F115/Data!F114</f>
        <v>200475662.00884852</v>
      </c>
      <c r="J115" s="19">
        <f>$B$6*Data!I115/Data!I114</f>
        <v>200802373.77784345</v>
      </c>
      <c r="K115" s="19">
        <f>$B$7*Data!L115/Data!L114</f>
        <v>198775359.49232244</v>
      </c>
      <c r="L115" s="19">
        <f>$B$8*Data!O115/Data!O114</f>
        <v>200698697.7937564</v>
      </c>
      <c r="M115" s="19">
        <f>$B$9*Data!R115/Data!R114</f>
        <v>201740027.83917508</v>
      </c>
      <c r="N115" s="19">
        <f t="shared" si="4"/>
        <v>1002492120.9119458</v>
      </c>
      <c r="O115">
        <f t="shared" si="5"/>
        <v>4.1908556544973941E-3</v>
      </c>
    </row>
    <row r="116" spans="6:15" x14ac:dyDescent="0.3">
      <c r="F116" s="3">
        <v>45469</v>
      </c>
      <c r="G116" s="40">
        <v>5477.9</v>
      </c>
      <c r="H116" s="46">
        <f t="shared" si="6"/>
        <v>1.5724132887204867E-3</v>
      </c>
      <c r="I116" s="19">
        <f>$B$5*Data!F116/Data!F115</f>
        <v>200173077.79588783</v>
      </c>
      <c r="J116" s="19">
        <f>$B$6*Data!I116/Data!I115</f>
        <v>200118381.24767509</v>
      </c>
      <c r="K116" s="19">
        <f>$B$7*Data!L116/Data!L115</f>
        <v>201856757.24537018</v>
      </c>
      <c r="L116" s="19">
        <f>$B$8*Data!O116/Data!O115</f>
        <v>200379065.67672369</v>
      </c>
      <c r="M116" s="19">
        <f>$B$9*Data!R116/Data!R115</f>
        <v>199366558.5613915</v>
      </c>
      <c r="N116" s="19">
        <f t="shared" si="4"/>
        <v>1001893840.5270482</v>
      </c>
      <c r="O116">
        <f t="shared" si="5"/>
        <v>-5.9679310432225741E-4</v>
      </c>
    </row>
    <row r="117" spans="6:15" x14ac:dyDescent="0.3">
      <c r="F117" s="3">
        <v>45470</v>
      </c>
      <c r="G117" s="40">
        <v>5482.87</v>
      </c>
      <c r="H117" s="46">
        <f t="shared" si="6"/>
        <v>9.0728198762302092E-4</v>
      </c>
      <c r="I117" s="19">
        <f>$B$5*Data!F117/Data!F116</f>
        <v>195881106.50161728</v>
      </c>
      <c r="J117" s="19">
        <f>$B$6*Data!I117/Data!I116</f>
        <v>195274424.22041363</v>
      </c>
      <c r="K117" s="19">
        <f>$B$7*Data!L117/Data!L116</f>
        <v>194544992.46825278</v>
      </c>
      <c r="L117" s="19">
        <f>$B$8*Data!O117/Data!O116</f>
        <v>195279901.59168905</v>
      </c>
      <c r="M117" s="19">
        <f>$B$9*Data!R117/Data!R116</f>
        <v>194955624.07975015</v>
      </c>
      <c r="N117" s="19">
        <f t="shared" si="4"/>
        <v>975936048.86172283</v>
      </c>
      <c r="O117">
        <f t="shared" si="5"/>
        <v>-2.5908724672536465E-2</v>
      </c>
    </row>
    <row r="118" spans="6:15" x14ac:dyDescent="0.3">
      <c r="F118" s="3">
        <v>45471</v>
      </c>
      <c r="G118" s="40">
        <v>5460.48</v>
      </c>
      <c r="H118" s="46">
        <f t="shared" si="6"/>
        <v>-4.0836277351096184E-3</v>
      </c>
      <c r="I118" s="19">
        <f>$B$5*Data!F118/Data!F117</f>
        <v>200042090.80514801</v>
      </c>
      <c r="J118" s="19">
        <f>$B$6*Data!I118/Data!I117</f>
        <v>199819761.35932288</v>
      </c>
      <c r="K118" s="19">
        <f>$B$7*Data!L118/Data!L117</f>
        <v>198100157.83672071</v>
      </c>
      <c r="L118" s="19">
        <f>$B$8*Data!O118/Data!O117</f>
        <v>200264946.09084681</v>
      </c>
      <c r="M118" s="19">
        <f>$B$9*Data!R118/Data!R117</f>
        <v>202813832.52091059</v>
      </c>
      <c r="N118" s="19">
        <f t="shared" si="4"/>
        <v>1001040788.612949</v>
      </c>
      <c r="O118">
        <f t="shared" si="5"/>
        <v>2.5723754933027587E-2</v>
      </c>
    </row>
    <row r="119" spans="6:15" x14ac:dyDescent="0.3">
      <c r="F119" s="3">
        <v>45475</v>
      </c>
      <c r="G119" s="40">
        <v>5509.01</v>
      </c>
      <c r="H119" s="46">
        <f t="shared" si="6"/>
        <v>8.8874970698546996E-3</v>
      </c>
      <c r="I119" s="19">
        <f>$B$5*Data!F119/Data!F118</f>
        <v>200431742.50303867</v>
      </c>
      <c r="J119" s="19">
        <f>$B$6*Data!I119/Data!I118</f>
        <v>200952689.66944975</v>
      </c>
      <c r="K119" s="19">
        <f>$B$7*Data!L119/Data!L118</f>
        <v>199000353.64791483</v>
      </c>
      <c r="L119" s="19">
        <f>$B$8*Data!O119/Data!O118</f>
        <v>201220626.15912682</v>
      </c>
      <c r="M119" s="19">
        <f>$B$9*Data!R119/Data!R118</f>
        <v>203248028.52123317</v>
      </c>
      <c r="N119" s="19">
        <f t="shared" si="4"/>
        <v>1004853440.5007633</v>
      </c>
      <c r="O119">
        <f t="shared" si="5"/>
        <v>3.8086878488710063E-3</v>
      </c>
    </row>
    <row r="120" spans="6:15" x14ac:dyDescent="0.3">
      <c r="F120" s="3">
        <v>45476</v>
      </c>
      <c r="G120" s="40">
        <v>5537.02</v>
      </c>
      <c r="H120" s="46">
        <f t="shared" si="6"/>
        <v>5.0843981041965858E-3</v>
      </c>
      <c r="I120" s="19">
        <f>$B$5*Data!F120/Data!F119</f>
        <v>202453103.56603563</v>
      </c>
      <c r="J120" s="19">
        <f>$B$6*Data!I120/Data!I119</f>
        <v>202487024.4823741</v>
      </c>
      <c r="K120" s="19">
        <f>$B$7*Data!L120/Data!L119</f>
        <v>205058776.02108058</v>
      </c>
      <c r="L120" s="19">
        <f>$B$8*Data!O120/Data!O119</f>
        <v>202630578.80635253</v>
      </c>
      <c r="M120" s="19">
        <f>$B$9*Data!R120/Data!R119</f>
        <v>199868333.93466508</v>
      </c>
      <c r="N120" s="19">
        <f t="shared" si="4"/>
        <v>1012497816.8105079</v>
      </c>
      <c r="O120">
        <f t="shared" si="5"/>
        <v>7.607453984468604E-3</v>
      </c>
    </row>
    <row r="121" spans="6:15" x14ac:dyDescent="0.3">
      <c r="F121" s="3">
        <v>45478</v>
      </c>
      <c r="G121" s="40">
        <v>5567.19</v>
      </c>
      <c r="H121" s="46">
        <f t="shared" si="6"/>
        <v>5.4487793072806046E-3</v>
      </c>
      <c r="I121" s="19">
        <f>$B$5*Data!F121/Data!F120</f>
        <v>197928084.97015911</v>
      </c>
      <c r="J121" s="19">
        <f>$B$6*Data!I121/Data!I120</f>
        <v>198058907.5381498</v>
      </c>
      <c r="K121" s="19">
        <f>$B$7*Data!L121/Data!L120</f>
        <v>198257304.45012733</v>
      </c>
      <c r="L121" s="19">
        <f>$B$8*Data!O121/Data!O120</f>
        <v>197644127.08295155</v>
      </c>
      <c r="M121" s="19">
        <f>$B$9*Data!R121/Data!R120</f>
        <v>197520488.13222227</v>
      </c>
      <c r="N121" s="19">
        <f t="shared" si="4"/>
        <v>989408912.17361009</v>
      </c>
      <c r="O121">
        <f t="shared" si="5"/>
        <v>-2.2803905602118424E-2</v>
      </c>
    </row>
    <row r="122" spans="6:15" x14ac:dyDescent="0.3">
      <c r="F122" s="3">
        <v>45481</v>
      </c>
      <c r="G122" s="40">
        <v>5572.85</v>
      </c>
      <c r="H122" s="46">
        <f t="shared" si="6"/>
        <v>1.0166708878267539E-3</v>
      </c>
      <c r="I122" s="19">
        <f>$B$5*Data!F122/Data!F121</f>
        <v>196987067.82505015</v>
      </c>
      <c r="J122" s="19">
        <f>$B$6*Data!I122/Data!I121</f>
        <v>196908855.13480219</v>
      </c>
      <c r="K122" s="19">
        <f>$B$7*Data!L122/Data!L121</f>
        <v>198406200.17509931</v>
      </c>
      <c r="L122" s="19">
        <f>$B$8*Data!O122/Data!O121</f>
        <v>197026627.06940967</v>
      </c>
      <c r="M122" s="19">
        <f>$B$9*Data!R122/Data!R121</f>
        <v>197527421.98399016</v>
      </c>
      <c r="N122" s="19">
        <f t="shared" si="4"/>
        <v>986856172.18835139</v>
      </c>
      <c r="O122">
        <f t="shared" si="5"/>
        <v>-2.5800656875534234E-3</v>
      </c>
    </row>
    <row r="123" spans="6:15" x14ac:dyDescent="0.3">
      <c r="F123" s="3">
        <v>45482</v>
      </c>
      <c r="G123" s="40">
        <v>5576.98</v>
      </c>
      <c r="H123" s="46">
        <f t="shared" si="6"/>
        <v>7.410929775606423E-4</v>
      </c>
      <c r="I123" s="19">
        <f>$B$5*Data!F123/Data!F122</f>
        <v>199934204.93033522</v>
      </c>
      <c r="J123" s="19">
        <f>$B$6*Data!I123/Data!I122</f>
        <v>199803195.30002716</v>
      </c>
      <c r="K123" s="19">
        <f>$B$7*Data!L123/Data!L122</f>
        <v>201864835.75230703</v>
      </c>
      <c r="L123" s="19">
        <f>$B$8*Data!O123/Data!O122</f>
        <v>199654483.84954897</v>
      </c>
      <c r="M123" s="19">
        <f>$B$9*Data!R123/Data!R122</f>
        <v>198955293.73895356</v>
      </c>
      <c r="N123" s="19">
        <f t="shared" si="4"/>
        <v>1000212013.571172</v>
      </c>
      <c r="O123">
        <f t="shared" si="5"/>
        <v>1.353372635163641E-2</v>
      </c>
    </row>
    <row r="124" spans="6:15" x14ac:dyDescent="0.3">
      <c r="F124" s="3">
        <v>45483</v>
      </c>
      <c r="G124" s="40">
        <v>5633.91</v>
      </c>
      <c r="H124" s="46">
        <f t="shared" si="6"/>
        <v>1.0208033738690059E-2</v>
      </c>
      <c r="I124" s="19">
        <f>$B$5*Data!F124/Data!F123</f>
        <v>199437054.24742863</v>
      </c>
      <c r="J124" s="19">
        <f>$B$6*Data!I124/Data!I123</f>
        <v>199901744.20278561</v>
      </c>
      <c r="K124" s="19">
        <f>$B$7*Data!L124/Data!L123</f>
        <v>200002830.57155457</v>
      </c>
      <c r="L124" s="19">
        <f>$B$8*Data!O124/Data!O123</f>
        <v>199245983.68264467</v>
      </c>
      <c r="M124" s="19">
        <f>$B$9*Data!R124/Data!R123</f>
        <v>196155218.62904185</v>
      </c>
      <c r="N124" s="19">
        <f t="shared" si="4"/>
        <v>994742831.33345532</v>
      </c>
      <c r="O124">
        <f t="shared" si="5"/>
        <v>-5.4680229426453675E-3</v>
      </c>
    </row>
    <row r="125" spans="6:15" x14ac:dyDescent="0.3">
      <c r="F125" s="3">
        <v>45484</v>
      </c>
      <c r="G125" s="40">
        <v>5584.54</v>
      </c>
      <c r="H125" s="46">
        <f t="shared" si="6"/>
        <v>-8.763008283767415E-3</v>
      </c>
      <c r="I125" s="19">
        <f>$B$5*Data!F125/Data!F124</f>
        <v>204217406.80157778</v>
      </c>
      <c r="J125" s="19">
        <f>$B$6*Data!I125/Data!I124</f>
        <v>203478550.18496782</v>
      </c>
      <c r="K125" s="19">
        <f>$B$7*Data!L125/Data!L124</f>
        <v>205422026.62979114</v>
      </c>
      <c r="L125" s="19">
        <f>$B$8*Data!O125/Data!O124</f>
        <v>203947248.68111303</v>
      </c>
      <c r="M125" s="19">
        <f>$B$9*Data!R125/Data!R124</f>
        <v>203333453.46235174</v>
      </c>
      <c r="N125" s="19">
        <f t="shared" si="4"/>
        <v>1020398685.7598014</v>
      </c>
      <c r="O125">
        <f t="shared" si="5"/>
        <v>2.5791444399709151E-2</v>
      </c>
    </row>
    <row r="126" spans="6:15" x14ac:dyDescent="0.3">
      <c r="F126" s="3">
        <v>45485</v>
      </c>
      <c r="G126" s="40">
        <v>5615.35</v>
      </c>
      <c r="H126" s="46">
        <f t="shared" si="6"/>
        <v>5.5170166208855509E-3</v>
      </c>
      <c r="I126" s="19">
        <f>$B$5*Data!F126/Data!F125</f>
        <v>205173573.06893212</v>
      </c>
      <c r="J126" s="19">
        <f>$B$6*Data!I126/Data!I125</f>
        <v>205156953.26538026</v>
      </c>
      <c r="K126" s="19">
        <f>$B$7*Data!L126/Data!L125</f>
        <v>204633500.58393627</v>
      </c>
      <c r="L126" s="19">
        <f>$B$8*Data!O126/Data!O125</f>
        <v>205051451.03431025</v>
      </c>
      <c r="M126" s="19">
        <f>$B$9*Data!R126/Data!R125</f>
        <v>202152928.77504307</v>
      </c>
      <c r="N126" s="19">
        <f t="shared" si="4"/>
        <v>1022168406.727602</v>
      </c>
      <c r="O126">
        <f t="shared" si="5"/>
        <v>1.7343426569418341E-3</v>
      </c>
    </row>
    <row r="127" spans="6:15" x14ac:dyDescent="0.3">
      <c r="F127" s="3">
        <v>45488</v>
      </c>
      <c r="G127" s="40">
        <v>5631.22</v>
      </c>
      <c r="H127" s="46">
        <f t="shared" si="6"/>
        <v>2.826181805230199E-3</v>
      </c>
      <c r="I127" s="19">
        <f>$B$5*Data!F127/Data!F126</f>
        <v>196989479.8889536</v>
      </c>
      <c r="J127" s="19">
        <f>$B$6*Data!I127/Data!I126</f>
        <v>196688768.80881903</v>
      </c>
      <c r="K127" s="19">
        <f>$B$7*Data!L127/Data!L126</f>
        <v>194231925.91462615</v>
      </c>
      <c r="L127" s="19">
        <f>$B$8*Data!O127/Data!O126</f>
        <v>196625565.9497861</v>
      </c>
      <c r="M127" s="19">
        <f>$B$9*Data!R127/Data!R126</f>
        <v>198228697.12920791</v>
      </c>
      <c r="N127" s="19">
        <f t="shared" si="4"/>
        <v>982764437.69139266</v>
      </c>
      <c r="O127">
        <f t="shared" si="5"/>
        <v>-3.8549390469187261E-2</v>
      </c>
    </row>
    <row r="128" spans="6:15" x14ac:dyDescent="0.3">
      <c r="F128" s="3">
        <v>45489</v>
      </c>
      <c r="G128" s="40">
        <v>5667.2</v>
      </c>
      <c r="H128" s="46">
        <f t="shared" si="6"/>
        <v>6.3893792108991043E-3</v>
      </c>
      <c r="I128" s="19">
        <f>$B$5*Data!F128/Data!F127</f>
        <v>196773027.3671363</v>
      </c>
      <c r="J128" s="19">
        <f>$B$6*Data!I128/Data!I127</f>
        <v>196315471.84942773</v>
      </c>
      <c r="K128" s="19">
        <f>$B$7*Data!L128/Data!L127</f>
        <v>197260954.56273732</v>
      </c>
      <c r="L128" s="19">
        <f>$B$8*Data!O128/Data!O127</f>
        <v>196695226.38468608</v>
      </c>
      <c r="M128" s="19">
        <f>$B$9*Data!R128/Data!R127</f>
        <v>197831274.16855806</v>
      </c>
      <c r="N128" s="19">
        <f t="shared" si="4"/>
        <v>984875954.33254552</v>
      </c>
      <c r="O128">
        <f t="shared" si="5"/>
        <v>2.1485480753791197E-3</v>
      </c>
    </row>
    <row r="129" spans="6:15" x14ac:dyDescent="0.3">
      <c r="F129" s="3">
        <v>45490</v>
      </c>
      <c r="G129" s="40">
        <v>5588.27</v>
      </c>
      <c r="H129" s="46">
        <f t="shared" si="6"/>
        <v>-1.3927512704686507E-2</v>
      </c>
      <c r="I129" s="19">
        <f>$B$5*Data!F129/Data!F128</f>
        <v>200141765.81333593</v>
      </c>
      <c r="J129" s="19">
        <f>$B$6*Data!I129/Data!I128</f>
        <v>199906241.9335677</v>
      </c>
      <c r="K129" s="19">
        <f>$B$7*Data!L129/Data!L128</f>
        <v>201008776.40151277</v>
      </c>
      <c r="L129" s="19">
        <f>$B$8*Data!O129/Data!O128</f>
        <v>199409907.59589499</v>
      </c>
      <c r="M129" s="19">
        <f>$B$9*Data!R129/Data!R128</f>
        <v>197653629.74817237</v>
      </c>
      <c r="N129" s="19">
        <f t="shared" si="4"/>
        <v>998120321.49248374</v>
      </c>
      <c r="O129">
        <f t="shared" si="5"/>
        <v>1.344775156878919E-2</v>
      </c>
    </row>
    <row r="130" spans="6:15" x14ac:dyDescent="0.3">
      <c r="F130" s="3">
        <v>45491</v>
      </c>
      <c r="G130" s="40">
        <v>5544.59</v>
      </c>
      <c r="H130" s="46">
        <f t="shared" si="6"/>
        <v>-7.8163725088444824E-3</v>
      </c>
      <c r="I130" s="19">
        <f>$B$5*Data!F130/Data!F129</f>
        <v>200362706.45629087</v>
      </c>
      <c r="J130" s="19">
        <f>$B$6*Data!I130/Data!I129</f>
        <v>199915263.17778617</v>
      </c>
      <c r="K130" s="19">
        <f>$B$7*Data!L130/Data!L129</f>
        <v>198399405.18373942</v>
      </c>
      <c r="L130" s="19">
        <f>$B$8*Data!O130/Data!O129</f>
        <v>200218736.1819067</v>
      </c>
      <c r="M130" s="19">
        <f>$B$9*Data!R130/Data!R129</f>
        <v>202180486.21798423</v>
      </c>
      <c r="N130" s="19">
        <f t="shared" si="4"/>
        <v>1001076597.2177074</v>
      </c>
      <c r="O130">
        <f t="shared" si="5"/>
        <v>2.961843037924794E-3</v>
      </c>
    </row>
    <row r="131" spans="6:15" x14ac:dyDescent="0.3">
      <c r="F131" s="3">
        <v>45492</v>
      </c>
      <c r="G131" s="40">
        <v>5505</v>
      </c>
      <c r="H131" s="46">
        <f t="shared" si="6"/>
        <v>-7.1402935113327182E-3</v>
      </c>
      <c r="I131" s="19">
        <f>$B$5*Data!F131/Data!F130</f>
        <v>195941931.81504986</v>
      </c>
      <c r="J131" s="19">
        <f>$B$6*Data!I131/Data!I130</f>
        <v>195619606.83251053</v>
      </c>
      <c r="K131" s="19">
        <f>$B$7*Data!L131/Data!L130</f>
        <v>195760462.53525338</v>
      </c>
      <c r="L131" s="19">
        <f>$B$8*Data!O131/Data!O130</f>
        <v>195504534.78784803</v>
      </c>
      <c r="M131" s="19">
        <f>$B$9*Data!R131/Data!R130</f>
        <v>194687871.24173799</v>
      </c>
      <c r="N131" s="19">
        <f t="shared" si="4"/>
        <v>977514407.21239972</v>
      </c>
      <c r="O131">
        <f t="shared" si="5"/>
        <v>-2.3536850297763534E-2</v>
      </c>
    </row>
    <row r="132" spans="6:15" x14ac:dyDescent="0.3">
      <c r="F132" s="3">
        <v>45495</v>
      </c>
      <c r="G132" s="40">
        <v>5564.41</v>
      </c>
      <c r="H132" s="46">
        <f t="shared" si="6"/>
        <v>1.0792007266121617E-2</v>
      </c>
      <c r="I132" s="19">
        <f>$B$5*Data!F132/Data!F131</f>
        <v>202583316.05686951</v>
      </c>
      <c r="J132" s="19">
        <f>$B$6*Data!I132/Data!I131</f>
        <v>203221401.31200165</v>
      </c>
      <c r="K132" s="19">
        <f>$B$7*Data!L132/Data!L131</f>
        <v>204272960.10566327</v>
      </c>
      <c r="L132" s="19">
        <f>$B$8*Data!O132/Data!O131</f>
        <v>202961965.34114593</v>
      </c>
      <c r="M132" s="19">
        <f>$B$9*Data!R132/Data!R131</f>
        <v>202306077.55371431</v>
      </c>
      <c r="N132" s="19">
        <f t="shared" ref="N132:N195" si="7">SUM(I132:M132)</f>
        <v>1015345720.3693945</v>
      </c>
      <c r="O132">
        <f t="shared" ref="O132:O195" si="8">$N132/$N131-1</f>
        <v>3.8701540230879239E-2</v>
      </c>
    </row>
    <row r="133" spans="6:15" x14ac:dyDescent="0.3">
      <c r="F133" s="3">
        <v>45496</v>
      </c>
      <c r="G133" s="40">
        <v>5555.74</v>
      </c>
      <c r="H133" s="46">
        <f t="shared" si="6"/>
        <v>-1.558116673645582E-3</v>
      </c>
      <c r="I133" s="19">
        <f>$B$5*Data!F133/Data!F132</f>
        <v>198055766.00003684</v>
      </c>
      <c r="J133" s="19">
        <f>$B$6*Data!I133/Data!I132</f>
        <v>198016475.25780815</v>
      </c>
      <c r="K133" s="19">
        <f>$B$7*Data!L133/Data!L132</f>
        <v>196309938.68717524</v>
      </c>
      <c r="L133" s="19">
        <f>$B$8*Data!O133/Data!O132</f>
        <v>198049385.20314726</v>
      </c>
      <c r="M133" s="19">
        <f>$B$9*Data!R133/Data!R132</f>
        <v>198189632.59584695</v>
      </c>
      <c r="N133" s="19">
        <f t="shared" si="7"/>
        <v>988621197.7440145</v>
      </c>
      <c r="O133">
        <f t="shared" si="8"/>
        <v>-2.6320613845358332E-2</v>
      </c>
    </row>
    <row r="134" spans="6:15" x14ac:dyDescent="0.3">
      <c r="F134" s="3">
        <v>45497</v>
      </c>
      <c r="G134" s="40">
        <v>5427.13</v>
      </c>
      <c r="H134" s="46">
        <f t="shared" ref="H134:H197" si="9">$G134/$G133-1</f>
        <v>-2.3149031452155744E-2</v>
      </c>
      <c r="I134" s="19">
        <f>$B$5*Data!F134/Data!F133</f>
        <v>198210412.74646565</v>
      </c>
      <c r="J134" s="19">
        <f>$B$6*Data!I134/Data!I133</f>
        <v>198922141.91858673</v>
      </c>
      <c r="K134" s="19">
        <f>$B$7*Data!L134/Data!L133</f>
        <v>196982440.3565588</v>
      </c>
      <c r="L134" s="19">
        <f>$B$8*Data!O134/Data!O133</f>
        <v>198332054.28536311</v>
      </c>
      <c r="M134" s="19">
        <f>$B$9*Data!R134/Data!R133</f>
        <v>200072089.50812528</v>
      </c>
      <c r="N134" s="19">
        <f t="shared" si="7"/>
        <v>992519138.8150996</v>
      </c>
      <c r="O134">
        <f t="shared" si="8"/>
        <v>3.9428054749179875E-3</v>
      </c>
    </row>
    <row r="135" spans="6:15" x14ac:dyDescent="0.3">
      <c r="F135" s="3">
        <v>45498</v>
      </c>
      <c r="G135" s="40">
        <v>5399.22</v>
      </c>
      <c r="H135" s="46">
        <f t="shared" si="9"/>
        <v>-5.1426813066942634E-3</v>
      </c>
      <c r="I135" s="19">
        <f>$B$5*Data!F135/Data!F134</f>
        <v>196514095.60957965</v>
      </c>
      <c r="J135" s="19">
        <f>$B$6*Data!I135/Data!I134</f>
        <v>195968354.31411225</v>
      </c>
      <c r="K135" s="19">
        <f>$B$7*Data!L135/Data!L134</f>
        <v>196043568.22595352</v>
      </c>
      <c r="L135" s="19">
        <f>$B$8*Data!O135/Data!O134</f>
        <v>195953692.74504191</v>
      </c>
      <c r="M135" s="19">
        <f>$B$9*Data!R135/Data!R134</f>
        <v>195739666.41070795</v>
      </c>
      <c r="N135" s="19">
        <f t="shared" si="7"/>
        <v>980219377.30539513</v>
      </c>
      <c r="O135">
        <f t="shared" si="8"/>
        <v>-1.2392467841364052E-2</v>
      </c>
    </row>
    <row r="136" spans="6:15" x14ac:dyDescent="0.3">
      <c r="F136" s="3">
        <v>45499</v>
      </c>
      <c r="G136" s="40">
        <v>5459.1</v>
      </c>
      <c r="H136" s="46">
        <f t="shared" si="9"/>
        <v>1.1090490848678192E-2</v>
      </c>
      <c r="I136" s="19">
        <f>$B$5*Data!F136/Data!F135</f>
        <v>200187050.31693986</v>
      </c>
      <c r="J136" s="19">
        <f>$B$6*Data!I136/Data!I135</f>
        <v>200139497.27490139</v>
      </c>
      <c r="K136" s="19">
        <f>$B$7*Data!L136/Data!L135</f>
        <v>201308393.62595281</v>
      </c>
      <c r="L136" s="19">
        <f>$B$8*Data!O136/Data!O135</f>
        <v>199799751.39487019</v>
      </c>
      <c r="M136" s="19">
        <f>$B$9*Data!R136/Data!R135</f>
        <v>198954503.10211182</v>
      </c>
      <c r="N136" s="19">
        <f t="shared" si="7"/>
        <v>1000389195.714776</v>
      </c>
      <c r="O136">
        <f t="shared" si="8"/>
        <v>2.0576841140222513E-2</v>
      </c>
    </row>
    <row r="137" spans="6:15" x14ac:dyDescent="0.3">
      <c r="F137" s="3">
        <v>45502</v>
      </c>
      <c r="G137" s="40">
        <v>5463.54</v>
      </c>
      <c r="H137" s="46">
        <f t="shared" si="9"/>
        <v>8.1332087706753597E-4</v>
      </c>
      <c r="I137" s="19">
        <f>$B$5*Data!F137/Data!F136</f>
        <v>202467104.29304874</v>
      </c>
      <c r="J137" s="19">
        <f>$B$6*Data!I137/Data!I136</f>
        <v>202150616.78244165</v>
      </c>
      <c r="K137" s="19">
        <f>$B$7*Data!L137/Data!L136</f>
        <v>201245718.43589458</v>
      </c>
      <c r="L137" s="19">
        <f>$B$8*Data!O137/Data!O136</f>
        <v>202243639.33211666</v>
      </c>
      <c r="M137" s="19">
        <f>$B$9*Data!R137/Data!R136</f>
        <v>200222893.48251024</v>
      </c>
      <c r="N137" s="19">
        <f t="shared" si="7"/>
        <v>1008329972.3260118</v>
      </c>
      <c r="O137">
        <f t="shared" si="8"/>
        <v>7.9376872973544454E-3</v>
      </c>
    </row>
    <row r="138" spans="6:15" x14ac:dyDescent="0.3">
      <c r="F138" s="3">
        <v>45503</v>
      </c>
      <c r="G138" s="40">
        <v>5436.44</v>
      </c>
      <c r="H138" s="46">
        <f t="shared" si="9"/>
        <v>-4.9601540393225951E-3</v>
      </c>
      <c r="I138" s="19">
        <f>$B$5*Data!F138/Data!F137</f>
        <v>197182686.923668</v>
      </c>
      <c r="J138" s="19">
        <f>$B$6*Data!I138/Data!I137</f>
        <v>197414878.06876239</v>
      </c>
      <c r="K138" s="19">
        <f>$B$7*Data!L138/Data!L137</f>
        <v>196881921.35849971</v>
      </c>
      <c r="L138" s="19">
        <f>$B$8*Data!O138/Data!O137</f>
        <v>196826766.80883327</v>
      </c>
      <c r="M138" s="19">
        <f>$B$9*Data!R138/Data!R137</f>
        <v>196734675.4708795</v>
      </c>
      <c r="N138" s="19">
        <f t="shared" si="7"/>
        <v>985040928.63064289</v>
      </c>
      <c r="O138">
        <f t="shared" si="8"/>
        <v>-2.3096649246323375E-2</v>
      </c>
    </row>
    <row r="139" spans="6:15" x14ac:dyDescent="0.3">
      <c r="F139" s="3">
        <v>45504</v>
      </c>
      <c r="G139" s="40">
        <v>5522.3</v>
      </c>
      <c r="H139" s="46">
        <f t="shared" si="9"/>
        <v>1.579342363752767E-2</v>
      </c>
      <c r="I139" s="19">
        <f>$B$5*Data!F139/Data!F138</f>
        <v>204050533.71540833</v>
      </c>
      <c r="J139" s="19">
        <f>$B$6*Data!I139/Data!I138</f>
        <v>204122558.46896666</v>
      </c>
      <c r="K139" s="19">
        <f>$B$7*Data!L139/Data!L138</f>
        <v>206055595.47084695</v>
      </c>
      <c r="L139" s="19">
        <f>$B$8*Data!O139/Data!O138</f>
        <v>204055934.74242592</v>
      </c>
      <c r="M139" s="19">
        <f>$B$9*Data!R139/Data!R138</f>
        <v>202705785.78425109</v>
      </c>
      <c r="N139" s="19">
        <f t="shared" si="7"/>
        <v>1020990408.181899</v>
      </c>
      <c r="O139">
        <f t="shared" si="8"/>
        <v>3.6495417100314009E-2</v>
      </c>
    </row>
    <row r="140" spans="6:15" x14ac:dyDescent="0.3">
      <c r="F140" s="3">
        <v>45505</v>
      </c>
      <c r="G140" s="40">
        <v>5446.68</v>
      </c>
      <c r="H140" s="46">
        <f t="shared" si="9"/>
        <v>-1.3693569708273734E-2</v>
      </c>
      <c r="I140" s="19">
        <f>$B$5*Data!F140/Data!F139</f>
        <v>199473969.87517965</v>
      </c>
      <c r="J140" s="19">
        <f>$B$6*Data!I140/Data!I139</f>
        <v>198843153.75313747</v>
      </c>
      <c r="K140" s="19">
        <f>$B$7*Data!L140/Data!L139</f>
        <v>197640449.16080791</v>
      </c>
      <c r="L140" s="19">
        <f>$B$8*Data!O140/Data!O139</f>
        <v>199251276.61065161</v>
      </c>
      <c r="M140" s="19">
        <f>$B$9*Data!R140/Data!R139</f>
        <v>199575261.1441907</v>
      </c>
      <c r="N140" s="19">
        <f t="shared" si="7"/>
        <v>994784110.54396725</v>
      </c>
      <c r="O140">
        <f t="shared" si="8"/>
        <v>-2.5667525794486057E-2</v>
      </c>
    </row>
    <row r="141" spans="6:15" x14ac:dyDescent="0.3">
      <c r="F141" s="3">
        <v>45506</v>
      </c>
      <c r="G141" s="40">
        <v>5346.56</v>
      </c>
      <c r="H141" s="46">
        <f t="shared" si="9"/>
        <v>-1.8381839946536194E-2</v>
      </c>
      <c r="I141" s="19">
        <f>$B$5*Data!F141/Data!F140</f>
        <v>196058951.81780946</v>
      </c>
      <c r="J141" s="19">
        <f>$B$6*Data!I141/Data!I140</f>
        <v>196406029.99830791</v>
      </c>
      <c r="K141" s="19">
        <f>$B$7*Data!L141/Data!L140</f>
        <v>194978197.28572991</v>
      </c>
      <c r="L141" s="19">
        <f>$B$8*Data!O141/Data!O140</f>
        <v>196548234.85620958</v>
      </c>
      <c r="M141" s="19">
        <f>$B$9*Data!R141/Data!R140</f>
        <v>199151358.87851015</v>
      </c>
      <c r="N141" s="19">
        <f t="shared" si="7"/>
        <v>983142772.83656704</v>
      </c>
      <c r="O141">
        <f t="shared" si="8"/>
        <v>-1.1702376007025728E-2</v>
      </c>
    </row>
    <row r="142" spans="6:15" x14ac:dyDescent="0.3">
      <c r="F142" s="3">
        <v>45509</v>
      </c>
      <c r="G142" s="40">
        <v>5186.33</v>
      </c>
      <c r="H142" s="46">
        <f t="shared" si="9"/>
        <v>-2.9968802370122227E-2</v>
      </c>
      <c r="I142" s="19">
        <f>$B$5*Data!F142/Data!F141</f>
        <v>197530890.26939917</v>
      </c>
      <c r="J142" s="19">
        <f>$B$6*Data!I142/Data!I141</f>
        <v>197735862.3867543</v>
      </c>
      <c r="K142" s="19">
        <f>$B$7*Data!L142/Data!L141</f>
        <v>197720292.04149929</v>
      </c>
      <c r="L142" s="19">
        <f>$B$8*Data!O142/Data!O141</f>
        <v>197159598.73744151</v>
      </c>
      <c r="M142" s="19">
        <f>$B$9*Data!R142/Data!R141</f>
        <v>195883256.58274791</v>
      </c>
      <c r="N142" s="19">
        <f t="shared" si="7"/>
        <v>986029900.01784217</v>
      </c>
      <c r="O142">
        <f t="shared" si="8"/>
        <v>2.9366306309155377E-3</v>
      </c>
    </row>
    <row r="143" spans="6:15" x14ac:dyDescent="0.3">
      <c r="F143" s="3">
        <v>45510</v>
      </c>
      <c r="G143" s="40">
        <v>5240.03</v>
      </c>
      <c r="H143" s="46">
        <f t="shared" si="9"/>
        <v>1.0354142524675369E-2</v>
      </c>
      <c r="I143" s="19">
        <f>$B$5*Data!F143/Data!F142</f>
        <v>199237993.84154415</v>
      </c>
      <c r="J143" s="19">
        <f>$B$6*Data!I143/Data!I142</f>
        <v>198766419.82730371</v>
      </c>
      <c r="K143" s="19">
        <f>$B$7*Data!L143/Data!L142</f>
        <v>200034129.70420372</v>
      </c>
      <c r="L143" s="19">
        <f>$B$8*Data!O143/Data!O142</f>
        <v>199031414.04425764</v>
      </c>
      <c r="M143" s="19">
        <f>$B$9*Data!R143/Data!R142</f>
        <v>200026321.70477369</v>
      </c>
      <c r="N143" s="19">
        <f t="shared" si="7"/>
        <v>997096279.12208295</v>
      </c>
      <c r="O143">
        <f t="shared" si="8"/>
        <v>1.1223167881664109E-2</v>
      </c>
    </row>
    <row r="144" spans="6:15" x14ac:dyDescent="0.3">
      <c r="F144" s="3">
        <v>45511</v>
      </c>
      <c r="G144" s="40">
        <v>5199.5</v>
      </c>
      <c r="H144" s="46">
        <f t="shared" si="9"/>
        <v>-7.7346885418594358E-3</v>
      </c>
      <c r="I144" s="19">
        <f>$B$5*Data!F144/Data!F143</f>
        <v>202665445.78733221</v>
      </c>
      <c r="J144" s="19">
        <f>$B$6*Data!I144/Data!I143</f>
        <v>202936617.11520809</v>
      </c>
      <c r="K144" s="19">
        <f>$B$7*Data!L144/Data!L143</f>
        <v>202283610.55478498</v>
      </c>
      <c r="L144" s="19">
        <f>$B$8*Data!O144/Data!O143</f>
        <v>202648962.58101255</v>
      </c>
      <c r="M144" s="19">
        <f>$B$9*Data!R144/Data!R143</f>
        <v>203209500.74196172</v>
      </c>
      <c r="N144" s="19">
        <f t="shared" si="7"/>
        <v>1013744136.7802997</v>
      </c>
      <c r="O144">
        <f t="shared" si="8"/>
        <v>1.6696339166840213E-2</v>
      </c>
    </row>
    <row r="145" spans="6:15" x14ac:dyDescent="0.3">
      <c r="F145" s="3">
        <v>45512</v>
      </c>
      <c r="G145" s="40">
        <v>5319.31</v>
      </c>
      <c r="H145" s="46">
        <f t="shared" si="9"/>
        <v>2.3042600250024137E-2</v>
      </c>
      <c r="I145" s="19">
        <f>$B$5*Data!F145/Data!F144</f>
        <v>200263126.41849551</v>
      </c>
      <c r="J145" s="19">
        <f>$B$6*Data!I145/Data!I144</f>
        <v>199905519.7772361</v>
      </c>
      <c r="K145" s="19">
        <f>$B$7*Data!L145/Data!L144</f>
        <v>199166355.07890907</v>
      </c>
      <c r="L145" s="19">
        <f>$B$8*Data!O145/Data!O144</f>
        <v>200377422.78153974</v>
      </c>
      <c r="M145" s="19">
        <f>$B$9*Data!R145/Data!R144</f>
        <v>200041292.56763172</v>
      </c>
      <c r="N145" s="19">
        <f t="shared" si="7"/>
        <v>999753716.6238122</v>
      </c>
      <c r="O145">
        <f t="shared" si="8"/>
        <v>-1.3800740886079743E-2</v>
      </c>
    </row>
    <row r="146" spans="6:15" x14ac:dyDescent="0.3">
      <c r="F146" s="3">
        <v>45513</v>
      </c>
      <c r="G146" s="40">
        <v>5344.16</v>
      </c>
      <c r="H146" s="46">
        <f t="shared" si="9"/>
        <v>4.6716585421793244E-3</v>
      </c>
      <c r="I146" s="19">
        <f>$B$5*Data!F146/Data!F145</f>
        <v>202273808.14177743</v>
      </c>
      <c r="J146" s="19">
        <f>$B$6*Data!I146/Data!I145</f>
        <v>202985064.87880388</v>
      </c>
      <c r="K146" s="19">
        <f>$B$7*Data!L146/Data!L145</f>
        <v>204089596.02379543</v>
      </c>
      <c r="L146" s="19">
        <f>$B$8*Data!O146/Data!O145</f>
        <v>202495741.85794482</v>
      </c>
      <c r="M146" s="19">
        <f>$B$9*Data!R146/Data!R145</f>
        <v>201706299.93957067</v>
      </c>
      <c r="N146" s="19">
        <f t="shared" si="7"/>
        <v>1013550510.8418922</v>
      </c>
      <c r="O146">
        <f t="shared" si="8"/>
        <v>1.3800192976198167E-2</v>
      </c>
    </row>
    <row r="147" spans="6:15" x14ac:dyDescent="0.3">
      <c r="F147" s="3">
        <v>45516</v>
      </c>
      <c r="G147" s="40">
        <v>5344.39</v>
      </c>
      <c r="H147" s="46">
        <f t="shared" si="9"/>
        <v>4.3037633603804082E-5</v>
      </c>
      <c r="I147" s="19">
        <f>$B$5*Data!F147/Data!F146</f>
        <v>200422882.84847561</v>
      </c>
      <c r="J147" s="19">
        <f>$B$6*Data!I147/Data!I146</f>
        <v>201027886.81481257</v>
      </c>
      <c r="K147" s="19">
        <f>$B$7*Data!L147/Data!L146</f>
        <v>199766621.4885169</v>
      </c>
      <c r="L147" s="19">
        <f>$B$8*Data!O147/Data!O146</f>
        <v>200564834.26781109</v>
      </c>
      <c r="M147" s="19">
        <f>$B$9*Data!R147/Data!R146</f>
        <v>199221415.01848787</v>
      </c>
      <c r="N147" s="19">
        <f t="shared" si="7"/>
        <v>1001003640.4381039</v>
      </c>
      <c r="O147">
        <f t="shared" si="8"/>
        <v>-1.2379126910376126E-2</v>
      </c>
    </row>
    <row r="148" spans="6:15" x14ac:dyDescent="0.3">
      <c r="F148" s="3">
        <v>45517</v>
      </c>
      <c r="G148" s="40">
        <v>5434.43</v>
      </c>
      <c r="H148" s="46">
        <f t="shared" si="9"/>
        <v>1.6847572875482442E-2</v>
      </c>
      <c r="I148" s="19">
        <f>$B$5*Data!F148/Data!F147</f>
        <v>200799033.99747244</v>
      </c>
      <c r="J148" s="19">
        <f>$B$6*Data!I148/Data!I147</f>
        <v>200581710.11387974</v>
      </c>
      <c r="K148" s="19">
        <f>$B$7*Data!L148/Data!L147</f>
        <v>200060586.75586933</v>
      </c>
      <c r="L148" s="19">
        <f>$B$8*Data!O148/Data!O147</f>
        <v>200724658.64253438</v>
      </c>
      <c r="M148" s="19">
        <f>$B$9*Data!R148/Data!R147</f>
        <v>201145555.84664968</v>
      </c>
      <c r="N148" s="19">
        <f t="shared" si="7"/>
        <v>1003311545.3564056</v>
      </c>
      <c r="O148">
        <f t="shared" si="8"/>
        <v>2.3055909340066183E-3</v>
      </c>
    </row>
    <row r="149" spans="6:15" x14ac:dyDescent="0.3">
      <c r="F149" s="3">
        <v>45518</v>
      </c>
      <c r="G149" s="40">
        <v>5455.21</v>
      </c>
      <c r="H149" s="46">
        <f t="shared" si="9"/>
        <v>3.8237680860733203E-3</v>
      </c>
      <c r="I149" s="19">
        <f>$B$5*Data!F149/Data!F148</f>
        <v>199193371.10628</v>
      </c>
      <c r="J149" s="19">
        <f>$B$6*Data!I149/Data!I148</f>
        <v>198537575.81857318</v>
      </c>
      <c r="K149" s="19">
        <f>$B$7*Data!L149/Data!L148</f>
        <v>197918786.06098598</v>
      </c>
      <c r="L149" s="19">
        <f>$B$8*Data!O149/Data!O148</f>
        <v>199098567.52979395</v>
      </c>
      <c r="M149" s="19">
        <f>$B$9*Data!R149/Data!R148</f>
        <v>199334489.13955775</v>
      </c>
      <c r="N149" s="19">
        <f t="shared" si="7"/>
        <v>994082789.65519083</v>
      </c>
      <c r="O149">
        <f t="shared" si="8"/>
        <v>-9.1982951296911697E-3</v>
      </c>
    </row>
    <row r="150" spans="6:15" x14ac:dyDescent="0.3">
      <c r="F150" s="3">
        <v>45519</v>
      </c>
      <c r="G150" s="40">
        <v>5543.22</v>
      </c>
      <c r="H150" s="46">
        <f t="shared" si="9"/>
        <v>1.6133201104998829E-2</v>
      </c>
      <c r="I150" s="19">
        <f>$B$5*Data!F150/Data!F149</f>
        <v>199827584.73171163</v>
      </c>
      <c r="J150" s="19">
        <f>$B$6*Data!I150/Data!I149</f>
        <v>200282786.83931914</v>
      </c>
      <c r="K150" s="19">
        <f>$B$7*Data!L150/Data!L149</f>
        <v>199210557.45946756</v>
      </c>
      <c r="L150" s="19">
        <f>$B$8*Data!O150/Data!O149</f>
        <v>200212258.70747292</v>
      </c>
      <c r="M150" s="19">
        <f>$B$9*Data!R150/Data!R149</f>
        <v>200553714.43909359</v>
      </c>
      <c r="N150" s="19">
        <f t="shared" si="7"/>
        <v>1000086902.1770648</v>
      </c>
      <c r="O150">
        <f t="shared" si="8"/>
        <v>6.0398515942083897E-3</v>
      </c>
    </row>
    <row r="151" spans="6:15" x14ac:dyDescent="0.3">
      <c r="F151" s="3">
        <v>45520</v>
      </c>
      <c r="G151" s="40">
        <v>5554.25</v>
      </c>
      <c r="H151" s="46">
        <f t="shared" si="9"/>
        <v>1.9898181923141411E-3</v>
      </c>
      <c r="I151" s="19">
        <f>$B$5*Data!F151/Data!F150</f>
        <v>203817967.18288627</v>
      </c>
      <c r="J151" s="19">
        <f>$B$6*Data!I151/Data!I150</f>
        <v>204570063.37329417</v>
      </c>
      <c r="K151" s="19">
        <f>$B$7*Data!L151/Data!L150</f>
        <v>204480554.39850143</v>
      </c>
      <c r="L151" s="19">
        <f>$B$8*Data!O151/Data!O150</f>
        <v>204261827.96295696</v>
      </c>
      <c r="M151" s="19">
        <f>$B$9*Data!R151/Data!R150</f>
        <v>201578688.11327195</v>
      </c>
      <c r="N151" s="19">
        <f t="shared" si="7"/>
        <v>1018709101.0309107</v>
      </c>
      <c r="O151">
        <f t="shared" si="8"/>
        <v>1.8620580684846288E-2</v>
      </c>
    </row>
    <row r="152" spans="6:15" x14ac:dyDescent="0.3">
      <c r="F152" s="3">
        <v>45523</v>
      </c>
      <c r="G152" s="40">
        <v>5608.25</v>
      </c>
      <c r="H152" s="46">
        <f t="shared" si="9"/>
        <v>9.7222847369131671E-3</v>
      </c>
      <c r="I152" s="19">
        <f>$B$5*Data!F152/Data!F151</f>
        <v>201754950.69329801</v>
      </c>
      <c r="J152" s="19">
        <f>$B$6*Data!I152/Data!I151</f>
        <v>202332015.12644234</v>
      </c>
      <c r="K152" s="19">
        <f>$B$7*Data!L152/Data!L151</f>
        <v>203510143.88890368</v>
      </c>
      <c r="L152" s="19">
        <f>$B$8*Data!O152/Data!O151</f>
        <v>202231659.63593224</v>
      </c>
      <c r="M152" s="19">
        <f>$B$9*Data!R152/Data!R151</f>
        <v>201573063.39318815</v>
      </c>
      <c r="N152" s="19">
        <f t="shared" si="7"/>
        <v>1011401832.7377644</v>
      </c>
      <c r="O152">
        <f t="shared" si="8"/>
        <v>-7.1730666642239038E-3</v>
      </c>
    </row>
    <row r="153" spans="6:15" x14ac:dyDescent="0.3">
      <c r="F153" s="3">
        <v>45524</v>
      </c>
      <c r="G153" s="40">
        <v>5597.12</v>
      </c>
      <c r="H153" s="46">
        <f t="shared" si="9"/>
        <v>-1.9845762938528466E-3</v>
      </c>
      <c r="I153" s="19">
        <f>$B$5*Data!F153/Data!F152</f>
        <v>199341868.25098222</v>
      </c>
      <c r="J153" s="19">
        <f>$B$6*Data!I153/Data!I152</f>
        <v>199413638.41803491</v>
      </c>
      <c r="K153" s="19">
        <f>$B$7*Data!L153/Data!L152</f>
        <v>198926655.2089583</v>
      </c>
      <c r="L153" s="19">
        <f>$B$8*Data!O153/Data!O152</f>
        <v>199034949.66818079</v>
      </c>
      <c r="M153" s="19">
        <f>$B$9*Data!R153/Data!R152</f>
        <v>198112321.79283687</v>
      </c>
      <c r="N153" s="19">
        <f t="shared" si="7"/>
        <v>994829433.33899319</v>
      </c>
      <c r="O153">
        <f t="shared" si="8"/>
        <v>-1.6385573826687039E-2</v>
      </c>
    </row>
    <row r="154" spans="6:15" x14ac:dyDescent="0.3">
      <c r="F154" s="3">
        <v>45525</v>
      </c>
      <c r="G154" s="40">
        <v>5620.85</v>
      </c>
      <c r="H154" s="46">
        <f t="shared" si="9"/>
        <v>4.2396804070665706E-3</v>
      </c>
      <c r="I154" s="19">
        <f>$B$5*Data!F154/Data!F153</f>
        <v>198483370.66463485</v>
      </c>
      <c r="J154" s="19">
        <f>$B$6*Data!I154/Data!I153</f>
        <v>197619415.42866054</v>
      </c>
      <c r="K154" s="19">
        <f>$B$7*Data!L154/Data!L153</f>
        <v>196214965.05054009</v>
      </c>
      <c r="L154" s="19">
        <f>$B$8*Data!O154/Data!O153</f>
        <v>198118276.19430736</v>
      </c>
      <c r="M154" s="19">
        <f>$B$9*Data!R154/Data!R153</f>
        <v>199183227.91710997</v>
      </c>
      <c r="N154" s="19">
        <f t="shared" si="7"/>
        <v>989619255.25525284</v>
      </c>
      <c r="O154">
        <f t="shared" si="8"/>
        <v>-5.2372576736628984E-3</v>
      </c>
    </row>
    <row r="155" spans="6:15" x14ac:dyDescent="0.3">
      <c r="F155" s="3">
        <v>45526</v>
      </c>
      <c r="G155" s="40">
        <v>5570.64</v>
      </c>
      <c r="H155" s="46">
        <f t="shared" si="9"/>
        <v>-8.9328126528905871E-3</v>
      </c>
      <c r="I155" s="19">
        <f>$B$5*Data!F155/Data!F154</f>
        <v>202802074.06558326</v>
      </c>
      <c r="J155" s="19">
        <f>$B$6*Data!I155/Data!I154</f>
        <v>203336597.71554115</v>
      </c>
      <c r="K155" s="19">
        <f>$B$7*Data!L155/Data!L154</f>
        <v>204248785.58113268</v>
      </c>
      <c r="L155" s="19">
        <f>$B$8*Data!O155/Data!O154</f>
        <v>202612423.57740602</v>
      </c>
      <c r="M155" s="19">
        <f>$B$9*Data!R155/Data!R154</f>
        <v>199457067.46375284</v>
      </c>
      <c r="N155" s="19">
        <f t="shared" si="7"/>
        <v>1012456948.403416</v>
      </c>
      <c r="O155">
        <f t="shared" si="8"/>
        <v>2.3077252212794441E-2</v>
      </c>
    </row>
    <row r="156" spans="6:15" x14ac:dyDescent="0.3">
      <c r="F156" s="3">
        <v>45527</v>
      </c>
      <c r="G156" s="40">
        <v>5634.61</v>
      </c>
      <c r="H156" s="46">
        <f t="shared" si="9"/>
        <v>1.1483420217425433E-2</v>
      </c>
      <c r="I156" s="19">
        <f>$B$5*Data!F156/Data!F155</f>
        <v>199700529.71301895</v>
      </c>
      <c r="J156" s="19">
        <f>$B$6*Data!I156/Data!I155</f>
        <v>199080574.24078655</v>
      </c>
      <c r="K156" s="19">
        <f>$B$7*Data!L156/Data!L155</f>
        <v>197766608.32441249</v>
      </c>
      <c r="L156" s="19">
        <f>$B$8*Data!O156/Data!O155</f>
        <v>199867536.9156937</v>
      </c>
      <c r="M156" s="19">
        <f>$B$9*Data!R156/Data!R155</f>
        <v>199368472.85679236</v>
      </c>
      <c r="N156" s="19">
        <f t="shared" si="7"/>
        <v>995783722.05070412</v>
      </c>
      <c r="O156">
        <f t="shared" si="8"/>
        <v>-1.6468084276575534E-2</v>
      </c>
    </row>
    <row r="157" spans="6:15" x14ac:dyDescent="0.3">
      <c r="F157" s="3">
        <v>45530</v>
      </c>
      <c r="G157" s="40">
        <v>5616.84</v>
      </c>
      <c r="H157" s="46">
        <f t="shared" si="9"/>
        <v>-3.1537231503155905E-3</v>
      </c>
      <c r="I157" s="19">
        <f>$B$5*Data!F157/Data!F156</f>
        <v>202106375.22756207</v>
      </c>
      <c r="J157" s="19">
        <f>$B$6*Data!I157/Data!I156</f>
        <v>201786565.5870924</v>
      </c>
      <c r="K157" s="19">
        <f>$B$7*Data!L157/Data!L156</f>
        <v>201948453.02530214</v>
      </c>
      <c r="L157" s="19">
        <f>$B$8*Data!O157/Data!O156</f>
        <v>201896929.91583028</v>
      </c>
      <c r="M157" s="19">
        <f>$B$9*Data!R157/Data!R156</f>
        <v>200788324.29132891</v>
      </c>
      <c r="N157" s="19">
        <f t="shared" si="7"/>
        <v>1008526648.0471158</v>
      </c>
      <c r="O157">
        <f t="shared" si="8"/>
        <v>1.279688120445388E-2</v>
      </c>
    </row>
    <row r="158" spans="6:15" x14ac:dyDescent="0.3">
      <c r="F158" s="3">
        <v>45531</v>
      </c>
      <c r="G158" s="40">
        <v>5625.8</v>
      </c>
      <c r="H158" s="46">
        <f t="shared" si="9"/>
        <v>1.5952029967027936E-3</v>
      </c>
      <c r="I158" s="19">
        <f>$B$5*Data!F158/Data!F157</f>
        <v>200719435.97797033</v>
      </c>
      <c r="J158" s="19">
        <f>$B$6*Data!I158/Data!I157</f>
        <v>200515393.85448939</v>
      </c>
      <c r="K158" s="19">
        <f>$B$7*Data!L158/Data!L157</f>
        <v>199771401.08944213</v>
      </c>
      <c r="L158" s="19">
        <f>$B$8*Data!O158/Data!O157</f>
        <v>200749410.39118525</v>
      </c>
      <c r="M158" s="19">
        <f>$B$9*Data!R158/Data!R157</f>
        <v>203362655.0224748</v>
      </c>
      <c r="N158" s="19">
        <f t="shared" si="7"/>
        <v>1005118296.3355619</v>
      </c>
      <c r="O158">
        <f t="shared" si="8"/>
        <v>-3.37953560092219E-3</v>
      </c>
    </row>
    <row r="159" spans="6:15" x14ac:dyDescent="0.3">
      <c r="F159" s="3">
        <v>45532</v>
      </c>
      <c r="G159" s="40">
        <v>5592.18</v>
      </c>
      <c r="H159" s="46">
        <f t="shared" si="9"/>
        <v>-5.9760389633474187E-3</v>
      </c>
      <c r="I159" s="19">
        <f>$B$5*Data!F159/Data!F158</f>
        <v>197971288.12683755</v>
      </c>
      <c r="J159" s="19">
        <f>$B$6*Data!I159/Data!I158</f>
        <v>197423964.2412703</v>
      </c>
      <c r="K159" s="19">
        <f>$B$7*Data!L159/Data!L158</f>
        <v>196820981.66110295</v>
      </c>
      <c r="L159" s="19">
        <f>$B$8*Data!O159/Data!O158</f>
        <v>197461269.3499122</v>
      </c>
      <c r="M159" s="19">
        <f>$B$9*Data!R159/Data!R158</f>
        <v>196668024.20241916</v>
      </c>
      <c r="N159" s="19">
        <f t="shared" si="7"/>
        <v>986345527.58154213</v>
      </c>
      <c r="O159">
        <f t="shared" si="8"/>
        <v>-1.867717344561437E-2</v>
      </c>
    </row>
    <row r="160" spans="6:15" x14ac:dyDescent="0.3">
      <c r="F160" s="3">
        <v>45533</v>
      </c>
      <c r="G160" s="40">
        <v>5591.96</v>
      </c>
      <c r="H160" s="46">
        <f t="shared" si="9"/>
        <v>-3.9340650694441592E-5</v>
      </c>
      <c r="I160" s="19">
        <f>$B$5*Data!F160/Data!F159</f>
        <v>201143643.65942892</v>
      </c>
      <c r="J160" s="19">
        <f>$B$6*Data!I160/Data!I159</f>
        <v>200474499.33258736</v>
      </c>
      <c r="K160" s="19">
        <f>$B$7*Data!L160/Data!L159</f>
        <v>200997280.07073003</v>
      </c>
      <c r="L160" s="19">
        <f>$B$8*Data!O160/Data!O159</f>
        <v>200761445.06630871</v>
      </c>
      <c r="M160" s="19">
        <f>$B$9*Data!R160/Data!R159</f>
        <v>201000274.51247653</v>
      </c>
      <c r="N160" s="19">
        <f t="shared" si="7"/>
        <v>1004377142.6415316</v>
      </c>
      <c r="O160">
        <f t="shared" si="8"/>
        <v>1.8281235688472952E-2</v>
      </c>
    </row>
    <row r="161" spans="6:15" x14ac:dyDescent="0.3">
      <c r="F161" s="3">
        <v>45534</v>
      </c>
      <c r="G161" s="40">
        <v>5648.4</v>
      </c>
      <c r="H161" s="46">
        <f t="shared" si="9"/>
        <v>1.0093062182132906E-2</v>
      </c>
      <c r="I161" s="19">
        <f>$B$5*Data!F161/Data!F160</f>
        <v>202285030.49452296</v>
      </c>
      <c r="J161" s="19">
        <f>$B$6*Data!I161/Data!I160</f>
        <v>202498110.04781643</v>
      </c>
      <c r="K161" s="19">
        <f>$B$7*Data!L161/Data!L160</f>
        <v>205748338.98488387</v>
      </c>
      <c r="L161" s="19">
        <f>$B$8*Data!O161/Data!O160</f>
        <v>202694754.01139677</v>
      </c>
      <c r="M161" s="19">
        <f>$B$9*Data!R161/Data!R160</f>
        <v>202465948.77077022</v>
      </c>
      <c r="N161" s="19">
        <f t="shared" si="7"/>
        <v>1015692182.3093902</v>
      </c>
      <c r="O161">
        <f t="shared" si="8"/>
        <v>1.1265727969575146E-2</v>
      </c>
    </row>
    <row r="162" spans="6:15" x14ac:dyDescent="0.3">
      <c r="F162" s="3">
        <v>45538</v>
      </c>
      <c r="G162" s="40">
        <v>5528.93</v>
      </c>
      <c r="H162" s="46">
        <f t="shared" si="9"/>
        <v>-2.1151122441753323E-2</v>
      </c>
      <c r="I162" s="19">
        <f>$B$5*Data!F162/Data!F161</f>
        <v>196214118.42712474</v>
      </c>
      <c r="J162" s="19">
        <f>$B$6*Data!I162/Data!I161</f>
        <v>196022817.58831966</v>
      </c>
      <c r="K162" s="19">
        <f>$B$7*Data!L162/Data!L161</f>
        <v>196365631.0043523</v>
      </c>
      <c r="L162" s="19">
        <f>$B$8*Data!O162/Data!O161</f>
        <v>195936778.82309991</v>
      </c>
      <c r="M162" s="19">
        <f>$B$9*Data!R162/Data!R161</f>
        <v>197503083.97014228</v>
      </c>
      <c r="N162" s="19">
        <f t="shared" si="7"/>
        <v>982042429.81303895</v>
      </c>
      <c r="O162">
        <f t="shared" si="8"/>
        <v>-3.3129872497237756E-2</v>
      </c>
    </row>
    <row r="163" spans="6:15" x14ac:dyDescent="0.3">
      <c r="F163" s="3">
        <v>45539</v>
      </c>
      <c r="G163" s="40">
        <v>5520.07</v>
      </c>
      <c r="H163" s="46">
        <f t="shared" si="9"/>
        <v>-1.6024800458679378E-3</v>
      </c>
      <c r="I163" s="19">
        <f>$B$5*Data!F163/Data!F162</f>
        <v>197848388.19658178</v>
      </c>
      <c r="J163" s="19">
        <f>$B$6*Data!I163/Data!I162</f>
        <v>198560623.28859934</v>
      </c>
      <c r="K163" s="19">
        <f>$B$7*Data!L163/Data!L162</f>
        <v>199267765.28382581</v>
      </c>
      <c r="L163" s="19">
        <f>$B$8*Data!O163/Data!O162</f>
        <v>197805282.68600217</v>
      </c>
      <c r="M163" s="19">
        <f>$B$9*Data!R163/Data!R162</f>
        <v>196525853.62890989</v>
      </c>
      <c r="N163" s="19">
        <f t="shared" si="7"/>
        <v>990007913.08391905</v>
      </c>
      <c r="O163">
        <f t="shared" si="8"/>
        <v>8.1111396300834748E-3</v>
      </c>
    </row>
    <row r="164" spans="6:15" x14ac:dyDescent="0.3">
      <c r="F164" s="3">
        <v>45540</v>
      </c>
      <c r="G164" s="40">
        <v>5503.41</v>
      </c>
      <c r="H164" s="46">
        <f t="shared" si="9"/>
        <v>-3.0180776693048417E-3</v>
      </c>
      <c r="I164" s="19">
        <f>$B$5*Data!F164/Data!F163</f>
        <v>199945493.334993</v>
      </c>
      <c r="J164" s="19">
        <f>$B$6*Data!I164/Data!I163</f>
        <v>199247766.70251051</v>
      </c>
      <c r="K164" s="19">
        <f>$B$7*Data!L164/Data!L163</f>
        <v>200379917.27122349</v>
      </c>
      <c r="L164" s="19">
        <f>$B$8*Data!O164/Data!O163</f>
        <v>199167223.21222815</v>
      </c>
      <c r="M164" s="19">
        <f>$B$9*Data!R164/Data!R163</f>
        <v>200107486.54717997</v>
      </c>
      <c r="N164" s="19">
        <f t="shared" si="7"/>
        <v>998847887.06813514</v>
      </c>
      <c r="O164">
        <f t="shared" si="8"/>
        <v>8.9291952795398366E-3</v>
      </c>
    </row>
    <row r="165" spans="6:15" x14ac:dyDescent="0.3">
      <c r="F165" s="3">
        <v>45541</v>
      </c>
      <c r="G165" s="40">
        <v>5408.42</v>
      </c>
      <c r="H165" s="46">
        <f t="shared" si="9"/>
        <v>-1.726020776209658E-2</v>
      </c>
      <c r="I165" s="19">
        <f>$B$5*Data!F165/Data!F164</f>
        <v>197103529.58041307</v>
      </c>
      <c r="J165" s="19">
        <f>$B$6*Data!I165/Data!I164</f>
        <v>199922238.89063117</v>
      </c>
      <c r="K165" s="19">
        <f>$B$7*Data!L165/Data!L164</f>
        <v>197011979.72718477</v>
      </c>
      <c r="L165" s="19">
        <f>$B$8*Data!O165/Data!O164</f>
        <v>196577595.45727348</v>
      </c>
      <c r="M165" s="19">
        <f>$B$9*Data!R165/Data!R164</f>
        <v>194902962.56495559</v>
      </c>
      <c r="N165" s="19">
        <f t="shared" si="7"/>
        <v>985518306.22045815</v>
      </c>
      <c r="O165">
        <f t="shared" si="8"/>
        <v>-1.3344955743764597E-2</v>
      </c>
    </row>
    <row r="166" spans="6:15" x14ac:dyDescent="0.3">
      <c r="F166" s="3">
        <v>45544</v>
      </c>
      <c r="G166" s="40">
        <v>5471.05</v>
      </c>
      <c r="H166" s="46">
        <f t="shared" si="9"/>
        <v>1.1580091782812829E-2</v>
      </c>
      <c r="I166" s="19">
        <f>$B$5*Data!F166/Data!F165</f>
        <v>200403541.79267457</v>
      </c>
      <c r="J166" s="19">
        <f>$B$6*Data!I166/Data!I165</f>
        <v>196651383.44280767</v>
      </c>
      <c r="K166" s="19">
        <f>$B$7*Data!L166/Data!L165</f>
        <v>200785226.74776927</v>
      </c>
      <c r="L166" s="19">
        <f>$B$8*Data!O166/Data!O165</f>
        <v>200752293.47153407</v>
      </c>
      <c r="M166" s="19">
        <f>$B$9*Data!R166/Data!R165</f>
        <v>197933005.34658331</v>
      </c>
      <c r="N166" s="19">
        <f t="shared" si="7"/>
        <v>996525450.80136895</v>
      </c>
      <c r="O166">
        <f t="shared" si="8"/>
        <v>1.1168889011432093E-2</v>
      </c>
    </row>
    <row r="167" spans="6:15" x14ac:dyDescent="0.3">
      <c r="F167" s="3">
        <v>45545</v>
      </c>
      <c r="G167" s="40">
        <v>5495.52</v>
      </c>
      <c r="H167" s="46">
        <f t="shared" si="9"/>
        <v>4.4726332239699573E-3</v>
      </c>
      <c r="I167" s="19">
        <f>$B$5*Data!F167/Data!F166</f>
        <v>198524606.20656696</v>
      </c>
      <c r="J167" s="19">
        <f>$B$6*Data!I167/Data!I166</f>
        <v>201009202.46899527</v>
      </c>
      <c r="K167" s="19">
        <f>$B$7*Data!L167/Data!L166</f>
        <v>199990491.1092369</v>
      </c>
      <c r="L167" s="19">
        <f>$B$8*Data!O167/Data!O166</f>
        <v>198526342.44521329</v>
      </c>
      <c r="M167" s="19">
        <f>$B$9*Data!R167/Data!R166</f>
        <v>196486808.5913457</v>
      </c>
      <c r="N167" s="19">
        <f t="shared" si="7"/>
        <v>994537450.82135808</v>
      </c>
      <c r="O167">
        <f t="shared" si="8"/>
        <v>-1.9949314675427043E-3</v>
      </c>
    </row>
    <row r="168" spans="6:15" x14ac:dyDescent="0.3">
      <c r="F168" s="3">
        <v>45546</v>
      </c>
      <c r="G168" s="40">
        <v>5554.13</v>
      </c>
      <c r="H168" s="46">
        <f t="shared" si="9"/>
        <v>1.0665050805019227E-2</v>
      </c>
      <c r="I168" s="19">
        <f>$B$5*Data!F168/Data!F167</f>
        <v>201508320.87444201</v>
      </c>
      <c r="J168" s="19">
        <f>$B$6*Data!I168/Data!I167</f>
        <v>199013308.86847854</v>
      </c>
      <c r="K168" s="19">
        <f>$B$7*Data!L168/Data!L167</f>
        <v>201379066.64402667</v>
      </c>
      <c r="L168" s="19">
        <f>$B$8*Data!O168/Data!O167</f>
        <v>201138445.91641259</v>
      </c>
      <c r="M168" s="19">
        <f>$B$9*Data!R168/Data!R167</f>
        <v>199111348.54969934</v>
      </c>
      <c r="N168" s="19">
        <f t="shared" si="7"/>
        <v>1002150490.8530591</v>
      </c>
      <c r="O168">
        <f t="shared" si="8"/>
        <v>7.6548550538881877E-3</v>
      </c>
    </row>
    <row r="169" spans="6:15" x14ac:dyDescent="0.3">
      <c r="F169" s="3">
        <v>45547</v>
      </c>
      <c r="G169" s="40">
        <v>5595.76</v>
      </c>
      <c r="H169" s="46">
        <f t="shared" si="9"/>
        <v>7.4953232999588337E-3</v>
      </c>
      <c r="I169" s="19">
        <f>$B$5*Data!F169/Data!F168</f>
        <v>201376804.39665335</v>
      </c>
      <c r="J169" s="19">
        <f>$B$6*Data!I169/Data!I168</f>
        <v>201607451.83734211</v>
      </c>
      <c r="K169" s="19">
        <f>$B$7*Data!L169/Data!L168</f>
        <v>200146360.40141159</v>
      </c>
      <c r="L169" s="19">
        <f>$B$8*Data!O169/Data!O168</f>
        <v>201678048.85768092</v>
      </c>
      <c r="M169" s="19">
        <f>$B$9*Data!R169/Data!R168</f>
        <v>202252530.11102289</v>
      </c>
      <c r="N169" s="19">
        <f t="shared" si="7"/>
        <v>1007061195.6041107</v>
      </c>
      <c r="O169">
        <f t="shared" si="8"/>
        <v>4.9001669867680953E-3</v>
      </c>
    </row>
    <row r="170" spans="6:15" x14ac:dyDescent="0.3">
      <c r="F170" s="3">
        <v>45548</v>
      </c>
      <c r="G170" s="40">
        <v>5626.02</v>
      </c>
      <c r="H170" s="46">
        <f t="shared" si="9"/>
        <v>5.4076658041088965E-3</v>
      </c>
      <c r="I170" s="19">
        <f>$B$5*Data!F170/Data!F169</f>
        <v>200721236.43862122</v>
      </c>
      <c r="J170" s="19">
        <f>$B$6*Data!I170/Data!I169</f>
        <v>201709098.87516853</v>
      </c>
      <c r="K170" s="19">
        <f>$B$7*Data!L170/Data!L169</f>
        <v>201125260.23396313</v>
      </c>
      <c r="L170" s="19">
        <f>$B$8*Data!O170/Data!O169</f>
        <v>200724627.62394574</v>
      </c>
      <c r="M170" s="19">
        <f>$B$9*Data!R170/Data!R169</f>
        <v>199038160.69399583</v>
      </c>
      <c r="N170" s="19">
        <f t="shared" si="7"/>
        <v>1003318383.8656944</v>
      </c>
      <c r="O170">
        <f t="shared" si="8"/>
        <v>-3.7165683225149904E-3</v>
      </c>
    </row>
    <row r="171" spans="6:15" x14ac:dyDescent="0.3">
      <c r="F171" s="3">
        <v>45551</v>
      </c>
      <c r="G171" s="40">
        <v>5633.09</v>
      </c>
      <c r="H171" s="46">
        <f t="shared" si="9"/>
        <v>1.2566610143582846E-3</v>
      </c>
      <c r="I171" s="19">
        <f>$B$5*Data!F171/Data!F170</f>
        <v>202887103.94028187</v>
      </c>
      <c r="J171" s="19">
        <f>$B$6*Data!I171/Data!I170</f>
        <v>200792795.19029644</v>
      </c>
      <c r="K171" s="19">
        <f>$B$7*Data!L171/Data!L170</f>
        <v>202392771.12742111</v>
      </c>
      <c r="L171" s="19">
        <f>$B$8*Data!O171/Data!O170</f>
        <v>202976120.25717443</v>
      </c>
      <c r="M171" s="19">
        <f>$B$9*Data!R171/Data!R170</f>
        <v>202171726.02790353</v>
      </c>
      <c r="N171" s="19">
        <f t="shared" si="7"/>
        <v>1011220516.5430775</v>
      </c>
      <c r="O171">
        <f t="shared" si="8"/>
        <v>7.8759970956945313E-3</v>
      </c>
    </row>
    <row r="172" spans="6:15" x14ac:dyDescent="0.3">
      <c r="F172" s="3">
        <v>45552</v>
      </c>
      <c r="G172" s="40">
        <v>5634.58</v>
      </c>
      <c r="H172" s="46">
        <f t="shared" si="9"/>
        <v>2.6450846693371055E-4</v>
      </c>
      <c r="I172" s="19">
        <f>$B$5*Data!F172/Data!F171</f>
        <v>203960056.1381706</v>
      </c>
      <c r="J172" s="19">
        <f>$B$6*Data!I172/Data!I171</f>
        <v>202479715.70657498</v>
      </c>
      <c r="K172" s="19">
        <f>$B$7*Data!L172/Data!L171</f>
        <v>206463169.36289302</v>
      </c>
      <c r="L172" s="19">
        <f>$B$8*Data!O172/Data!O171</f>
        <v>204153687.71125168</v>
      </c>
      <c r="M172" s="19">
        <f>$B$9*Data!R172/Data!R171</f>
        <v>205030470.41950274</v>
      </c>
      <c r="N172" s="19">
        <f t="shared" si="7"/>
        <v>1022087099.338393</v>
      </c>
      <c r="O172">
        <f t="shared" si="8"/>
        <v>1.0746007045489669E-2</v>
      </c>
    </row>
    <row r="173" spans="6:15" x14ac:dyDescent="0.3">
      <c r="F173" s="3">
        <v>45554</v>
      </c>
      <c r="G173" s="40">
        <v>5713.64</v>
      </c>
      <c r="H173" s="46">
        <f t="shared" si="9"/>
        <v>1.4031214393974478E-2</v>
      </c>
      <c r="I173" s="19">
        <f>$B$5*Data!F173/Data!F172</f>
        <v>202714382.3115387</v>
      </c>
      <c r="J173" s="19">
        <f>$B$6*Data!I173/Data!I172</f>
        <v>204740073.632388</v>
      </c>
      <c r="K173" s="19">
        <f>$B$7*Data!L173/Data!L172</f>
        <v>202853023.2502712</v>
      </c>
      <c r="L173" s="19">
        <f>$B$8*Data!O173/Data!O172</f>
        <v>202399885.71489552</v>
      </c>
      <c r="M173" s="19">
        <f>$B$9*Data!R173/Data!R172</f>
        <v>202216916.08067101</v>
      </c>
      <c r="N173" s="19">
        <f t="shared" si="7"/>
        <v>1014924280.9897645</v>
      </c>
      <c r="O173">
        <f t="shared" si="8"/>
        <v>-7.0080312658922228E-3</v>
      </c>
    </row>
    <row r="174" spans="6:15" x14ac:dyDescent="0.3">
      <c r="F174" s="3">
        <v>45555</v>
      </c>
      <c r="G174" s="40">
        <v>5702.55</v>
      </c>
      <c r="H174" s="46">
        <f t="shared" si="9"/>
        <v>-1.9409693295342478E-3</v>
      </c>
      <c r="I174" s="19">
        <f>$B$5*Data!F174/Data!F173</f>
        <v>199997630.63658839</v>
      </c>
      <c r="J174" s="19">
        <f>$B$6*Data!I174/Data!I173</f>
        <v>202410874.06832764</v>
      </c>
      <c r="K174" s="19">
        <f>$B$7*Data!L174/Data!L173</f>
        <v>199822283.81793442</v>
      </c>
      <c r="L174" s="19">
        <f>$B$8*Data!O174/Data!O173</f>
        <v>200360946.16560185</v>
      </c>
      <c r="M174" s="19">
        <f>$B$9*Data!R174/Data!R173</f>
        <v>200897256.40035924</v>
      </c>
      <c r="N174" s="19">
        <f t="shared" si="7"/>
        <v>1003488991.0888115</v>
      </c>
      <c r="O174">
        <f t="shared" si="8"/>
        <v>-1.1267135997378164E-2</v>
      </c>
    </row>
    <row r="175" spans="6:15" x14ac:dyDescent="0.3">
      <c r="F175" s="3">
        <v>45558</v>
      </c>
      <c r="G175" s="40">
        <v>5718.57</v>
      </c>
      <c r="H175" s="46">
        <f t="shared" si="9"/>
        <v>2.8092695373120868E-3</v>
      </c>
      <c r="I175" s="19">
        <f>$B$5*Data!F175/Data!F174</f>
        <v>208365287.96207884</v>
      </c>
      <c r="J175" s="19">
        <f>$B$6*Data!I175/Data!I174</f>
        <v>200579341.145311</v>
      </c>
      <c r="K175" s="19">
        <f>$B$7*Data!L175/Data!L174</f>
        <v>211860770.14289451</v>
      </c>
      <c r="L175" s="19">
        <f>$B$8*Data!O175/Data!O174</f>
        <v>210293801.23542285</v>
      </c>
      <c r="M175" s="19">
        <f>$B$9*Data!R175/Data!R174</f>
        <v>208398524.82681409</v>
      </c>
      <c r="N175" s="19">
        <f t="shared" si="7"/>
        <v>1039497725.3125212</v>
      </c>
      <c r="O175">
        <f t="shared" si="8"/>
        <v>3.5883536883288825E-2</v>
      </c>
    </row>
    <row r="176" spans="6:15" x14ac:dyDescent="0.3">
      <c r="F176" s="3">
        <v>45559</v>
      </c>
      <c r="G176" s="40">
        <v>5732.93</v>
      </c>
      <c r="H176" s="46">
        <f t="shared" si="9"/>
        <v>2.5111172898120149E-3</v>
      </c>
      <c r="I176" s="19">
        <f>$B$5*Data!F176/Data!F175</f>
        <v>201386638.40898037</v>
      </c>
      <c r="J176" s="19">
        <f>$B$6*Data!I176/Data!I175</f>
        <v>210726098.67689735</v>
      </c>
      <c r="K176" s="19">
        <f>$B$7*Data!L176/Data!L175</f>
        <v>200486537.23598707</v>
      </c>
      <c r="L176" s="19">
        <f>$B$8*Data!O176/Data!O175</f>
        <v>201556633.5155333</v>
      </c>
      <c r="M176" s="19">
        <f>$B$9*Data!R176/Data!R175</f>
        <v>201012053.29185057</v>
      </c>
      <c r="N176" s="19">
        <f t="shared" si="7"/>
        <v>1015167961.1292487</v>
      </c>
      <c r="O176">
        <f t="shared" si="8"/>
        <v>-2.3405307766265482E-2</v>
      </c>
    </row>
    <row r="177" spans="6:15" x14ac:dyDescent="0.3">
      <c r="F177" s="3">
        <v>45560</v>
      </c>
      <c r="G177" s="40">
        <v>5722.26</v>
      </c>
      <c r="H177" s="46">
        <f t="shared" si="9"/>
        <v>-1.8611774432969463E-3</v>
      </c>
      <c r="I177" s="19">
        <f>$B$5*Data!F177/Data!F176</f>
        <v>208316962.11531124</v>
      </c>
      <c r="J177" s="19">
        <f>$B$6*Data!I177/Data!I176</f>
        <v>201781449.84710047</v>
      </c>
      <c r="K177" s="19">
        <f>$B$7*Data!L177/Data!L176</f>
        <v>214537578.51418671</v>
      </c>
      <c r="L177" s="19">
        <f>$B$8*Data!O177/Data!O176</f>
        <v>209492136.69149816</v>
      </c>
      <c r="M177" s="19">
        <f>$B$9*Data!R177/Data!R176</f>
        <v>209321740.83523712</v>
      </c>
      <c r="N177" s="19">
        <f t="shared" si="7"/>
        <v>1043449868.0033337</v>
      </c>
      <c r="O177">
        <f t="shared" si="8"/>
        <v>2.7859337525412808E-2</v>
      </c>
    </row>
    <row r="178" spans="6:15" x14ac:dyDescent="0.3">
      <c r="F178" s="3">
        <v>45561</v>
      </c>
      <c r="G178" s="40">
        <v>5745.37</v>
      </c>
      <c r="H178" s="46">
        <f t="shared" si="9"/>
        <v>4.0386141140038578E-3</v>
      </c>
      <c r="I178" s="19">
        <f>$B$5*Data!F178/Data!F177</f>
        <v>207253082.50319952</v>
      </c>
      <c r="J178" s="19">
        <f>$B$6*Data!I178/Data!I177</f>
        <v>210850377.17269084</v>
      </c>
      <c r="K178" s="19">
        <f>$B$7*Data!L178/Data!L177</f>
        <v>211722226.48299873</v>
      </c>
      <c r="L178" s="19">
        <f>$B$8*Data!O178/Data!O177</f>
        <v>206165215.67878076</v>
      </c>
      <c r="M178" s="19">
        <f>$B$9*Data!R178/Data!R177</f>
        <v>206468026.16990793</v>
      </c>
      <c r="N178" s="19">
        <f t="shared" si="7"/>
        <v>1042458928.0075778</v>
      </c>
      <c r="O178">
        <f t="shared" si="8"/>
        <v>-9.4967666980694254E-4</v>
      </c>
    </row>
    <row r="179" spans="6:15" x14ac:dyDescent="0.3">
      <c r="F179" s="3">
        <v>45562</v>
      </c>
      <c r="G179" s="40">
        <v>5738.17</v>
      </c>
      <c r="H179" s="46">
        <f t="shared" si="9"/>
        <v>-1.2531829977877607E-3</v>
      </c>
      <c r="I179" s="19">
        <f>$B$5*Data!F179/Data!F178</f>
        <v>205039383.61196959</v>
      </c>
      <c r="J179" s="19">
        <f>$B$6*Data!I179/Data!I178</f>
        <v>206734261.80647936</v>
      </c>
      <c r="K179" s="19">
        <f>$B$7*Data!L179/Data!L178</f>
        <v>213595830.20705944</v>
      </c>
      <c r="L179" s="19">
        <f>$B$8*Data!O179/Data!O178</f>
        <v>205930505.85838842</v>
      </c>
      <c r="M179" s="19">
        <f>$B$9*Data!R179/Data!R178</f>
        <v>204082958.5773052</v>
      </c>
      <c r="N179" s="19">
        <f t="shared" si="7"/>
        <v>1035382940.0612019</v>
      </c>
      <c r="O179">
        <f t="shared" si="8"/>
        <v>-6.7877858362247467E-3</v>
      </c>
    </row>
    <row r="180" spans="6:15" x14ac:dyDescent="0.3">
      <c r="F180" s="3">
        <v>45565</v>
      </c>
      <c r="G180" s="40">
        <v>5762.48</v>
      </c>
      <c r="H180" s="46">
        <f t="shared" si="9"/>
        <v>4.2365423122701085E-3</v>
      </c>
      <c r="I180" s="19">
        <f>$B$5*Data!F180/Data!F179</f>
        <v>212381350.48382387</v>
      </c>
      <c r="J180" s="19">
        <f>$B$6*Data!I180/Data!I179</f>
        <v>206418251.50029474</v>
      </c>
      <c r="K180" s="19">
        <f>$B$7*Data!L180/Data!L179</f>
        <v>217040744.82006735</v>
      </c>
      <c r="L180" s="19">
        <f>$B$8*Data!O180/Data!O179</f>
        <v>214137792.62024531</v>
      </c>
      <c r="M180" s="19">
        <f>$B$9*Data!R180/Data!R179</f>
        <v>212402588.86433139</v>
      </c>
      <c r="N180" s="19">
        <f t="shared" si="7"/>
        <v>1062380728.2887626</v>
      </c>
      <c r="O180">
        <f t="shared" si="8"/>
        <v>2.6075171980296297E-2</v>
      </c>
    </row>
    <row r="181" spans="6:15" x14ac:dyDescent="0.3">
      <c r="F181" s="3">
        <v>45567</v>
      </c>
      <c r="G181" s="40">
        <v>5709.54</v>
      </c>
      <c r="H181" s="46">
        <f t="shared" si="9"/>
        <v>-9.1870167011425252E-3</v>
      </c>
      <c r="I181" s="19">
        <f>$B$5*Data!F181/Data!F180</f>
        <v>197313745.25541449</v>
      </c>
      <c r="J181" s="19">
        <f>$B$6*Data!I181/Data!I180</f>
        <v>215440051.51613048</v>
      </c>
      <c r="K181" s="19">
        <f>$B$7*Data!L181/Data!L180</f>
        <v>193331023.00310054</v>
      </c>
      <c r="L181" s="19">
        <f>$B$8*Data!O181/Data!O180</f>
        <v>197094667.79004332</v>
      </c>
      <c r="M181" s="19">
        <f>$B$9*Data!R181/Data!R180</f>
        <v>195945817.06732166</v>
      </c>
      <c r="N181" s="19">
        <f t="shared" si="7"/>
        <v>999125304.63201046</v>
      </c>
      <c r="O181">
        <f t="shared" si="8"/>
        <v>-5.9541200223615864E-2</v>
      </c>
    </row>
    <row r="182" spans="6:15" x14ac:dyDescent="0.3">
      <c r="F182" s="3">
        <v>45568</v>
      </c>
      <c r="G182" s="40">
        <v>5699.94</v>
      </c>
      <c r="H182" s="46">
        <f t="shared" si="9"/>
        <v>-1.681396399709989E-3</v>
      </c>
      <c r="I182" s="19">
        <f>$B$5*Data!F182/Data!F181</f>
        <v>205606036.40119022</v>
      </c>
      <c r="J182" s="19">
        <f>$B$6*Data!I182/Data!I181</f>
        <v>196849338.38975823</v>
      </c>
      <c r="K182" s="19">
        <f>$B$7*Data!L182/Data!L181</f>
        <v>209949788.55914253</v>
      </c>
      <c r="L182" s="19">
        <f>$B$8*Data!O182/Data!O181</f>
        <v>206092353.5263041</v>
      </c>
      <c r="M182" s="19">
        <f>$B$9*Data!R182/Data!R181</f>
        <v>204193578.49957663</v>
      </c>
      <c r="N182" s="19">
        <f t="shared" si="7"/>
        <v>1022691095.3759718</v>
      </c>
      <c r="O182">
        <f t="shared" si="8"/>
        <v>2.358642167775038E-2</v>
      </c>
    </row>
    <row r="183" spans="6:15" x14ac:dyDescent="0.3">
      <c r="F183" s="3">
        <v>45569</v>
      </c>
      <c r="G183" s="40">
        <v>5751.07</v>
      </c>
      <c r="H183" s="46">
        <f t="shared" si="9"/>
        <v>8.9702698624898325E-3</v>
      </c>
      <c r="I183" s="19">
        <f>$B$5*Data!F183/Data!F182</f>
        <v>203129467.1749602</v>
      </c>
      <c r="J183" s="19">
        <f>$B$6*Data!I183/Data!I182</f>
        <v>206539161.69652689</v>
      </c>
      <c r="K183" s="19">
        <f>$B$7*Data!L183/Data!L182</f>
        <v>206033345.57616875</v>
      </c>
      <c r="L183" s="19">
        <f>$B$8*Data!O183/Data!O182</f>
        <v>204211990.56936613</v>
      </c>
      <c r="M183" s="19">
        <f>$B$9*Data!R183/Data!R182</f>
        <v>207021199.47566304</v>
      </c>
      <c r="N183" s="19">
        <f t="shared" si="7"/>
        <v>1026935164.492685</v>
      </c>
      <c r="O183">
        <f t="shared" si="8"/>
        <v>4.1499032659053636E-3</v>
      </c>
    </row>
    <row r="184" spans="6:15" x14ac:dyDescent="0.3">
      <c r="F184" s="3">
        <v>45572</v>
      </c>
      <c r="G184" s="40">
        <v>5695.94</v>
      </c>
      <c r="H184" s="46">
        <f t="shared" si="9"/>
        <v>-9.5860422495291919E-3</v>
      </c>
      <c r="I184" s="19">
        <f>$B$5*Data!F184/Data!F183</f>
        <v>181197720.37604466</v>
      </c>
      <c r="J184" s="19">
        <f>$B$6*Data!I184/Data!I183</f>
        <v>203676877.42134517</v>
      </c>
      <c r="K184" s="19">
        <f>$B$7*Data!L184/Data!L183</f>
        <v>174366649.20302242</v>
      </c>
      <c r="L184" s="19">
        <f>$B$8*Data!O184/Data!O183</f>
        <v>179673186.80091795</v>
      </c>
      <c r="M184" s="19">
        <f>$B$9*Data!R184/Data!R183</f>
        <v>180076252.64248016</v>
      </c>
      <c r="N184" s="19">
        <f t="shared" si="7"/>
        <v>918990686.44381034</v>
      </c>
      <c r="O184">
        <f t="shared" si="8"/>
        <v>-0.10511323575349585</v>
      </c>
    </row>
    <row r="185" spans="6:15" x14ac:dyDescent="0.3">
      <c r="F185" s="3">
        <v>45573</v>
      </c>
      <c r="G185" s="40">
        <v>5751.13</v>
      </c>
      <c r="H185" s="46">
        <f t="shared" si="9"/>
        <v>9.68935768284096E-3</v>
      </c>
      <c r="I185" s="19">
        <f>$B$5*Data!F185/Data!F184</f>
        <v>197001883.05378079</v>
      </c>
      <c r="J185" s="19">
        <f>$B$6*Data!I185/Data!I184</f>
        <v>178908535.83467194</v>
      </c>
      <c r="K185" s="19">
        <f>$B$7*Data!L185/Data!L184</f>
        <v>197423585.83132625</v>
      </c>
      <c r="L185" s="19">
        <f>$B$8*Data!O185/Data!O184</f>
        <v>196613932.97868297</v>
      </c>
      <c r="M185" s="19">
        <f>$B$9*Data!R185/Data!R184</f>
        <v>192911261.43263742</v>
      </c>
      <c r="N185" s="19">
        <f t="shared" si="7"/>
        <v>962859199.13109946</v>
      </c>
      <c r="O185">
        <f t="shared" si="8"/>
        <v>4.7735535663637307E-2</v>
      </c>
    </row>
    <row r="186" spans="6:15" x14ac:dyDescent="0.3">
      <c r="F186" s="3">
        <v>45574</v>
      </c>
      <c r="G186" s="40">
        <v>5792.04</v>
      </c>
      <c r="H186" s="46">
        <f t="shared" si="9"/>
        <v>7.1133846739683815E-3</v>
      </c>
      <c r="I186" s="19">
        <f>$B$5*Data!F186/Data!F185</f>
        <v>206063595.75139287</v>
      </c>
      <c r="J186" s="19">
        <f>$B$6*Data!I186/Data!I185</f>
        <v>196671425.03322297</v>
      </c>
      <c r="K186" s="19">
        <f>$B$7*Data!L186/Data!L185</f>
        <v>204214314.31178811</v>
      </c>
      <c r="L186" s="19">
        <f>$B$8*Data!O186/Data!O185</f>
        <v>207034677.65617409</v>
      </c>
      <c r="M186" s="19">
        <f>$B$9*Data!R186/Data!R185</f>
        <v>207939080.07796937</v>
      </c>
      <c r="N186" s="19">
        <f t="shared" si="7"/>
        <v>1021923092.8305473</v>
      </c>
      <c r="O186">
        <f t="shared" si="8"/>
        <v>6.1342191831109005E-2</v>
      </c>
    </row>
    <row r="187" spans="6:15" x14ac:dyDescent="0.3">
      <c r="F187" s="3">
        <v>45575</v>
      </c>
      <c r="G187" s="40">
        <v>5780.05</v>
      </c>
      <c r="H187" s="46">
        <f t="shared" si="9"/>
        <v>-2.0700823889336917E-3</v>
      </c>
      <c r="I187" s="19">
        <f>$B$5*Data!F187/Data!F186</f>
        <v>198528181.60906181</v>
      </c>
      <c r="J187" s="19">
        <f>$B$6*Data!I187/Data!I186</f>
        <v>206843776.89242503</v>
      </c>
      <c r="K187" s="19">
        <f>$B$7*Data!L187/Data!L186</f>
        <v>197157188.86137041</v>
      </c>
      <c r="L187" s="19">
        <f>$B$8*Data!O187/Data!O186</f>
        <v>198954840.72057548</v>
      </c>
      <c r="M187" s="19">
        <f>$B$9*Data!R187/Data!R186</f>
        <v>202029970.66741827</v>
      </c>
      <c r="N187" s="19">
        <f t="shared" si="7"/>
        <v>1003513958.7508509</v>
      </c>
      <c r="O187">
        <f t="shared" si="8"/>
        <v>-1.801420694849587E-2</v>
      </c>
    </row>
    <row r="188" spans="6:15" x14ac:dyDescent="0.3">
      <c r="F188" s="3">
        <v>45579</v>
      </c>
      <c r="G188" s="40">
        <v>5859.85</v>
      </c>
      <c r="H188" s="46">
        <f t="shared" si="9"/>
        <v>1.3806108943694273E-2</v>
      </c>
      <c r="I188" s="19">
        <f>$B$5*Data!F188/Data!F187</f>
        <v>192806676.42064631</v>
      </c>
      <c r="J188" s="19">
        <f>$B$6*Data!I188/Data!I187</f>
        <v>198501776.32732013</v>
      </c>
      <c r="K188" s="19">
        <f>$B$7*Data!L188/Data!L187</f>
        <v>190838073.88171056</v>
      </c>
      <c r="L188" s="19">
        <f>$B$8*Data!O188/Data!O187</f>
        <v>192174624.65692404</v>
      </c>
      <c r="M188" s="19">
        <f>$B$9*Data!R188/Data!R187</f>
        <v>192618953.77715868</v>
      </c>
      <c r="N188" s="19">
        <f t="shared" si="7"/>
        <v>966940105.06375957</v>
      </c>
      <c r="O188">
        <f t="shared" si="8"/>
        <v>-3.6445784703002637E-2</v>
      </c>
    </row>
    <row r="189" spans="6:15" x14ac:dyDescent="0.3">
      <c r="F189" s="3">
        <v>45580</v>
      </c>
      <c r="G189" s="40">
        <v>5815.26</v>
      </c>
      <c r="H189" s="46">
        <f t="shared" si="9"/>
        <v>-7.6094097971791674E-3</v>
      </c>
      <c r="I189" s="19">
        <f>$B$5*Data!F189/Data!F188</f>
        <v>199600772.06687108</v>
      </c>
      <c r="J189" s="19">
        <f>$B$6*Data!I189/Data!I188</f>
        <v>191574085.1652984</v>
      </c>
      <c r="K189" s="19">
        <f>$B$7*Data!L189/Data!L188</f>
        <v>197733049.95774946</v>
      </c>
      <c r="L189" s="19">
        <f>$B$8*Data!O189/Data!O188</f>
        <v>199644457.2179012</v>
      </c>
      <c r="M189" s="19">
        <f>$B$9*Data!R189/Data!R188</f>
        <v>201760582.85824439</v>
      </c>
      <c r="N189" s="19">
        <f t="shared" si="7"/>
        <v>990312947.26606464</v>
      </c>
      <c r="O189">
        <f t="shared" si="8"/>
        <v>2.4171964819645009E-2</v>
      </c>
    </row>
    <row r="190" spans="6:15" x14ac:dyDescent="0.3">
      <c r="F190" s="3">
        <v>45581</v>
      </c>
      <c r="G190" s="40">
        <v>5842.47</v>
      </c>
      <c r="H190" s="46">
        <f t="shared" si="9"/>
        <v>4.6790685197222182E-3</v>
      </c>
      <c r="I190" s="19">
        <f>$B$5*Data!F190/Data!F189</f>
        <v>197867808.41422462</v>
      </c>
      <c r="J190" s="19">
        <f>$B$6*Data!I190/Data!I189</f>
        <v>199574218.81268635</v>
      </c>
      <c r="K190" s="19">
        <f>$B$7*Data!L190/Data!L189</f>
        <v>197526456.25915566</v>
      </c>
      <c r="L190" s="19">
        <f>$B$8*Data!O190/Data!O189</f>
        <v>197479657.70931989</v>
      </c>
      <c r="M190" s="19">
        <f>$B$9*Data!R190/Data!R189</f>
        <v>195423360.34112653</v>
      </c>
      <c r="N190" s="19">
        <f t="shared" si="7"/>
        <v>987871501.53651297</v>
      </c>
      <c r="O190">
        <f t="shared" si="8"/>
        <v>-2.4653274869239628E-3</v>
      </c>
    </row>
    <row r="191" spans="6:15" x14ac:dyDescent="0.3">
      <c r="F191" s="3">
        <v>45582</v>
      </c>
      <c r="G191" s="40">
        <v>5841.47</v>
      </c>
      <c r="H191" s="46">
        <f t="shared" si="9"/>
        <v>-1.7116048520571248E-4</v>
      </c>
      <c r="I191" s="19">
        <f>$B$5*Data!F191/Data!F190</f>
        <v>207138901.84137526</v>
      </c>
      <c r="J191" s="19">
        <f>$B$6*Data!I191/Data!I190</f>
        <v>197377038.7969695</v>
      </c>
      <c r="K191" s="19">
        <f>$B$7*Data!L191/Data!L190</f>
        <v>211460157.53101671</v>
      </c>
      <c r="L191" s="19">
        <f>$B$8*Data!O191/Data!O190</f>
        <v>208065539.75480884</v>
      </c>
      <c r="M191" s="19">
        <f>$B$9*Data!R191/Data!R190</f>
        <v>205626015.69856688</v>
      </c>
      <c r="N191" s="19">
        <f t="shared" si="7"/>
        <v>1029667653.6227372</v>
      </c>
      <c r="O191">
        <f t="shared" si="8"/>
        <v>4.2309300370762193E-2</v>
      </c>
    </row>
    <row r="192" spans="6:15" x14ac:dyDescent="0.3">
      <c r="F192" s="3">
        <v>45583</v>
      </c>
      <c r="G192" s="40">
        <v>5864.67</v>
      </c>
      <c r="H192" s="46">
        <f t="shared" si="9"/>
        <v>3.9716030382763723E-3</v>
      </c>
      <c r="I192" s="19">
        <f>$B$5*Data!F192/Data!F191</f>
        <v>196960582.20779729</v>
      </c>
      <c r="J192" s="19">
        <f>$B$6*Data!I192/Data!I191</f>
        <v>208523695.94070926</v>
      </c>
      <c r="K192" s="19">
        <f>$B$7*Data!L192/Data!L191</f>
        <v>195354388.39297909</v>
      </c>
      <c r="L192" s="19">
        <f>$B$8*Data!O192/Data!O191</f>
        <v>196574148.15838525</v>
      </c>
      <c r="M192" s="19">
        <f>$B$9*Data!R192/Data!R191</f>
        <v>197558949.68458638</v>
      </c>
      <c r="N192" s="19">
        <f t="shared" si="7"/>
        <v>994971764.38445723</v>
      </c>
      <c r="O192">
        <f t="shared" si="8"/>
        <v>-3.369620198926071E-2</v>
      </c>
    </row>
    <row r="193" spans="6:15" x14ac:dyDescent="0.3">
      <c r="F193" s="3">
        <v>45586</v>
      </c>
      <c r="G193" s="40">
        <v>5853.98</v>
      </c>
      <c r="H193" s="46">
        <f t="shared" si="9"/>
        <v>-1.8227794573267841E-3</v>
      </c>
      <c r="I193" s="19">
        <f>$B$5*Data!F193/Data!F192</f>
        <v>200125419.81865552</v>
      </c>
      <c r="J193" s="19">
        <f>$B$6*Data!I193/Data!I192</f>
        <v>196135452.91587409</v>
      </c>
      <c r="K193" s="19">
        <f>$B$7*Data!L193/Data!L192</f>
        <v>201248603.93061614</v>
      </c>
      <c r="L193" s="19">
        <f>$B$8*Data!O193/Data!O192</f>
        <v>200536551.16372174</v>
      </c>
      <c r="M193" s="19">
        <f>$B$9*Data!R193/Data!R192</f>
        <v>200660529.45733634</v>
      </c>
      <c r="N193" s="19">
        <f t="shared" si="7"/>
        <v>998706557.28620374</v>
      </c>
      <c r="O193">
        <f t="shared" si="8"/>
        <v>3.7536672249760539E-3</v>
      </c>
    </row>
    <row r="194" spans="6:15" x14ac:dyDescent="0.3">
      <c r="F194" s="3">
        <v>45587</v>
      </c>
      <c r="G194" s="40">
        <v>5851.2</v>
      </c>
      <c r="H194" s="46">
        <f t="shared" si="9"/>
        <v>-4.7489058725858069E-4</v>
      </c>
      <c r="I194" s="19">
        <f>$B$5*Data!F194/Data!F193</f>
        <v>202569271.98362577</v>
      </c>
      <c r="J194" s="19">
        <f>$B$6*Data!I194/Data!I193</f>
        <v>200395810.1485565</v>
      </c>
      <c r="K194" s="19">
        <f>$B$7*Data!L194/Data!L193</f>
        <v>203736000.82196832</v>
      </c>
      <c r="L194" s="19">
        <f>$B$8*Data!O194/Data!O193</f>
        <v>203150882.82737663</v>
      </c>
      <c r="M194" s="19">
        <f>$B$9*Data!R194/Data!R193</f>
        <v>199941543.66604561</v>
      </c>
      <c r="N194" s="19">
        <f t="shared" si="7"/>
        <v>1009793509.4475727</v>
      </c>
      <c r="O194">
        <f t="shared" si="8"/>
        <v>1.1101311071287645E-2</v>
      </c>
    </row>
    <row r="195" spans="6:15" x14ac:dyDescent="0.3">
      <c r="F195" s="3">
        <v>45588</v>
      </c>
      <c r="G195" s="40">
        <v>5797.42</v>
      </c>
      <c r="H195" s="46">
        <f t="shared" si="9"/>
        <v>-9.1912770030079249E-3</v>
      </c>
      <c r="I195" s="19">
        <f>$B$5*Data!F195/Data!F194</f>
        <v>197482688.91931677</v>
      </c>
      <c r="J195" s="19">
        <f>$B$6*Data!I195/Data!I194</f>
        <v>203613404.72754863</v>
      </c>
      <c r="K195" s="19">
        <f>$B$7*Data!L195/Data!L194</f>
        <v>194805918.82576451</v>
      </c>
      <c r="L195" s="19">
        <f>$B$8*Data!O195/Data!O194</f>
        <v>196903693.12845093</v>
      </c>
      <c r="M195" s="19">
        <f>$B$9*Data!R195/Data!R194</f>
        <v>197747680.61416712</v>
      </c>
      <c r="N195" s="19">
        <f t="shared" si="7"/>
        <v>990553386.21524799</v>
      </c>
      <c r="O195">
        <f t="shared" si="8"/>
        <v>-1.9053522380878096E-2</v>
      </c>
    </row>
    <row r="196" spans="6:15" x14ac:dyDescent="0.3">
      <c r="F196" s="3">
        <v>45589</v>
      </c>
      <c r="G196" s="40">
        <v>5809.86</v>
      </c>
      <c r="H196" s="46">
        <f t="shared" si="9"/>
        <v>2.1457820892740731E-3</v>
      </c>
      <c r="I196" s="19">
        <f>$B$5*Data!F196/Data!F195</f>
        <v>200942478.37416551</v>
      </c>
      <c r="J196" s="19">
        <f>$B$6*Data!I196/Data!I195</f>
        <v>196752148.41984078</v>
      </c>
      <c r="K196" s="19">
        <f>$B$7*Data!L196/Data!L195</f>
        <v>202371278.42422879</v>
      </c>
      <c r="L196" s="19">
        <f>$B$8*Data!O196/Data!O195</f>
        <v>200671118.97531909</v>
      </c>
      <c r="M196" s="19">
        <f>$B$9*Data!R196/Data!R195</f>
        <v>198691918.83458716</v>
      </c>
      <c r="N196" s="19">
        <f t="shared" ref="N196:N219" si="10">SUM(I196:M196)</f>
        <v>999428943.02814126</v>
      </c>
      <c r="O196">
        <f t="shared" ref="O196:O259" si="11">$N196/$N195-1</f>
        <v>8.9602003651771955E-3</v>
      </c>
    </row>
    <row r="197" spans="6:15" x14ac:dyDescent="0.3">
      <c r="F197" s="3">
        <v>45590</v>
      </c>
      <c r="G197" s="40">
        <v>5808.12</v>
      </c>
      <c r="H197" s="46">
        <f t="shared" si="9"/>
        <v>-2.994908655286066E-4</v>
      </c>
      <c r="I197" s="19">
        <f>$B$5*Data!F197/Data!F196</f>
        <v>200089460.25162515</v>
      </c>
      <c r="J197" s="19">
        <f>$B$6*Data!I197/Data!I196</f>
        <v>200596975.08271807</v>
      </c>
      <c r="K197" s="19">
        <f>$B$7*Data!L197/Data!L196</f>
        <v>201588354.41810653</v>
      </c>
      <c r="L197" s="19">
        <f>$B$8*Data!O197/Data!O196</f>
        <v>200161402.57756668</v>
      </c>
      <c r="M197" s="19">
        <f>$B$9*Data!R197/Data!R196</f>
        <v>200795786.2804783</v>
      </c>
      <c r="N197" s="19">
        <f t="shared" si="10"/>
        <v>1003231978.6104946</v>
      </c>
      <c r="O197">
        <f t="shared" si="11"/>
        <v>3.8052085732385166E-3</v>
      </c>
    </row>
    <row r="198" spans="6:15" x14ac:dyDescent="0.3">
      <c r="F198" s="3">
        <v>45593</v>
      </c>
      <c r="G198" s="40">
        <v>5823.52</v>
      </c>
      <c r="H198" s="46">
        <f t="shared" ref="H198:H261" si="12">$G198/$G197-1</f>
        <v>2.6514603692762151E-3</v>
      </c>
      <c r="I198" s="19">
        <f>$B$5*Data!F198/Data!F197</f>
        <v>200954564.73159108</v>
      </c>
      <c r="J198" s="19">
        <f>$B$6*Data!I198/Data!I197</f>
        <v>200055479.70118895</v>
      </c>
      <c r="K198" s="19">
        <f>$B$7*Data!L198/Data!L197</f>
        <v>202142360.03913558</v>
      </c>
      <c r="L198" s="19">
        <f>$B$8*Data!O198/Data!O197</f>
        <v>200678350.67507318</v>
      </c>
      <c r="M198" s="19">
        <f>$B$9*Data!R198/Data!R197</f>
        <v>197291081.0250167</v>
      </c>
      <c r="N198" s="19">
        <f t="shared" si="10"/>
        <v>1001121836.1720054</v>
      </c>
      <c r="O198">
        <f t="shared" si="11"/>
        <v>-2.1033444741382912E-3</v>
      </c>
    </row>
    <row r="199" spans="6:15" x14ac:dyDescent="0.3">
      <c r="F199" s="3">
        <v>45594</v>
      </c>
      <c r="G199" s="40">
        <v>5832.92</v>
      </c>
      <c r="H199" s="46">
        <f t="shared" si="12"/>
        <v>1.6141440228589765E-3</v>
      </c>
      <c r="I199" s="19">
        <f>$B$5*Data!F199/Data!F198</f>
        <v>196913687.47211084</v>
      </c>
      <c r="J199" s="19">
        <f>$B$6*Data!I199/Data!I198</f>
        <v>201330866.66283268</v>
      </c>
      <c r="K199" s="19">
        <f>$B$7*Data!L199/Data!L198</f>
        <v>195245178.66436881</v>
      </c>
      <c r="L199" s="19">
        <f>$B$8*Data!O199/Data!O198</f>
        <v>196477130.82723477</v>
      </c>
      <c r="M199" s="19">
        <f>$B$9*Data!R199/Data!R198</f>
        <v>197140103.84870622</v>
      </c>
      <c r="N199" s="19">
        <f t="shared" si="10"/>
        <v>987106967.47525334</v>
      </c>
      <c r="O199">
        <f t="shared" si="11"/>
        <v>-1.399916392827949E-2</v>
      </c>
    </row>
    <row r="200" spans="6:15" x14ac:dyDescent="0.3">
      <c r="F200" s="3">
        <v>45595</v>
      </c>
      <c r="G200" s="40">
        <v>5813.67</v>
      </c>
      <c r="H200" s="46">
        <f t="shared" si="12"/>
        <v>-3.3002338451409985E-3</v>
      </c>
      <c r="I200" s="19">
        <f>$B$5*Data!F200/Data!F199</f>
        <v>199355635.70760715</v>
      </c>
      <c r="J200" s="19">
        <f>$B$6*Data!I200/Data!I199</f>
        <v>196260962.37794113</v>
      </c>
      <c r="K200" s="19">
        <f>$B$7*Data!L200/Data!L199</f>
        <v>199333093.63255623</v>
      </c>
      <c r="L200" s="19">
        <f>$B$8*Data!O200/Data!O199</f>
        <v>199362349.63275665</v>
      </c>
      <c r="M200" s="19">
        <f>$B$9*Data!R200/Data!R199</f>
        <v>200275808.77921751</v>
      </c>
      <c r="N200" s="19">
        <f t="shared" si="10"/>
        <v>994587850.13007855</v>
      </c>
      <c r="O200">
        <f t="shared" si="11"/>
        <v>7.5785937100203427E-3</v>
      </c>
    </row>
    <row r="201" spans="6:15" x14ac:dyDescent="0.3">
      <c r="F201" s="3">
        <v>45596</v>
      </c>
      <c r="G201" s="40">
        <v>5705.45</v>
      </c>
      <c r="H201" s="46">
        <f t="shared" si="12"/>
        <v>-1.8614747655095742E-2</v>
      </c>
      <c r="I201" s="19">
        <f>$B$5*Data!F201/Data!F200</f>
        <v>201835495.1607767</v>
      </c>
      <c r="J201" s="19">
        <f>$B$6*Data!I201/Data!I200</f>
        <v>198974049.61241704</v>
      </c>
      <c r="K201" s="19">
        <f>$B$7*Data!L201/Data!L200</f>
        <v>199296895.43621659</v>
      </c>
      <c r="L201" s="19">
        <f>$B$8*Data!O201/Data!O200</f>
        <v>202136678.85768774</v>
      </c>
      <c r="M201" s="19">
        <f>$B$9*Data!R201/Data!R200</f>
        <v>202695466.84346071</v>
      </c>
      <c r="N201" s="19">
        <f t="shared" si="10"/>
        <v>1004938585.9105587</v>
      </c>
      <c r="O201">
        <f t="shared" si="11"/>
        <v>1.0407060350803965E-2</v>
      </c>
    </row>
    <row r="202" spans="6:15" x14ac:dyDescent="0.3">
      <c r="F202" s="3">
        <v>45597</v>
      </c>
      <c r="G202" s="40">
        <v>5728.8</v>
      </c>
      <c r="H202" s="46">
        <f t="shared" si="12"/>
        <v>4.0925781489629109E-3</v>
      </c>
      <c r="I202" s="19">
        <f>$B$5*Data!F202/Data!F201</f>
        <v>200492637.91303822</v>
      </c>
      <c r="J202" s="19">
        <f>$B$6*Data!I202/Data!I201</f>
        <v>202341797.49221459</v>
      </c>
      <c r="K202" s="19">
        <f>$B$7*Data!L202/Data!L201</f>
        <v>202049055.46678287</v>
      </c>
      <c r="L202" s="19">
        <f>$B$8*Data!O202/Data!O201</f>
        <v>200577460.89794314</v>
      </c>
      <c r="M202" s="19">
        <f>$B$9*Data!R202/Data!R201</f>
        <v>199309907.23265719</v>
      </c>
      <c r="N202" s="19">
        <f t="shared" si="10"/>
        <v>1004770859.0026361</v>
      </c>
      <c r="O202">
        <f t="shared" si="11"/>
        <v>-1.6690264487217998E-4</v>
      </c>
    </row>
    <row r="203" spans="6:15" x14ac:dyDescent="0.3">
      <c r="F203" s="3">
        <v>45600</v>
      </c>
      <c r="G203" s="40">
        <v>5712.69</v>
      </c>
      <c r="H203" s="46">
        <f t="shared" si="12"/>
        <v>-2.8121072475911779E-3</v>
      </c>
      <c r="I203" s="19">
        <f>$B$5*Data!F203/Data!F202</f>
        <v>204399400.33936542</v>
      </c>
      <c r="J203" s="19">
        <f>$B$6*Data!I203/Data!I202</f>
        <v>201137216.96959609</v>
      </c>
      <c r="K203" s="19">
        <f>$B$7*Data!L203/Data!L202</f>
        <v>207262239.90182647</v>
      </c>
      <c r="L203" s="19">
        <f>$B$8*Data!O203/Data!O202</f>
        <v>205256409.32751712</v>
      </c>
      <c r="M203" s="19">
        <f>$B$9*Data!R203/Data!R202</f>
        <v>203600232.19570592</v>
      </c>
      <c r="N203" s="19">
        <f t="shared" si="10"/>
        <v>1021655498.7340111</v>
      </c>
      <c r="O203">
        <f t="shared" si="11"/>
        <v>1.680446798400892E-2</v>
      </c>
    </row>
    <row r="204" spans="6:15" x14ac:dyDescent="0.3">
      <c r="F204" s="3">
        <v>45601</v>
      </c>
      <c r="G204" s="40">
        <v>5782.76</v>
      </c>
      <c r="H204" s="46">
        <f t="shared" si="12"/>
        <v>1.2265675189796932E-2</v>
      </c>
      <c r="I204" s="19">
        <f>$B$5*Data!F204/Data!F203</f>
        <v>195523624.54585394</v>
      </c>
      <c r="J204" s="19">
        <f>$B$6*Data!I204/Data!I203</f>
        <v>205059987.56714246</v>
      </c>
      <c r="K204" s="19">
        <f>$B$7*Data!L204/Data!L203</f>
        <v>194899576.23114222</v>
      </c>
      <c r="L204" s="19">
        <f>$B$8*Data!O204/Data!O203</f>
        <v>194872882.05030957</v>
      </c>
      <c r="M204" s="19">
        <f>$B$9*Data!R204/Data!R203</f>
        <v>196152146.90178365</v>
      </c>
      <c r="N204" s="19">
        <f t="shared" si="10"/>
        <v>986508217.29623175</v>
      </c>
      <c r="O204">
        <f t="shared" si="11"/>
        <v>-3.4402282845178433E-2</v>
      </c>
    </row>
    <row r="205" spans="6:15" x14ac:dyDescent="0.3">
      <c r="F205" s="3">
        <v>45602</v>
      </c>
      <c r="G205" s="40">
        <v>5929.04</v>
      </c>
      <c r="H205" s="46">
        <f t="shared" si="12"/>
        <v>2.5295879476236127E-2</v>
      </c>
      <c r="I205" s="19">
        <f>$B$5*Data!F205/Data!F204</f>
        <v>203956856.53344077</v>
      </c>
      <c r="J205" s="19">
        <f>$B$6*Data!I205/Data!I204</f>
        <v>194904847.00248796</v>
      </c>
      <c r="K205" s="19">
        <f>$B$7*Data!L205/Data!L204</f>
        <v>204425183.97691968</v>
      </c>
      <c r="L205" s="19">
        <f>$B$8*Data!O205/Data!O204</f>
        <v>204899163.5551897</v>
      </c>
      <c r="M205" s="19">
        <f>$B$9*Data!R205/Data!R204</f>
        <v>205082673.2109488</v>
      </c>
      <c r="N205" s="19">
        <f t="shared" si="10"/>
        <v>1013268724.2789869</v>
      </c>
      <c r="O205">
        <f t="shared" si="11"/>
        <v>2.7126491714482448E-2</v>
      </c>
    </row>
    <row r="206" spans="6:15" x14ac:dyDescent="0.3">
      <c r="F206" s="3">
        <v>45603</v>
      </c>
      <c r="G206" s="40">
        <v>5973.1</v>
      </c>
      <c r="H206" s="46">
        <f t="shared" si="12"/>
        <v>7.4312198939459062E-3</v>
      </c>
      <c r="I206" s="19">
        <f>$B$5*Data!F206/Data!F205</f>
        <v>197985885.0960815</v>
      </c>
      <c r="J206" s="19">
        <f>$B$6*Data!I206/Data!I205</f>
        <v>204992986.57014018</v>
      </c>
      <c r="K206" s="19">
        <f>$B$7*Data!L206/Data!L205</f>
        <v>199735081.11536074</v>
      </c>
      <c r="L206" s="19">
        <f>$B$8*Data!O206/Data!O205</f>
        <v>197868785.00439343</v>
      </c>
      <c r="M206" s="19">
        <f>$B$9*Data!R206/Data!R205</f>
        <v>196274274.21540675</v>
      </c>
      <c r="N206" s="19">
        <f t="shared" si="10"/>
        <v>996857012.00138259</v>
      </c>
      <c r="O206">
        <f t="shared" si="11"/>
        <v>-1.6196801385814474E-2</v>
      </c>
    </row>
    <row r="207" spans="6:15" x14ac:dyDescent="0.3">
      <c r="F207" s="3">
        <v>45604</v>
      </c>
      <c r="G207" s="40">
        <v>5995.54</v>
      </c>
      <c r="H207" s="46">
        <f t="shared" si="12"/>
        <v>3.7568431802581514E-3</v>
      </c>
      <c r="I207" s="19">
        <f>$B$5*Data!F207/Data!F206</f>
        <v>196994364.05501628</v>
      </c>
      <c r="J207" s="19">
        <f>$B$6*Data!I207/Data!I206</f>
        <v>197167959.34259409</v>
      </c>
      <c r="K207" s="19">
        <f>$B$7*Data!L207/Data!L206</f>
        <v>199190984.06272569</v>
      </c>
      <c r="L207" s="19">
        <f>$B$8*Data!O207/Data!O206</f>
        <v>197063305.529107</v>
      </c>
      <c r="M207" s="19">
        <f>$B$9*Data!R207/Data!R206</f>
        <v>196274448.08830315</v>
      </c>
      <c r="N207" s="19">
        <f t="shared" si="10"/>
        <v>986691061.07774615</v>
      </c>
      <c r="O207">
        <f t="shared" si="11"/>
        <v>-1.0198003125068356E-2</v>
      </c>
    </row>
    <row r="208" spans="6:15" x14ac:dyDescent="0.3">
      <c r="F208" s="3">
        <v>45607</v>
      </c>
      <c r="G208" s="40">
        <v>6001.35</v>
      </c>
      <c r="H208" s="46">
        <f t="shared" si="12"/>
        <v>9.6905366322297404E-4</v>
      </c>
      <c r="I208" s="19">
        <f>$B$5*Data!F208/Data!F207</f>
        <v>194293242.28317925</v>
      </c>
      <c r="J208" s="19">
        <f>$B$6*Data!I208/Data!I207</f>
        <v>196772957.50133371</v>
      </c>
      <c r="K208" s="19">
        <f>$B$7*Data!L208/Data!L207</f>
        <v>191595327.14275202</v>
      </c>
      <c r="L208" s="19">
        <f>$B$8*Data!O208/Data!O207</f>
        <v>193761509.61672956</v>
      </c>
      <c r="M208" s="19">
        <f>$B$9*Data!R208/Data!R207</f>
        <v>195080614.38464507</v>
      </c>
      <c r="N208" s="19">
        <f t="shared" si="10"/>
        <v>971503650.92863977</v>
      </c>
      <c r="O208">
        <f t="shared" si="11"/>
        <v>-1.5392264862030269E-2</v>
      </c>
    </row>
    <row r="209" spans="6:15" x14ac:dyDescent="0.3">
      <c r="F209" s="3">
        <v>45608</v>
      </c>
      <c r="G209" s="40">
        <v>5983.99</v>
      </c>
      <c r="H209" s="46">
        <f t="shared" si="12"/>
        <v>-2.8926824797754769E-3</v>
      </c>
      <c r="I209" s="19">
        <f>$B$5*Data!F209/Data!F208</f>
        <v>199704820.25144273</v>
      </c>
      <c r="J209" s="19">
        <f>$B$6*Data!I209/Data!I208</f>
        <v>193836575.36537552</v>
      </c>
      <c r="K209" s="19">
        <f>$B$7*Data!L209/Data!L208</f>
        <v>199887473.038573</v>
      </c>
      <c r="L209" s="19">
        <f>$B$8*Data!O209/Data!O208</f>
        <v>200047180.64370972</v>
      </c>
      <c r="M209" s="19">
        <f>$B$9*Data!R209/Data!R208</f>
        <v>200133768.88854316</v>
      </c>
      <c r="N209" s="19">
        <f t="shared" si="10"/>
        <v>993609818.187644</v>
      </c>
      <c r="O209">
        <f t="shared" si="11"/>
        <v>2.2754589998579489E-2</v>
      </c>
    </row>
    <row r="210" spans="6:15" x14ac:dyDescent="0.3">
      <c r="F210" s="3">
        <v>45609</v>
      </c>
      <c r="G210" s="40">
        <v>5985.38</v>
      </c>
      <c r="H210" s="46">
        <f t="shared" si="12"/>
        <v>2.3228648443596178E-4</v>
      </c>
      <c r="I210" s="19">
        <f>$B$5*Data!F210/Data!F209</f>
        <v>196021030.09007797</v>
      </c>
      <c r="J210" s="19">
        <f>$B$6*Data!I210/Data!I209</f>
        <v>199762946.01860926</v>
      </c>
      <c r="K210" s="19">
        <f>$B$7*Data!L210/Data!L209</f>
        <v>193767557.73248586</v>
      </c>
      <c r="L210" s="19">
        <f>$B$8*Data!O210/Data!O209</f>
        <v>195504940.3968077</v>
      </c>
      <c r="M210" s="19">
        <f>$B$9*Data!R210/Data!R209</f>
        <v>195455023.3016561</v>
      </c>
      <c r="N210" s="19">
        <f t="shared" si="10"/>
        <v>980511497.53963685</v>
      </c>
      <c r="O210">
        <f t="shared" si="11"/>
        <v>-1.3182559600607213E-2</v>
      </c>
    </row>
    <row r="211" spans="6:15" x14ac:dyDescent="0.3">
      <c r="F211" s="3">
        <v>45610</v>
      </c>
      <c r="G211" s="40">
        <v>5949.17</v>
      </c>
      <c r="H211" s="46">
        <f t="shared" si="12"/>
        <v>-6.0497412027306074E-3</v>
      </c>
      <c r="I211" s="19">
        <f>$B$5*Data!F211/Data!F210</f>
        <v>199887136.74113968</v>
      </c>
      <c r="J211" s="19">
        <f>$B$6*Data!I211/Data!I210</f>
        <v>195558287.90472665</v>
      </c>
      <c r="K211" s="19">
        <f>$B$7*Data!L211/Data!L210</f>
        <v>200425456.42248794</v>
      </c>
      <c r="L211" s="19">
        <f>$B$8*Data!O211/Data!O210</f>
        <v>200184761.25464076</v>
      </c>
      <c r="M211" s="19">
        <f>$B$9*Data!R211/Data!R210</f>
        <v>200433681.75582451</v>
      </c>
      <c r="N211" s="19">
        <f t="shared" si="10"/>
        <v>996489324.07881951</v>
      </c>
      <c r="O211">
        <f t="shared" si="11"/>
        <v>1.6295399471883076E-2</v>
      </c>
    </row>
    <row r="212" spans="6:15" x14ac:dyDescent="0.3">
      <c r="F212" s="3">
        <v>45611</v>
      </c>
      <c r="G212" s="40">
        <v>5870.62</v>
      </c>
      <c r="H212" s="46">
        <f t="shared" si="12"/>
        <v>-1.3203522508181798E-2</v>
      </c>
      <c r="I212" s="19">
        <f>$B$5*Data!F212/Data!F211</f>
        <v>201446108.33580551</v>
      </c>
      <c r="J212" s="19">
        <f>$B$6*Data!I212/Data!I211</f>
        <v>200380154.37641177</v>
      </c>
      <c r="K212" s="19">
        <f>$B$7*Data!L212/Data!L211</f>
        <v>200532139.83630577</v>
      </c>
      <c r="L212" s="19">
        <f>$B$8*Data!O212/Data!O211</f>
        <v>202106133.66258001</v>
      </c>
      <c r="M212" s="19">
        <f>$B$9*Data!R212/Data!R211</f>
        <v>201362192.56295282</v>
      </c>
      <c r="N212" s="19">
        <f t="shared" si="10"/>
        <v>1005826728.774056</v>
      </c>
      <c r="O212">
        <f t="shared" si="11"/>
        <v>9.3703007845751252E-3</v>
      </c>
    </row>
    <row r="213" spans="6:15" x14ac:dyDescent="0.3">
      <c r="F213" s="3">
        <v>45614</v>
      </c>
      <c r="G213" s="40">
        <v>5893.62</v>
      </c>
      <c r="H213" s="46">
        <f t="shared" si="12"/>
        <v>3.9178144727474162E-3</v>
      </c>
      <c r="I213" s="19">
        <f>$B$5*Data!F213/Data!F212</f>
        <v>200928142.74326214</v>
      </c>
      <c r="J213" s="19">
        <f>$B$6*Data!I213/Data!I212</f>
        <v>202429498.2560252</v>
      </c>
      <c r="K213" s="19">
        <f>$B$7*Data!L213/Data!L212</f>
        <v>202504047.22904104</v>
      </c>
      <c r="L213" s="19">
        <f>$B$8*Data!O213/Data!O212</f>
        <v>200750303.47056559</v>
      </c>
      <c r="M213" s="19">
        <f>$B$9*Data!R213/Data!R212</f>
        <v>200652303.7365832</v>
      </c>
      <c r="N213" s="19">
        <f t="shared" si="10"/>
        <v>1007264295.4354773</v>
      </c>
      <c r="O213">
        <f t="shared" si="11"/>
        <v>1.4292388741483641E-3</v>
      </c>
    </row>
    <row r="214" spans="6:15" x14ac:dyDescent="0.3">
      <c r="F214" s="3">
        <v>45615</v>
      </c>
      <c r="G214" s="40">
        <v>5916.98</v>
      </c>
      <c r="H214" s="46">
        <f t="shared" si="12"/>
        <v>3.9636081050355987E-3</v>
      </c>
      <c r="I214" s="19">
        <f>$B$5*Data!F214/Data!F213</f>
        <v>200433346.21071485</v>
      </c>
      <c r="J214" s="19">
        <f>$B$6*Data!I214/Data!I213</f>
        <v>200910007.63133457</v>
      </c>
      <c r="K214" s="19">
        <f>$B$7*Data!L214/Data!L213</f>
        <v>200833826.4954249</v>
      </c>
      <c r="L214" s="19">
        <f>$B$8*Data!O214/Data!O213</f>
        <v>200257138.07661211</v>
      </c>
      <c r="M214" s="19">
        <f>$B$9*Data!R214/Data!R213</f>
        <v>200797878.79634303</v>
      </c>
      <c r="N214" s="19">
        <f t="shared" si="10"/>
        <v>1003232197.2104294</v>
      </c>
      <c r="O214">
        <f t="shared" si="11"/>
        <v>-4.0030191115874025E-3</v>
      </c>
    </row>
    <row r="215" spans="6:15" x14ac:dyDescent="0.3">
      <c r="F215" s="3">
        <v>45616</v>
      </c>
      <c r="G215" s="40">
        <v>5917.11</v>
      </c>
      <c r="H215" s="46">
        <f t="shared" si="12"/>
        <v>2.1970667468895755E-5</v>
      </c>
      <c r="I215" s="19">
        <f>$B$5*Data!F215/Data!F214</f>
        <v>198935221.89545757</v>
      </c>
      <c r="J215" s="19">
        <f>$B$6*Data!I215/Data!I214</f>
        <v>200282685.377538</v>
      </c>
      <c r="K215" s="19">
        <f>$B$7*Data!L215/Data!L214</f>
        <v>197500431.95901114</v>
      </c>
      <c r="L215" s="19">
        <f>$B$8*Data!O215/Data!O214</f>
        <v>198411151.0208557</v>
      </c>
      <c r="M215" s="19">
        <f>$B$9*Data!R215/Data!R214</f>
        <v>199207301.48398662</v>
      </c>
      <c r="N215" s="19">
        <f t="shared" si="10"/>
        <v>994336791.73684907</v>
      </c>
      <c r="O215">
        <f t="shared" si="11"/>
        <v>-8.8667464005988128E-3</v>
      </c>
    </row>
    <row r="216" spans="6:15" x14ac:dyDescent="0.3">
      <c r="F216" s="3">
        <v>45617</v>
      </c>
      <c r="G216" s="40">
        <v>5948.71</v>
      </c>
      <c r="H216" s="46">
        <f t="shared" si="12"/>
        <v>5.3404449131417842E-3</v>
      </c>
      <c r="I216" s="19">
        <f>$B$5*Data!F216/Data!F215</f>
        <v>196235762.19392365</v>
      </c>
      <c r="J216" s="19">
        <f>$B$6*Data!I216/Data!I215</f>
        <v>198538633.51049566</v>
      </c>
      <c r="K216" s="19">
        <f>$B$7*Data!L216/Data!L215</f>
        <v>194885033.39968735</v>
      </c>
      <c r="L216" s="19">
        <f>$B$8*Data!O216/Data!O215</f>
        <v>195819591.67182243</v>
      </c>
      <c r="M216" s="19">
        <f>$B$9*Data!R216/Data!R215</f>
        <v>195739708.66008946</v>
      </c>
      <c r="N216" s="19">
        <f t="shared" si="10"/>
        <v>981218729.43601859</v>
      </c>
      <c r="O216">
        <f t="shared" si="11"/>
        <v>-1.3192775737400408E-2</v>
      </c>
    </row>
    <row r="217" spans="6:15" x14ac:dyDescent="0.3">
      <c r="F217" s="3">
        <v>45618</v>
      </c>
      <c r="G217" s="40">
        <v>5969.34</v>
      </c>
      <c r="H217" s="46">
        <f t="shared" si="12"/>
        <v>3.4679787718681077E-3</v>
      </c>
      <c r="I217" s="19">
        <f>$B$5*Data!F217/Data!F216</f>
        <v>199140192.04978627</v>
      </c>
      <c r="J217" s="19">
        <f>$B$6*Data!I217/Data!I216</f>
        <v>195523043.45475441</v>
      </c>
      <c r="K217" s="19">
        <f>$B$7*Data!L217/Data!L216</f>
        <v>199448629.53345096</v>
      </c>
      <c r="L217" s="19">
        <f>$B$8*Data!O217/Data!O216</f>
        <v>199239954.71487629</v>
      </c>
      <c r="M217" s="19">
        <f>$B$9*Data!R217/Data!R216</f>
        <v>199560175.31693712</v>
      </c>
      <c r="N217" s="19">
        <f t="shared" si="10"/>
        <v>992911995.06980503</v>
      </c>
      <c r="O217">
        <f t="shared" si="11"/>
        <v>1.1917083605311296E-2</v>
      </c>
    </row>
    <row r="218" spans="6:15" x14ac:dyDescent="0.3">
      <c r="F218" s="3">
        <v>45621</v>
      </c>
      <c r="G218" s="40">
        <v>5987.37</v>
      </c>
      <c r="H218" s="46">
        <f t="shared" si="12"/>
        <v>3.0204344198856425E-3</v>
      </c>
      <c r="I218" s="19">
        <f>$B$5*Data!F218/Data!F217</f>
        <v>200134590.00577751</v>
      </c>
      <c r="J218" s="19">
        <f>$B$6*Data!I218/Data!I217</f>
        <v>198973818.98079208</v>
      </c>
      <c r="K218" s="19">
        <f>$B$7*Data!L218/Data!L217</f>
        <v>199419678.17078418</v>
      </c>
      <c r="L218" s="19">
        <f>$B$8*Data!O218/Data!O217</f>
        <v>199738649.03761488</v>
      </c>
      <c r="M218" s="19">
        <f>$B$9*Data!R218/Data!R217</f>
        <v>199706450.2830407</v>
      </c>
      <c r="N218" s="19">
        <f t="shared" si="10"/>
        <v>997973186.47800946</v>
      </c>
      <c r="O218">
        <f t="shared" si="11"/>
        <v>5.0973212463292228E-3</v>
      </c>
    </row>
    <row r="219" spans="6:15" x14ac:dyDescent="0.3">
      <c r="F219" s="3">
        <v>45622</v>
      </c>
      <c r="G219" s="40">
        <v>6021.63</v>
      </c>
      <c r="H219" s="46">
        <f t="shared" si="12"/>
        <v>5.722044904524104E-3</v>
      </c>
      <c r="I219" s="19">
        <f>$B$5*Data!F219/Data!F218</f>
        <v>204615713.38511863</v>
      </c>
      <c r="J219" s="19">
        <f>$B$6*Data!I219/Data!I218</f>
        <v>199919201.57628629</v>
      </c>
      <c r="K219" s="19">
        <f>$B$7*Data!L219/Data!L218</f>
        <v>207203075.30376276</v>
      </c>
      <c r="L219" s="19">
        <f>$B$8*Data!O219/Data!O218</f>
        <v>205114395.85291255</v>
      </c>
      <c r="M219" s="19">
        <f>$B$9*Data!R219/Data!R218</f>
        <v>203194971.90939152</v>
      </c>
      <c r="N219" s="19">
        <f t="shared" si="10"/>
        <v>1020047358.0274718</v>
      </c>
      <c r="O219">
        <f t="shared" si="11"/>
        <v>2.2119002643112395E-2</v>
      </c>
    </row>
    <row r="220" spans="6:15" x14ac:dyDescent="0.3">
      <c r="F220" s="3">
        <v>45623</v>
      </c>
      <c r="G220" s="40">
        <v>5998.74</v>
      </c>
      <c r="H220" s="46">
        <f t="shared" si="12"/>
        <v>-3.8012963267421984E-3</v>
      </c>
      <c r="I220" s="19">
        <f>$B$5*Data!F220/Data!F219</f>
        <v>198201561.92427987</v>
      </c>
      <c r="J220" s="19">
        <f>$B$6*Data!I220/Data!I219</f>
        <v>205308863.23723522</v>
      </c>
      <c r="K220" s="19">
        <f>$B$7*Data!L220/Data!L219</f>
        <v>199078158.91250512</v>
      </c>
      <c r="L220" s="19">
        <f>$B$8*Data!O220/Data!O219</f>
        <v>197735734.91280803</v>
      </c>
      <c r="M220" s="19">
        <f>$B$9*Data!R220/Data!R219</f>
        <v>197235251.30483231</v>
      </c>
      <c r="N220" s="19">
        <f>SUM(I220:M220)</f>
        <v>997559570.29166067</v>
      </c>
      <c r="O220">
        <f t="shared" si="11"/>
        <v>-2.2045827146003449E-2</v>
      </c>
    </row>
    <row r="221" spans="6:15" x14ac:dyDescent="0.3">
      <c r="F221" s="3">
        <v>45625</v>
      </c>
      <c r="G221" s="40">
        <v>6032.38</v>
      </c>
      <c r="H221" s="46">
        <f t="shared" si="12"/>
        <v>5.6078443139726541E-3</v>
      </c>
      <c r="I221" s="19">
        <f>$B$5*Data!F221/Data!F220</f>
        <v>201299218.19993016</v>
      </c>
      <c r="J221" s="19">
        <f>$B$6*Data!I221/Data!I220</f>
        <v>197501195.0061177</v>
      </c>
      <c r="K221" s="19">
        <f>$B$7*Data!L221/Data!L220</f>
        <v>202402028.8133921</v>
      </c>
      <c r="L221" s="19">
        <f>$B$8*Data!O221/Data!O220</f>
        <v>201790491.58572438</v>
      </c>
      <c r="M221" s="19">
        <f>$B$9*Data!R221/Data!R220</f>
        <v>201547361.48716372</v>
      </c>
      <c r="N221" s="19">
        <f t="shared" ref="N221:N284" si="13">SUM(I221:M221)</f>
        <v>1004540295.0923281</v>
      </c>
      <c r="O221">
        <f t="shared" si="11"/>
        <v>6.9978024456489596E-3</v>
      </c>
    </row>
    <row r="222" spans="6:15" x14ac:dyDescent="0.3">
      <c r="F222" s="3">
        <v>45628</v>
      </c>
      <c r="G222" s="40">
        <v>6047.15</v>
      </c>
      <c r="H222" s="46">
        <f t="shared" si="12"/>
        <v>2.4484531809998433E-3</v>
      </c>
      <c r="I222" s="19">
        <f>$B$5*Data!F222/Data!F221</f>
        <v>202013180.15686554</v>
      </c>
      <c r="J222" s="19">
        <f>$B$6*Data!I222/Data!I221</f>
        <v>201892939.27254328</v>
      </c>
      <c r="K222" s="19">
        <f>$B$7*Data!L222/Data!L221</f>
        <v>200554265.33084738</v>
      </c>
      <c r="L222" s="19">
        <f>$B$8*Data!O222/Data!O221</f>
        <v>201807738.61432979</v>
      </c>
      <c r="M222" s="19">
        <f>$B$9*Data!R222/Data!R221</f>
        <v>202968500.37555927</v>
      </c>
      <c r="N222" s="19">
        <f t="shared" si="13"/>
        <v>1009236623.7501452</v>
      </c>
      <c r="O222">
        <f t="shared" si="11"/>
        <v>4.6751023137259207E-3</v>
      </c>
    </row>
    <row r="223" spans="6:15" x14ac:dyDescent="0.3">
      <c r="F223" s="3">
        <v>45629</v>
      </c>
      <c r="G223" s="40">
        <v>6049.88</v>
      </c>
      <c r="H223" s="46">
        <f t="shared" si="12"/>
        <v>4.5145233705135013E-4</v>
      </c>
      <c r="I223" s="19">
        <f>$B$5*Data!F223/Data!F222</f>
        <v>199930072.50878021</v>
      </c>
      <c r="J223" s="19">
        <f>$B$6*Data!I223/Data!I222</f>
        <v>201867130.12835726</v>
      </c>
      <c r="K223" s="19">
        <f>$B$7*Data!L223/Data!L222</f>
        <v>199337750.84529176</v>
      </c>
      <c r="L223" s="19">
        <f>$B$8*Data!O223/Data!O222</f>
        <v>200333070.15176317</v>
      </c>
      <c r="M223" s="19">
        <f>$B$9*Data!R223/Data!R222</f>
        <v>200599171.71760473</v>
      </c>
      <c r="N223" s="19">
        <f t="shared" si="13"/>
        <v>1002067195.3517972</v>
      </c>
      <c r="O223">
        <f t="shared" si="11"/>
        <v>-7.1038131490984702E-3</v>
      </c>
    </row>
    <row r="224" spans="6:15" x14ac:dyDescent="0.3">
      <c r="F224" s="3">
        <v>45630</v>
      </c>
      <c r="G224" s="40">
        <v>6086.49</v>
      </c>
      <c r="H224" s="46">
        <f t="shared" si="12"/>
        <v>6.0513596963907013E-3</v>
      </c>
      <c r="I224" s="19">
        <f>$B$5*Data!F224/Data!F223</f>
        <v>198112781.1199514</v>
      </c>
      <c r="J224" s="19">
        <f>$B$6*Data!I224/Data!I223</f>
        <v>200230471.61646277</v>
      </c>
      <c r="K224" s="19">
        <f>$B$7*Data!L224/Data!L223</f>
        <v>198420795.7860775</v>
      </c>
      <c r="L224" s="19">
        <f>$B$8*Data!O224/Data!O223</f>
        <v>197956195.2234455</v>
      </c>
      <c r="M224" s="19">
        <f>$B$9*Data!R224/Data!R223</f>
        <v>198193436.64709967</v>
      </c>
      <c r="N224" s="19">
        <f t="shared" si="13"/>
        <v>992913680.39303684</v>
      </c>
      <c r="O224">
        <f t="shared" si="11"/>
        <v>-9.1346318901766033E-3</v>
      </c>
    </row>
    <row r="225" spans="6:15" x14ac:dyDescent="0.3">
      <c r="F225" s="3">
        <v>45631</v>
      </c>
      <c r="G225" s="40">
        <v>6075.11</v>
      </c>
      <c r="H225" s="46">
        <f t="shared" si="12"/>
        <v>-1.8697147288503357E-3</v>
      </c>
      <c r="I225" s="19">
        <f>$B$5*Data!F225/Data!F224</f>
        <v>203182764.32276782</v>
      </c>
      <c r="J225" s="19">
        <f>$B$6*Data!I225/Data!I224</f>
        <v>198037258.79262906</v>
      </c>
      <c r="K225" s="19">
        <f>$B$7*Data!L225/Data!L224</f>
        <v>204381908.80575481</v>
      </c>
      <c r="L225" s="19">
        <f>$B$8*Data!O225/Data!O224</f>
        <v>203550809.79875997</v>
      </c>
      <c r="M225" s="19">
        <f>$B$9*Data!R225/Data!R224</f>
        <v>202939169.176723</v>
      </c>
      <c r="N225" s="19">
        <f t="shared" si="13"/>
        <v>1012091910.8966346</v>
      </c>
      <c r="O225">
        <f t="shared" si="11"/>
        <v>1.9315103500242126E-2</v>
      </c>
    </row>
    <row r="226" spans="6:15" x14ac:dyDescent="0.3">
      <c r="F226" s="3">
        <v>45632</v>
      </c>
      <c r="G226" s="40">
        <v>6090.27</v>
      </c>
      <c r="H226" s="46">
        <f t="shared" si="12"/>
        <v>2.4954280663231909E-3</v>
      </c>
      <c r="I226" s="19">
        <f>$B$5*Data!F226/Data!F225</f>
        <v>205598679.82280481</v>
      </c>
      <c r="J226" s="19">
        <f>$B$6*Data!I226/Data!I225</f>
        <v>204062121.34155726</v>
      </c>
      <c r="K226" s="19">
        <f>$B$7*Data!L226/Data!L225</f>
        <v>208688066.88025206</v>
      </c>
      <c r="L226" s="19">
        <f>$B$8*Data!O226/Data!O225</f>
        <v>206360458.00852844</v>
      </c>
      <c r="M226" s="19">
        <f>$B$9*Data!R226/Data!R225</f>
        <v>205819002.62479243</v>
      </c>
      <c r="N226" s="19">
        <f t="shared" si="13"/>
        <v>1030528328.677935</v>
      </c>
      <c r="O226">
        <f t="shared" si="11"/>
        <v>1.8216149721982378E-2</v>
      </c>
    </row>
    <row r="227" spans="6:15" x14ac:dyDescent="0.3">
      <c r="F227" s="3">
        <v>45635</v>
      </c>
      <c r="G227" s="40">
        <v>6052.85</v>
      </c>
      <c r="H227" s="46">
        <f t="shared" si="12"/>
        <v>-6.1442267748391677E-3</v>
      </c>
      <c r="I227" s="19">
        <f>$B$5*Data!F227/Data!F226</f>
        <v>199118177.64414525</v>
      </c>
      <c r="J227" s="19">
        <f>$B$6*Data!I227/Data!I226</f>
        <v>206891459.83282185</v>
      </c>
      <c r="K227" s="19">
        <f>$B$7*Data!L227/Data!L226</f>
        <v>197338698.40047395</v>
      </c>
      <c r="L227" s="19">
        <f>$B$8*Data!O227/Data!O226</f>
        <v>198644009.2844696</v>
      </c>
      <c r="M227" s="19">
        <f>$B$9*Data!R227/Data!R226</f>
        <v>197913714.0149557</v>
      </c>
      <c r="N227" s="19">
        <f t="shared" si="13"/>
        <v>999906059.17686629</v>
      </c>
      <c r="O227">
        <f t="shared" si="11"/>
        <v>-2.9715116653177387E-2</v>
      </c>
    </row>
    <row r="228" spans="6:15" x14ac:dyDescent="0.3">
      <c r="F228" s="3">
        <v>45636</v>
      </c>
      <c r="G228" s="40">
        <v>6034.91</v>
      </c>
      <c r="H228" s="46">
        <f t="shared" si="12"/>
        <v>-2.9638930421207466E-3</v>
      </c>
      <c r="I228" s="19">
        <f>$B$5*Data!F228/Data!F227</f>
        <v>198464195.84535876</v>
      </c>
      <c r="J228" s="19">
        <f>$B$6*Data!I228/Data!I227</f>
        <v>198327380.54706034</v>
      </c>
      <c r="K228" s="19">
        <f>$B$7*Data!L228/Data!L227</f>
        <v>197373584.61716047</v>
      </c>
      <c r="L228" s="19">
        <f>$B$8*Data!O228/Data!O227</f>
        <v>198448247.79113537</v>
      </c>
      <c r="M228" s="19">
        <f>$B$9*Data!R228/Data!R227</f>
        <v>200328185.26373795</v>
      </c>
      <c r="N228" s="19">
        <f t="shared" si="13"/>
        <v>992941594.06445289</v>
      </c>
      <c r="O228">
        <f t="shared" si="11"/>
        <v>-6.9651194214650491E-3</v>
      </c>
    </row>
    <row r="229" spans="6:15" x14ac:dyDescent="0.3">
      <c r="F229" s="3">
        <v>45637</v>
      </c>
      <c r="G229" s="40">
        <v>6084.19</v>
      </c>
      <c r="H229" s="46">
        <f t="shared" si="12"/>
        <v>8.1658218598121834E-3</v>
      </c>
      <c r="I229" s="19">
        <f>$B$5*Data!F229/Data!F228</f>
        <v>202388366.44034809</v>
      </c>
      <c r="J229" s="19">
        <f>$B$6*Data!I229/Data!I228</f>
        <v>197866169.86055887</v>
      </c>
      <c r="K229" s="19">
        <f>$B$7*Data!L229/Data!L228</f>
        <v>203042828.86360431</v>
      </c>
      <c r="L229" s="19">
        <f>$B$8*Data!O229/Data!O228</f>
        <v>203041547.20320883</v>
      </c>
      <c r="M229" s="19">
        <f>$B$9*Data!R229/Data!R228</f>
        <v>201883221.36113203</v>
      </c>
      <c r="N229" s="19">
        <f t="shared" si="13"/>
        <v>1008222133.728852</v>
      </c>
      <c r="O229">
        <f t="shared" si="11"/>
        <v>1.5389162621187724E-2</v>
      </c>
    </row>
    <row r="230" spans="6:15" x14ac:dyDescent="0.3">
      <c r="F230" s="3">
        <v>45638</v>
      </c>
      <c r="G230" s="40">
        <v>6051.25</v>
      </c>
      <c r="H230" s="46">
        <f t="shared" si="12"/>
        <v>-5.4140321061636465E-3</v>
      </c>
      <c r="I230" s="19">
        <f>$B$5*Data!F230/Data!F229</f>
        <v>195824788.38851699</v>
      </c>
      <c r="J230" s="19">
        <f>$B$6*Data!I230/Data!I229</f>
        <v>203054174.33538014</v>
      </c>
      <c r="K230" s="19">
        <f>$B$7*Data!L230/Data!L229</f>
        <v>194730504.56223026</v>
      </c>
      <c r="L230" s="19">
        <f>$B$8*Data!O230/Data!O229</f>
        <v>195285118.40871727</v>
      </c>
      <c r="M230" s="19">
        <f>$B$9*Data!R230/Data!R229</f>
        <v>196646670.88937742</v>
      </c>
      <c r="N230" s="19">
        <f t="shared" si="13"/>
        <v>985541256.58422208</v>
      </c>
      <c r="O230">
        <f t="shared" si="11"/>
        <v>-2.249591274171503E-2</v>
      </c>
    </row>
    <row r="231" spans="6:15" x14ac:dyDescent="0.3">
      <c r="F231" s="3">
        <v>45639</v>
      </c>
      <c r="G231" s="40">
        <v>6051.09</v>
      </c>
      <c r="H231" s="46">
        <f t="shared" si="12"/>
        <v>-2.6440818012729572E-5</v>
      </c>
      <c r="I231" s="19">
        <f>$B$5*Data!F231/Data!F230</f>
        <v>198227220.68843108</v>
      </c>
      <c r="J231" s="19">
        <f>$B$6*Data!I231/Data!I230</f>
        <v>195230737.07331958</v>
      </c>
      <c r="K231" s="19">
        <f>$B$7*Data!L231/Data!L230</f>
        <v>197089744.62516597</v>
      </c>
      <c r="L231" s="19">
        <f>$B$8*Data!O231/Data!O230</f>
        <v>198487218.88987264</v>
      </c>
      <c r="M231" s="19">
        <f>$B$9*Data!R231/Data!R230</f>
        <v>200046683.22109306</v>
      </c>
      <c r="N231" s="19">
        <f t="shared" si="13"/>
        <v>989081604.49788237</v>
      </c>
      <c r="O231">
        <f t="shared" si="11"/>
        <v>3.5922878824279358E-3</v>
      </c>
    </row>
    <row r="232" spans="6:15" x14ac:dyDescent="0.3">
      <c r="F232" s="3">
        <v>45642</v>
      </c>
      <c r="G232" s="40">
        <v>6074.08</v>
      </c>
      <c r="H232" s="46">
        <f t="shared" si="12"/>
        <v>3.7993154952247199E-3</v>
      </c>
      <c r="I232" s="19">
        <f>$B$5*Data!F232/Data!F231</f>
        <v>199068248.01712766</v>
      </c>
      <c r="J232" s="19">
        <f>$B$6*Data!I232/Data!I231</f>
        <v>198356283.14835659</v>
      </c>
      <c r="K232" s="19">
        <f>$B$7*Data!L232/Data!L231</f>
        <v>198867467.45933929</v>
      </c>
      <c r="L232" s="19">
        <f>$B$8*Data!O232/Data!O231</f>
        <v>199264103.7411128</v>
      </c>
      <c r="M232" s="19">
        <f>$B$9*Data!R232/Data!R231</f>
        <v>198697325.02454641</v>
      </c>
      <c r="N232" s="19">
        <f t="shared" si="13"/>
        <v>994253427.39048278</v>
      </c>
      <c r="O232">
        <f t="shared" si="11"/>
        <v>5.2289142463890492E-3</v>
      </c>
    </row>
    <row r="233" spans="6:15" x14ac:dyDescent="0.3">
      <c r="F233" s="3">
        <v>45643</v>
      </c>
      <c r="G233" s="40">
        <v>6050.61</v>
      </c>
      <c r="H233" s="46">
        <f t="shared" si="12"/>
        <v>-3.8639596449174807E-3</v>
      </c>
      <c r="I233" s="19">
        <f>$B$5*Data!F233/Data!F232</f>
        <v>201790238.61640242</v>
      </c>
      <c r="J233" s="19">
        <f>$B$6*Data!I233/Data!I232</f>
        <v>199112694.57256442</v>
      </c>
      <c r="K233" s="19">
        <f>$B$7*Data!L233/Data!L232</f>
        <v>203760740.92091271</v>
      </c>
      <c r="L233" s="19">
        <f>$B$8*Data!O233/Data!O232</f>
        <v>202245785.37136084</v>
      </c>
      <c r="M233" s="19">
        <f>$B$9*Data!R233/Data!R232</f>
        <v>202490068.50830919</v>
      </c>
      <c r="N233" s="19">
        <f t="shared" si="13"/>
        <v>1009399527.9895496</v>
      </c>
      <c r="O233">
        <f t="shared" si="11"/>
        <v>1.5233641827938404E-2</v>
      </c>
    </row>
    <row r="234" spans="6:15" x14ac:dyDescent="0.3">
      <c r="F234" s="3">
        <v>45644</v>
      </c>
      <c r="G234" s="40">
        <v>5872.16</v>
      </c>
      <c r="H234" s="46">
        <f t="shared" si="12"/>
        <v>-2.9492894104891865E-2</v>
      </c>
      <c r="I234" s="19">
        <f>$B$5*Data!F234/Data!F233</f>
        <v>198841248.11627734</v>
      </c>
      <c r="J234" s="19">
        <f>$B$6*Data!I234/Data!I233</f>
        <v>202098855.2842724</v>
      </c>
      <c r="K234" s="19">
        <f>$B$7*Data!L234/Data!L233</f>
        <v>198654436.95188439</v>
      </c>
      <c r="L234" s="19">
        <f>$B$8*Data!O234/Data!O233</f>
        <v>199170995.97116554</v>
      </c>
      <c r="M234" s="19">
        <f>$B$9*Data!R234/Data!R233</f>
        <v>198589823.15553096</v>
      </c>
      <c r="N234" s="19">
        <f t="shared" si="13"/>
        <v>997355359.47913063</v>
      </c>
      <c r="O234">
        <f t="shared" si="11"/>
        <v>-1.1932013218202808E-2</v>
      </c>
    </row>
    <row r="235" spans="6:15" x14ac:dyDescent="0.3">
      <c r="F235" s="3">
        <v>45645</v>
      </c>
      <c r="G235" s="40">
        <v>5867.08</v>
      </c>
      <c r="H235" s="46">
        <f t="shared" si="12"/>
        <v>-8.6509904362275236E-4</v>
      </c>
      <c r="I235" s="19">
        <f>$B$5*Data!F235/Data!F234</f>
        <v>199701044.55551633</v>
      </c>
      <c r="J235" s="19">
        <f>$B$6*Data!I235/Data!I234</f>
        <v>198732035.29464242</v>
      </c>
      <c r="K235" s="19">
        <f>$B$7*Data!L235/Data!L234</f>
        <v>200235830.14054167</v>
      </c>
      <c r="L235" s="19">
        <f>$B$8*Data!O235/Data!O234</f>
        <v>199792440.28560627</v>
      </c>
      <c r="M235" s="19">
        <f>$B$9*Data!R235/Data!R234</f>
        <v>199176172.35124084</v>
      </c>
      <c r="N235" s="19">
        <f t="shared" si="13"/>
        <v>997637522.62754762</v>
      </c>
      <c r="O235">
        <f t="shared" si="11"/>
        <v>2.8291134722979727E-4</v>
      </c>
    </row>
    <row r="236" spans="6:15" x14ac:dyDescent="0.3">
      <c r="F236" s="3">
        <v>45646</v>
      </c>
      <c r="G236" s="40">
        <v>5930.85</v>
      </c>
      <c r="H236" s="46">
        <f t="shared" si="12"/>
        <v>1.0869120584686254E-2</v>
      </c>
      <c r="I236" s="19">
        <f>$B$5*Data!F236/Data!F235</f>
        <v>201504660.21331954</v>
      </c>
      <c r="J236" s="19">
        <f>$B$6*Data!I236/Data!I235</f>
        <v>198943102.90702584</v>
      </c>
      <c r="K236" s="19">
        <f>$B$7*Data!L236/Data!L235</f>
        <v>200472821.23300272</v>
      </c>
      <c r="L236" s="19">
        <f>$B$8*Data!O236/Data!O235</f>
        <v>201816014.68624678</v>
      </c>
      <c r="M236" s="19">
        <f>$B$9*Data!R236/Data!R235</f>
        <v>202481666.0275436</v>
      </c>
      <c r="N236" s="19">
        <f t="shared" si="13"/>
        <v>1005218265.0671384</v>
      </c>
      <c r="O236">
        <f t="shared" si="11"/>
        <v>7.5986941826575727E-3</v>
      </c>
    </row>
    <row r="237" spans="6:15" x14ac:dyDescent="0.3">
      <c r="F237" s="3">
        <v>45649</v>
      </c>
      <c r="G237" s="40">
        <v>5974.07</v>
      </c>
      <c r="H237" s="46">
        <f t="shared" si="12"/>
        <v>7.2873196927927264E-3</v>
      </c>
      <c r="I237" s="19">
        <f>$B$5*Data!F237/Data!F236</f>
        <v>202296943.16319105</v>
      </c>
      <c r="J237" s="19">
        <f>$B$6*Data!I237/Data!I236</f>
        <v>202134971.46269345</v>
      </c>
      <c r="K237" s="19">
        <f>$B$7*Data!L237/Data!L236</f>
        <v>202367003.25349873</v>
      </c>
      <c r="L237" s="19">
        <f>$B$8*Data!O237/Data!O236</f>
        <v>202630055.80834445</v>
      </c>
      <c r="M237" s="19">
        <f>$B$9*Data!R237/Data!R236</f>
        <v>201777995.33538923</v>
      </c>
      <c r="N237" s="19">
        <f t="shared" si="13"/>
        <v>1011206969.0231171</v>
      </c>
      <c r="O237">
        <f t="shared" si="11"/>
        <v>5.9576155389284846E-3</v>
      </c>
    </row>
    <row r="238" spans="6:15" x14ac:dyDescent="0.3">
      <c r="F238" s="3">
        <v>45650</v>
      </c>
      <c r="G238" s="40">
        <v>6040.04</v>
      </c>
      <c r="H238" s="46">
        <f t="shared" si="12"/>
        <v>1.1042722967758989E-2</v>
      </c>
      <c r="I238" s="19">
        <f>$B$5*Data!F238/Data!F237</f>
        <v>199989004.1722464</v>
      </c>
      <c r="J238" s="19">
        <f>$B$6*Data!I238/Data!I237</f>
        <v>202413601.62882894</v>
      </c>
      <c r="K238" s="19">
        <f>$B$7*Data!L238/Data!L237</f>
        <v>201440184.23893195</v>
      </c>
      <c r="L238" s="19">
        <f>$B$8*Data!O238/Data!O237</f>
        <v>200106391.41038787</v>
      </c>
      <c r="M238" s="19">
        <f>$B$9*Data!R238/Data!R237</f>
        <v>200200788.49599612</v>
      </c>
      <c r="N238" s="19">
        <f t="shared" si="13"/>
        <v>1004149969.9463913</v>
      </c>
      <c r="O238">
        <f t="shared" si="11"/>
        <v>-6.9787880156158E-3</v>
      </c>
    </row>
    <row r="239" spans="6:15" x14ac:dyDescent="0.3">
      <c r="F239" s="3">
        <v>45652</v>
      </c>
      <c r="G239" s="40">
        <v>6037.59</v>
      </c>
      <c r="H239" s="46">
        <f t="shared" si="12"/>
        <v>-4.0562645280495246E-4</v>
      </c>
      <c r="I239" s="19">
        <f>$B$5*Data!F239/Data!F238</f>
        <v>199653181.86412826</v>
      </c>
      <c r="J239" s="19">
        <f>$B$6*Data!I239/Data!I238</f>
        <v>199655307.9464227</v>
      </c>
      <c r="K239" s="19">
        <f>$B$7*Data!L239/Data!L238</f>
        <v>198466445.23975241</v>
      </c>
      <c r="L239" s="19">
        <f>$B$8*Data!O239/Data!O238</f>
        <v>199460093.33858675</v>
      </c>
      <c r="M239" s="19">
        <f>$B$9*Data!R239/Data!R238</f>
        <v>200191295.62398008</v>
      </c>
      <c r="N239" s="19">
        <f t="shared" si="13"/>
        <v>997426324.01287007</v>
      </c>
      <c r="O239">
        <f t="shared" si="11"/>
        <v>-6.6958583227166857E-3</v>
      </c>
    </row>
    <row r="240" spans="6:15" x14ac:dyDescent="0.3">
      <c r="F240" s="3">
        <v>45653</v>
      </c>
      <c r="G240" s="40">
        <v>5970.84</v>
      </c>
      <c r="H240" s="46">
        <f t="shared" si="12"/>
        <v>-1.1055735815118317E-2</v>
      </c>
      <c r="I240" s="19">
        <f>$B$5*Data!F240/Data!F239</f>
        <v>200068924.59167999</v>
      </c>
      <c r="J240" s="19">
        <f>$B$6*Data!I240/Data!I239</f>
        <v>198943651.87613654</v>
      </c>
      <c r="K240" s="19">
        <f>$B$7*Data!L240/Data!L239</f>
        <v>198441143.78867656</v>
      </c>
      <c r="L240" s="19">
        <f>$B$8*Data!O240/Data!O239</f>
        <v>200142464.35886678</v>
      </c>
      <c r="M240" s="19">
        <f>$B$9*Data!R240/Data!R239</f>
        <v>201244562.1543009</v>
      </c>
      <c r="N240" s="19">
        <f t="shared" si="13"/>
        <v>998840746.76966083</v>
      </c>
      <c r="O240">
        <f t="shared" si="11"/>
        <v>1.4180724157151214E-3</v>
      </c>
    </row>
    <row r="241" spans="6:15" x14ac:dyDescent="0.3">
      <c r="F241" s="3">
        <v>45656</v>
      </c>
      <c r="G241" s="40">
        <v>5906.94</v>
      </c>
      <c r="H241" s="46">
        <f t="shared" si="12"/>
        <v>-1.0702011777237508E-2</v>
      </c>
      <c r="I241" s="19">
        <f>$B$5*Data!F241/Data!F240</f>
        <v>195611486.76585233</v>
      </c>
      <c r="J241" s="19">
        <f>$B$6*Data!I241/Data!I240</f>
        <v>200058855.75971639</v>
      </c>
      <c r="K241" s="19">
        <f>$B$7*Data!L241/Data!L240</f>
        <v>195015101.55215338</v>
      </c>
      <c r="L241" s="19">
        <f>$B$8*Data!O241/Data!O240</f>
        <v>194496269.30813196</v>
      </c>
      <c r="M241" s="19">
        <f>$B$9*Data!R241/Data!R240</f>
        <v>194951328.62518191</v>
      </c>
      <c r="N241" s="19">
        <f t="shared" si="13"/>
        <v>980133042.01103592</v>
      </c>
      <c r="O241">
        <f t="shared" si="11"/>
        <v>-1.8729416895663542E-2</v>
      </c>
    </row>
    <row r="242" spans="6:15" x14ac:dyDescent="0.3">
      <c r="F242" s="3">
        <v>45657</v>
      </c>
      <c r="G242" s="40">
        <v>5881.63</v>
      </c>
      <c r="H242" s="46">
        <f t="shared" si="12"/>
        <v>-4.2847904329482711E-3</v>
      </c>
      <c r="I242" s="19">
        <f>$B$5*Data!F242/Data!F241</f>
        <v>201162712.28086132</v>
      </c>
      <c r="J242" s="19">
        <f>$B$6*Data!I242/Data!I241</f>
        <v>194564375.29011771</v>
      </c>
      <c r="K242" s="19">
        <f>$B$7*Data!L242/Data!L241</f>
        <v>201858587.54928574</v>
      </c>
      <c r="L242" s="19">
        <f>$B$8*Data!O242/Data!O241</f>
        <v>201704647.93071306</v>
      </c>
      <c r="M242" s="19">
        <f>$B$9*Data!R242/Data!R241</f>
        <v>198950755.33957362</v>
      </c>
      <c r="N242" s="19">
        <f t="shared" si="13"/>
        <v>998241078.39055145</v>
      </c>
      <c r="O242">
        <f t="shared" si="11"/>
        <v>1.8475080018077517E-2</v>
      </c>
    </row>
    <row r="243" spans="6:15" x14ac:dyDescent="0.3">
      <c r="F243" s="3">
        <v>45659</v>
      </c>
      <c r="G243" s="40">
        <v>5868.55</v>
      </c>
      <c r="H243" s="46">
        <f t="shared" si="12"/>
        <v>-2.2238733140302891E-3</v>
      </c>
      <c r="I243" s="19">
        <f>$B$5*Data!F243/Data!F242</f>
        <v>199240723.18695641</v>
      </c>
      <c r="J243" s="19">
        <f>$B$6*Data!I243/Data!I242</f>
        <v>201698386.36169568</v>
      </c>
      <c r="K243" s="19">
        <f>$B$7*Data!L243/Data!L242</f>
        <v>199604004.09702739</v>
      </c>
      <c r="L243" s="19">
        <f>$B$8*Data!O243/Data!O242</f>
        <v>199304374.59272593</v>
      </c>
      <c r="M243" s="19">
        <f>$B$9*Data!R243/Data!R242</f>
        <v>199020800.12458208</v>
      </c>
      <c r="N243" s="19">
        <f t="shared" si="13"/>
        <v>998868288.36298752</v>
      </c>
      <c r="O243">
        <f t="shared" si="11"/>
        <v>6.2831512949479418E-4</v>
      </c>
    </row>
    <row r="244" spans="6:15" x14ac:dyDescent="0.3">
      <c r="F244" s="3">
        <v>45660</v>
      </c>
      <c r="G244" s="40">
        <v>5942.47</v>
      </c>
      <c r="H244" s="46">
        <f t="shared" si="12"/>
        <v>1.2595956411720177E-2</v>
      </c>
      <c r="I244" s="19">
        <f>$B$5*Data!F244/Data!F243</f>
        <v>197620850.97161427</v>
      </c>
      <c r="J244" s="19">
        <f>$B$6*Data!I244/Data!I243</f>
        <v>199257994.5499357</v>
      </c>
      <c r="K244" s="19">
        <f>$B$7*Data!L244/Data!L243</f>
        <v>198233306.84929049</v>
      </c>
      <c r="L244" s="19">
        <f>$B$8*Data!O244/Data!O243</f>
        <v>197662031.65962362</v>
      </c>
      <c r="M244" s="19">
        <f>$B$9*Data!R244/Data!R243</f>
        <v>198801980.52545488</v>
      </c>
      <c r="N244" s="19">
        <f t="shared" si="13"/>
        <v>991576164.55591893</v>
      </c>
      <c r="O244">
        <f t="shared" si="11"/>
        <v>-7.3003857385636195E-3</v>
      </c>
    </row>
    <row r="245" spans="6:15" x14ac:dyDescent="0.3">
      <c r="F245" s="3">
        <v>45663</v>
      </c>
      <c r="G245" s="40">
        <v>5975.38</v>
      </c>
      <c r="H245" s="46">
        <f t="shared" si="12"/>
        <v>5.5381011599553442E-3</v>
      </c>
      <c r="I245" s="19">
        <f>$B$5*Data!F245/Data!F244</f>
        <v>198239258.02427918</v>
      </c>
      <c r="J245" s="19">
        <f>$B$6*Data!I245/Data!I244</f>
        <v>197162826.22358605</v>
      </c>
      <c r="K245" s="19">
        <f>$B$7*Data!L245/Data!L244</f>
        <v>197787478.66934171</v>
      </c>
      <c r="L245" s="19">
        <f>$B$8*Data!O245/Data!O244</f>
        <v>198288766.73250526</v>
      </c>
      <c r="M245" s="19">
        <f>$B$9*Data!R245/Data!R244</f>
        <v>198888881.27368358</v>
      </c>
      <c r="N245" s="19">
        <f t="shared" si="13"/>
        <v>990367210.92339563</v>
      </c>
      <c r="O245">
        <f t="shared" si="11"/>
        <v>-1.2192241763543388E-3</v>
      </c>
    </row>
    <row r="246" spans="6:15" x14ac:dyDescent="0.3">
      <c r="F246" s="3">
        <v>45664</v>
      </c>
      <c r="G246" s="40">
        <v>5909.03</v>
      </c>
      <c r="H246" s="46">
        <f t="shared" si="12"/>
        <v>-1.1103896321238205E-2</v>
      </c>
      <c r="I246" s="19">
        <f>$B$5*Data!F246/Data!F245</f>
        <v>199560025.22091591</v>
      </c>
      <c r="J246" s="19">
        <f>$B$6*Data!I246/Data!I245</f>
        <v>198580242.83602703</v>
      </c>
      <c r="K246" s="19">
        <f>$B$7*Data!L246/Data!L245</f>
        <v>200156194.22159252</v>
      </c>
      <c r="L246" s="19">
        <f>$B$8*Data!O246/Data!O245</f>
        <v>199629901.00894827</v>
      </c>
      <c r="M246" s="19">
        <f>$B$9*Data!R246/Data!R245</f>
        <v>199259074.21524498</v>
      </c>
      <c r="N246" s="19">
        <f t="shared" si="13"/>
        <v>997185437.5027287</v>
      </c>
      <c r="O246">
        <f t="shared" si="11"/>
        <v>6.8845439389859653E-3</v>
      </c>
    </row>
    <row r="247" spans="6:15" x14ac:dyDescent="0.3">
      <c r="F247" s="3">
        <v>45665</v>
      </c>
      <c r="G247" s="40">
        <v>5918.25</v>
      </c>
      <c r="H247" s="46">
        <f t="shared" si="12"/>
        <v>1.5603237756451893E-3</v>
      </c>
      <c r="I247" s="19">
        <f>$B$5*Data!F247/Data!F246</f>
        <v>198052289.71037054</v>
      </c>
      <c r="J247" s="19">
        <f>$B$6*Data!I247/Data!I246</f>
        <v>199416789.21899262</v>
      </c>
      <c r="K247" s="19">
        <f>$B$7*Data!L247/Data!L246</f>
        <v>197535500.3469938</v>
      </c>
      <c r="L247" s="19">
        <f>$B$8*Data!O247/Data!O246</f>
        <v>197572134.16494769</v>
      </c>
      <c r="M247" s="19">
        <f>$B$9*Data!R247/Data!R246</f>
        <v>197256089.12990919</v>
      </c>
      <c r="N247" s="19">
        <f t="shared" si="13"/>
        <v>989832802.57121384</v>
      </c>
      <c r="O247">
        <f t="shared" si="11"/>
        <v>-7.3733877922728119E-3</v>
      </c>
    </row>
    <row r="248" spans="6:15" x14ac:dyDescent="0.3">
      <c r="F248" s="3">
        <v>45667</v>
      </c>
      <c r="G248" s="40">
        <v>5827.04</v>
      </c>
      <c r="H248" s="46">
        <f t="shared" si="12"/>
        <v>-1.5411650403413191E-2</v>
      </c>
      <c r="I248" s="19">
        <f>$B$5*Data!F248/Data!F247</f>
        <v>197883122.86905497</v>
      </c>
      <c r="J248" s="19">
        <f>$B$6*Data!I248/Data!I247</f>
        <v>197455233.16343471</v>
      </c>
      <c r="K248" s="19">
        <f>$B$7*Data!L248/Data!L247</f>
        <v>198051908.23542953</v>
      </c>
      <c r="L248" s="19">
        <f>$B$8*Data!O248/Data!O247</f>
        <v>198299301.05208653</v>
      </c>
      <c r="M248" s="19">
        <f>$B$9*Data!R248/Data!R247</f>
        <v>200566247.45823762</v>
      </c>
      <c r="N248" s="19">
        <f t="shared" si="13"/>
        <v>992255812.7782433</v>
      </c>
      <c r="O248">
        <f t="shared" si="11"/>
        <v>2.4478984741012066E-3</v>
      </c>
    </row>
    <row r="249" spans="6:15" x14ac:dyDescent="0.3">
      <c r="F249" s="3">
        <v>45670</v>
      </c>
      <c r="G249" s="40">
        <v>5836.22</v>
      </c>
      <c r="H249" s="46">
        <f t="shared" si="12"/>
        <v>1.5754139322881056E-3</v>
      </c>
      <c r="I249" s="19">
        <f>$B$5*Data!F249/Data!F248</f>
        <v>203701814.78604212</v>
      </c>
      <c r="J249" s="19">
        <f>$B$6*Data!I249/Data!I248</f>
        <v>198119547.1295785</v>
      </c>
      <c r="K249" s="19">
        <f>$B$7*Data!L249/Data!L248</f>
        <v>206203739.39777625</v>
      </c>
      <c r="L249" s="19">
        <f>$B$8*Data!O249/Data!O248</f>
        <v>204237355.87286985</v>
      </c>
      <c r="M249" s="19">
        <f>$B$9*Data!R249/Data!R248</f>
        <v>201920894.58904999</v>
      </c>
      <c r="N249" s="19">
        <f t="shared" si="13"/>
        <v>1014183351.7753167</v>
      </c>
      <c r="O249">
        <f t="shared" si="11"/>
        <v>2.2098675275761703E-2</v>
      </c>
    </row>
    <row r="250" spans="6:15" x14ac:dyDescent="0.3">
      <c r="F250" s="3">
        <v>45671</v>
      </c>
      <c r="G250" s="40">
        <v>5842.91</v>
      </c>
      <c r="H250" s="46">
        <f t="shared" si="12"/>
        <v>1.146289893115604E-3</v>
      </c>
      <c r="I250" s="19">
        <f>$B$5*Data!F250/Data!F249</f>
        <v>200669191.1924848</v>
      </c>
      <c r="J250" s="19">
        <f>$B$6*Data!I250/Data!I249</f>
        <v>204644267.00957963</v>
      </c>
      <c r="K250" s="19">
        <f>$B$7*Data!L250/Data!L249</f>
        <v>200519373.05596665</v>
      </c>
      <c r="L250" s="19">
        <f>$B$8*Data!O250/Data!O249</f>
        <v>200673204.87192258</v>
      </c>
      <c r="M250" s="19">
        <f>$B$9*Data!R250/Data!R249</f>
        <v>200442598.94293508</v>
      </c>
      <c r="N250" s="19">
        <f t="shared" si="13"/>
        <v>1006948635.0728887</v>
      </c>
      <c r="O250">
        <f t="shared" si="11"/>
        <v>-7.1335392064597603E-3</v>
      </c>
    </row>
    <row r="251" spans="6:15" x14ac:dyDescent="0.3">
      <c r="F251" s="3">
        <v>45672</v>
      </c>
      <c r="G251" s="40">
        <v>5949.91</v>
      </c>
      <c r="H251" s="46">
        <f t="shared" si="12"/>
        <v>1.8312792769356268E-2</v>
      </c>
      <c r="I251" s="19">
        <f>$B$5*Data!F251/Data!F250</f>
        <v>202453265.7926375</v>
      </c>
      <c r="J251" s="19">
        <f>$B$6*Data!I251/Data!I250</f>
        <v>200902029.54909462</v>
      </c>
      <c r="K251" s="19">
        <f>$B$7*Data!L251/Data!L250</f>
        <v>202453063.52138412</v>
      </c>
      <c r="L251" s="19">
        <f>$B$8*Data!O251/Data!O250</f>
        <v>202483565.37189999</v>
      </c>
      <c r="M251" s="19">
        <f>$B$9*Data!R251/Data!R250</f>
        <v>201442037.09405059</v>
      </c>
      <c r="N251" s="19">
        <f t="shared" si="13"/>
        <v>1009733961.3290668</v>
      </c>
      <c r="O251">
        <f t="shared" si="11"/>
        <v>2.7661055978058791E-3</v>
      </c>
    </row>
    <row r="252" spans="6:15" x14ac:dyDescent="0.3">
      <c r="F252" s="3">
        <v>45673</v>
      </c>
      <c r="G252" s="40">
        <v>5937.34</v>
      </c>
      <c r="H252" s="46">
        <f t="shared" si="12"/>
        <v>-2.112636997870454E-3</v>
      </c>
      <c r="I252" s="19">
        <f>$B$5*Data!F252/Data!F251</f>
        <v>200618919.73410502</v>
      </c>
      <c r="J252" s="19">
        <f>$B$6*Data!I252/Data!I251</f>
        <v>202443178.98415464</v>
      </c>
      <c r="K252" s="19">
        <f>$B$7*Data!L252/Data!L251</f>
        <v>202791137.52547914</v>
      </c>
      <c r="L252" s="19">
        <f>$B$8*Data!O252/Data!O251</f>
        <v>200275431.98465827</v>
      </c>
      <c r="M252" s="19">
        <f>$B$9*Data!R252/Data!R251</f>
        <v>200537007.87252811</v>
      </c>
      <c r="N252" s="19">
        <f t="shared" si="13"/>
        <v>1006665676.1009252</v>
      </c>
      <c r="O252">
        <f t="shared" si="11"/>
        <v>-3.0387065758419318E-3</v>
      </c>
    </row>
    <row r="253" spans="6:15" x14ac:dyDescent="0.3">
      <c r="F253" s="3">
        <v>45674</v>
      </c>
      <c r="G253" s="40">
        <v>5996.66</v>
      </c>
      <c r="H253" s="46">
        <f t="shared" si="12"/>
        <v>9.9910060734267336E-3</v>
      </c>
      <c r="I253" s="19">
        <f>$B$5*Data!F253/Data!F252</f>
        <v>205364880.1542418</v>
      </c>
      <c r="J253" s="19">
        <f>$B$6*Data!I253/Data!I252</f>
        <v>200137444.5975666</v>
      </c>
      <c r="K253" s="19">
        <f>$B$7*Data!L253/Data!L252</f>
        <v>209608573.58644429</v>
      </c>
      <c r="L253" s="19">
        <f>$B$8*Data!O253/Data!O252</f>
        <v>205995498.58538139</v>
      </c>
      <c r="M253" s="19">
        <f>$B$9*Data!R253/Data!R252</f>
        <v>199233861.06890061</v>
      </c>
      <c r="N253" s="19">
        <f t="shared" si="13"/>
        <v>1020340257.9925346</v>
      </c>
      <c r="O253">
        <f t="shared" si="11"/>
        <v>1.3584035113400006E-2</v>
      </c>
    </row>
    <row r="254" spans="6:15" x14ac:dyDescent="0.3">
      <c r="F254" s="3">
        <v>45678</v>
      </c>
      <c r="G254" s="40">
        <v>6049.24</v>
      </c>
      <c r="H254" s="46">
        <f t="shared" si="12"/>
        <v>8.7682143059637507E-3</v>
      </c>
      <c r="I254" s="19">
        <f>$B$5*Data!F254/Data!F253</f>
        <v>196759786.97829327</v>
      </c>
      <c r="J254" s="19">
        <f>$B$6*Data!I254/Data!I253</f>
        <v>206753939.71508443</v>
      </c>
      <c r="K254" s="19">
        <f>$B$7*Data!L254/Data!L253</f>
        <v>195220880.43797654</v>
      </c>
      <c r="L254" s="19">
        <f>$B$8*Data!O254/Data!O253</f>
        <v>196093298.23153603</v>
      </c>
      <c r="M254" s="19">
        <f>$B$9*Data!R254/Data!R253</f>
        <v>197936269.27144727</v>
      </c>
      <c r="N254" s="19">
        <f t="shared" si="13"/>
        <v>992764174.63433766</v>
      </c>
      <c r="O254">
        <f t="shared" si="11"/>
        <v>-2.7026360218748491E-2</v>
      </c>
    </row>
    <row r="255" spans="6:15" x14ac:dyDescent="0.3">
      <c r="F255" s="3">
        <v>45679</v>
      </c>
      <c r="G255" s="40">
        <v>6086.37</v>
      </c>
      <c r="H255" s="46">
        <f t="shared" si="12"/>
        <v>6.1379611323075789E-3</v>
      </c>
      <c r="I255" s="19">
        <f>$B$5*Data!F255/Data!F254</f>
        <v>199124745.71279463</v>
      </c>
      <c r="J255" s="19">
        <f>$B$6*Data!I255/Data!I254</f>
        <v>195817586.40225387</v>
      </c>
      <c r="K255" s="19">
        <f>$B$7*Data!L255/Data!L254</f>
        <v>197052088.44545886</v>
      </c>
      <c r="L255" s="19">
        <f>$B$8*Data!O255/Data!O254</f>
        <v>199555379.14733204</v>
      </c>
      <c r="M255" s="19">
        <f>$B$9*Data!R255/Data!R254</f>
        <v>198979958.41952193</v>
      </c>
      <c r="N255" s="19">
        <f t="shared" si="13"/>
        <v>990529758.12736142</v>
      </c>
      <c r="O255">
        <f t="shared" si="11"/>
        <v>-2.2507021950094463E-3</v>
      </c>
    </row>
    <row r="256" spans="6:15" x14ac:dyDescent="0.3">
      <c r="F256" s="3">
        <v>45680</v>
      </c>
      <c r="G256" s="40">
        <v>6118.71</v>
      </c>
      <c r="H256" s="46">
        <f t="shared" si="12"/>
        <v>5.31351199483443E-3</v>
      </c>
      <c r="I256" s="19">
        <f>$B$5*Data!F256/Data!F255</f>
        <v>203690951.68506068</v>
      </c>
      <c r="J256" s="19">
        <f>$B$6*Data!I256/Data!I255</f>
        <v>200374619.15374991</v>
      </c>
      <c r="K256" s="19">
        <f>$B$7*Data!L256/Data!L255</f>
        <v>206274045.46393353</v>
      </c>
      <c r="L256" s="19">
        <f>$B$8*Data!O256/Data!O255</f>
        <v>204109002.65538308</v>
      </c>
      <c r="M256" s="19">
        <f>$B$9*Data!R256/Data!R255</f>
        <v>201028628.9617455</v>
      </c>
      <c r="N256" s="19">
        <f t="shared" si="13"/>
        <v>1015477247.9198728</v>
      </c>
      <c r="O256">
        <f t="shared" si="11"/>
        <v>2.5186007374150554E-2</v>
      </c>
    </row>
    <row r="257" spans="6:15" x14ac:dyDescent="0.3">
      <c r="F257" s="3">
        <v>45681</v>
      </c>
      <c r="G257" s="40">
        <v>6101.24</v>
      </c>
      <c r="H257" s="46">
        <f t="shared" si="12"/>
        <v>-2.8551769899211044E-3</v>
      </c>
      <c r="I257" s="19">
        <f>$B$5*Data!F257/Data!F256</f>
        <v>201370920.65937895</v>
      </c>
      <c r="J257" s="19">
        <f>$B$6*Data!I257/Data!I256</f>
        <v>204159940.70632389</v>
      </c>
      <c r="K257" s="19">
        <f>$B$7*Data!L257/Data!L256</f>
        <v>201336071.05753782</v>
      </c>
      <c r="L257" s="19">
        <f>$B$8*Data!O257/Data!O256</f>
        <v>201992041.8809458</v>
      </c>
      <c r="M257" s="19">
        <f>$B$9*Data!R257/Data!R256</f>
        <v>201697111.83843026</v>
      </c>
      <c r="N257" s="19">
        <f t="shared" si="13"/>
        <v>1010556086.1426167</v>
      </c>
      <c r="O257">
        <f t="shared" si="11"/>
        <v>-4.8461566099453623E-3</v>
      </c>
    </row>
    <row r="258" spans="6:15" x14ac:dyDescent="0.3">
      <c r="F258" s="3">
        <v>45684</v>
      </c>
      <c r="G258" s="40">
        <v>6012.28</v>
      </c>
      <c r="H258" s="46">
        <f t="shared" si="12"/>
        <v>-1.45806426234667E-2</v>
      </c>
      <c r="I258" s="19">
        <f>$B$5*Data!F258/Data!F257</f>
        <v>200239864.99742672</v>
      </c>
      <c r="J258" s="19">
        <f>$B$6*Data!I258/Data!I257</f>
        <v>202418012.41483417</v>
      </c>
      <c r="K258" s="19">
        <f>$B$7*Data!L258/Data!L257</f>
        <v>201517371.35757729</v>
      </c>
      <c r="L258" s="19">
        <f>$B$8*Data!O258/Data!O257</f>
        <v>199950765.42280015</v>
      </c>
      <c r="M258" s="19">
        <f>$B$9*Data!R258/Data!R257</f>
        <v>199068799.87372592</v>
      </c>
      <c r="N258" s="19">
        <f t="shared" si="13"/>
        <v>1003194814.0663643</v>
      </c>
      <c r="O258">
        <f t="shared" si="11"/>
        <v>-7.284377559241717E-3</v>
      </c>
    </row>
    <row r="259" spans="6:15" x14ac:dyDescent="0.3">
      <c r="F259" s="3">
        <v>45691</v>
      </c>
      <c r="G259" s="40">
        <v>5994.57</v>
      </c>
      <c r="H259" s="46">
        <f t="shared" si="12"/>
        <v>-2.945637927707967E-3</v>
      </c>
      <c r="I259" s="19">
        <f>$B$5*Data!F259/Data!F258</f>
        <v>199804360.33579037</v>
      </c>
      <c r="J259" s="19">
        <f>$B$6*Data!I259/Data!I258</f>
        <v>199249840.14142242</v>
      </c>
      <c r="K259" s="19">
        <f>$B$7*Data!L259/Data!L258</f>
        <v>200467161.74181706</v>
      </c>
      <c r="L259" s="19">
        <f>$B$8*Data!O259/Data!O258</f>
        <v>199935552.17969766</v>
      </c>
      <c r="M259" s="19">
        <f>$B$9*Data!R259/Data!R258</f>
        <v>198335052.39768663</v>
      </c>
      <c r="N259" s="19">
        <f t="shared" si="13"/>
        <v>997791966.79641414</v>
      </c>
      <c r="O259">
        <f t="shared" si="11"/>
        <v>-5.3856411478545585E-3</v>
      </c>
    </row>
    <row r="260" spans="6:15" x14ac:dyDescent="0.3">
      <c r="F260" s="3">
        <v>45692</v>
      </c>
      <c r="G260" s="40">
        <v>6037.88</v>
      </c>
      <c r="H260" s="46">
        <f t="shared" si="12"/>
        <v>7.2248718423506553E-3</v>
      </c>
      <c r="I260" s="19">
        <f>$B$5*Data!F260/Data!F259</f>
        <v>205818644.15093186</v>
      </c>
      <c r="J260" s="19">
        <f>$B$6*Data!I260/Data!I259</f>
        <v>206767388.26138413</v>
      </c>
      <c r="K260" s="19">
        <f>$B$7*Data!L260/Data!L259</f>
        <v>210285146.68929899</v>
      </c>
      <c r="L260" s="19">
        <f>$B$8*Data!O260/Data!O259</f>
        <v>207183351.4580301</v>
      </c>
      <c r="M260" s="19">
        <f>$B$9*Data!R260/Data!R259</f>
        <v>202207587.58832362</v>
      </c>
      <c r="N260" s="19">
        <f t="shared" si="13"/>
        <v>1032262118.1479686</v>
      </c>
      <c r="O260">
        <f t="shared" ref="O260:O317" si="14">$N260/$N259-1</f>
        <v>3.4546431018308343E-2</v>
      </c>
    </row>
    <row r="261" spans="6:15" x14ac:dyDescent="0.3">
      <c r="F261" s="3">
        <v>45693</v>
      </c>
      <c r="G261" s="40">
        <v>6061.48</v>
      </c>
      <c r="H261" s="46">
        <f t="shared" si="12"/>
        <v>3.9086566808217427E-3</v>
      </c>
      <c r="I261" s="19">
        <f>$B$5*Data!F261/Data!F260</f>
        <v>198157308.93575895</v>
      </c>
      <c r="J261" s="19">
        <f>$B$6*Data!I261/Data!I260</f>
        <v>197967434.730221</v>
      </c>
      <c r="K261" s="19">
        <f>$B$7*Data!L261/Data!L260</f>
        <v>198116944.6763328</v>
      </c>
      <c r="L261" s="19">
        <f>$B$8*Data!O261/Data!O260</f>
        <v>197988543.77974796</v>
      </c>
      <c r="M261" s="19">
        <f>$B$9*Data!R261/Data!R260</f>
        <v>198238437.64882606</v>
      </c>
      <c r="N261" s="19">
        <f t="shared" si="13"/>
        <v>990468669.7708869</v>
      </c>
      <c r="O261">
        <f t="shared" si="14"/>
        <v>-4.048724412367799E-2</v>
      </c>
    </row>
    <row r="262" spans="6:15" x14ac:dyDescent="0.3">
      <c r="F262" s="3">
        <v>45694</v>
      </c>
      <c r="G262" s="40">
        <v>6083.57</v>
      </c>
      <c r="H262" s="46">
        <f t="shared" ref="H262:H317" si="15">$G262/$G261-1</f>
        <v>3.64432448840879E-3</v>
      </c>
      <c r="I262" s="19">
        <f>$B$5*Data!F262/Data!F261</f>
        <v>202862523.90555137</v>
      </c>
      <c r="J262" s="19">
        <f>$B$6*Data!I262/Data!I261</f>
        <v>202658426.58412126</v>
      </c>
      <c r="K262" s="19">
        <f>$B$7*Data!L262/Data!L261</f>
        <v>205242991.27719504</v>
      </c>
      <c r="L262" s="19">
        <f>$B$8*Data!O262/Data!O261</f>
        <v>203282430.25182512</v>
      </c>
      <c r="M262" s="19">
        <f>$B$9*Data!R262/Data!R261</f>
        <v>202507166.97771782</v>
      </c>
      <c r="N262" s="19">
        <f t="shared" si="13"/>
        <v>1016553538.9964106</v>
      </c>
      <c r="O262">
        <f t="shared" si="14"/>
        <v>2.6335885244666679E-2</v>
      </c>
    </row>
    <row r="263" spans="6:15" x14ac:dyDescent="0.3">
      <c r="F263" s="3">
        <v>45695</v>
      </c>
      <c r="G263" s="40">
        <v>6025.99</v>
      </c>
      <c r="H263" s="46">
        <f t="shared" si="15"/>
        <v>-9.464837258386094E-3</v>
      </c>
      <c r="I263" s="19">
        <f>$B$5*Data!F263/Data!F262</f>
        <v>202204284.79343536</v>
      </c>
      <c r="J263" s="19">
        <f>$B$6*Data!I263/Data!I262</f>
        <v>202108877.693459</v>
      </c>
      <c r="K263" s="19">
        <f>$B$7*Data!L263/Data!L262</f>
        <v>203483718.50477695</v>
      </c>
      <c r="L263" s="19">
        <f>$B$8*Data!O263/Data!O262</f>
        <v>202325605.57621786</v>
      </c>
      <c r="M263" s="19">
        <f>$B$9*Data!R263/Data!R262</f>
        <v>200572725.23698795</v>
      </c>
      <c r="N263" s="19">
        <f t="shared" si="13"/>
        <v>1010695211.8048772</v>
      </c>
      <c r="O263">
        <f t="shared" si="14"/>
        <v>-5.7629303000774623E-3</v>
      </c>
    </row>
    <row r="264" spans="6:15" x14ac:dyDescent="0.3">
      <c r="F264" s="3">
        <v>45698</v>
      </c>
      <c r="G264" s="40">
        <v>6066.44</v>
      </c>
      <c r="H264" s="46">
        <f t="shared" si="15"/>
        <v>6.712589964470439E-3</v>
      </c>
      <c r="I264" s="19">
        <f>$B$5*Data!F264/Data!F263</f>
        <v>203728353.44813737</v>
      </c>
      <c r="J264" s="19">
        <f>$B$6*Data!I264/Data!I263</f>
        <v>204411506.8508493</v>
      </c>
      <c r="K264" s="19">
        <f>$B$7*Data!L264/Data!L263</f>
        <v>205345948.83610111</v>
      </c>
      <c r="L264" s="19">
        <f>$B$8*Data!O264/Data!O263</f>
        <v>204233790.96136579</v>
      </c>
      <c r="M264" s="19">
        <f>$B$9*Data!R264/Data!R263</f>
        <v>200913616.63010874</v>
      </c>
      <c r="N264" s="19">
        <f t="shared" si="13"/>
        <v>1018633216.7265623</v>
      </c>
      <c r="O264">
        <f t="shared" si="14"/>
        <v>7.8540046781359063E-3</v>
      </c>
    </row>
    <row r="265" spans="6:15" x14ac:dyDescent="0.3">
      <c r="F265" s="3">
        <v>45699</v>
      </c>
      <c r="G265" s="40">
        <v>6068.5</v>
      </c>
      <c r="H265" s="46">
        <f t="shared" si="15"/>
        <v>3.3957312690802155E-4</v>
      </c>
      <c r="I265" s="19">
        <f>$B$5*Data!F265/Data!F264</f>
        <v>197810681.38478017</v>
      </c>
      <c r="J265" s="19">
        <f>$B$6*Data!I265/Data!I264</f>
        <v>197423561.04456276</v>
      </c>
      <c r="K265" s="19">
        <f>$B$7*Data!L265/Data!L264</f>
        <v>194461685.99252322</v>
      </c>
      <c r="L265" s="19">
        <f>$B$8*Data!O265/Data!O264</f>
        <v>197301802.89249471</v>
      </c>
      <c r="M265" s="19">
        <f>$B$9*Data!R265/Data!R264</f>
        <v>197824682.78157035</v>
      </c>
      <c r="N265" s="19">
        <f t="shared" si="13"/>
        <v>984822414.09593117</v>
      </c>
      <c r="O265">
        <f t="shared" si="14"/>
        <v>-3.3192322884663117E-2</v>
      </c>
    </row>
    <row r="266" spans="6:15" x14ac:dyDescent="0.3">
      <c r="F266" s="3">
        <v>45700</v>
      </c>
      <c r="G266" s="40">
        <v>6051.97</v>
      </c>
      <c r="H266" s="46">
        <f t="shared" si="15"/>
        <v>-2.7239021174919609E-3</v>
      </c>
      <c r="I266" s="19">
        <f>$B$5*Data!F266/Data!F265</f>
        <v>205340932.0896886</v>
      </c>
      <c r="J266" s="19">
        <f>$B$6*Data!I266/Data!I265</f>
        <v>204963895.48425928</v>
      </c>
      <c r="K266" s="19">
        <f>$B$7*Data!L266/Data!L265</f>
        <v>205453811.19586781</v>
      </c>
      <c r="L266" s="19">
        <f>$B$8*Data!O266/Data!O265</f>
        <v>205544732.09234467</v>
      </c>
      <c r="M266" s="19">
        <f>$B$9*Data!R266/Data!R265</f>
        <v>204812935.7590732</v>
      </c>
      <c r="N266" s="19">
        <f t="shared" si="13"/>
        <v>1026116306.6212335</v>
      </c>
      <c r="O266">
        <f t="shared" si="14"/>
        <v>4.1930293151593467E-2</v>
      </c>
    </row>
    <row r="267" spans="6:15" x14ac:dyDescent="0.3">
      <c r="F267" s="3">
        <v>45701</v>
      </c>
      <c r="G267" s="40">
        <v>6115.07</v>
      </c>
      <c r="H267" s="46">
        <f t="shared" si="15"/>
        <v>1.0426357037460532E-2</v>
      </c>
      <c r="I267" s="19">
        <f>$B$5*Data!F267/Data!F266</f>
        <v>199639960.50089887</v>
      </c>
      <c r="J267" s="19">
        <f>$B$6*Data!I267/Data!I266</f>
        <v>199235216.7429738</v>
      </c>
      <c r="K267" s="19">
        <f>$B$7*Data!L267/Data!L266</f>
        <v>198299937.13554347</v>
      </c>
      <c r="L267" s="19">
        <f>$B$8*Data!O267/Data!O266</f>
        <v>198661996.38168055</v>
      </c>
      <c r="M267" s="19">
        <f>$B$9*Data!R267/Data!R266</f>
        <v>198251245.58277979</v>
      </c>
      <c r="N267" s="19">
        <f t="shared" si="13"/>
        <v>994088356.34387648</v>
      </c>
      <c r="O267">
        <f t="shared" si="14"/>
        <v>-3.1212787547269083E-2</v>
      </c>
    </row>
    <row r="268" spans="6:15" x14ac:dyDescent="0.3">
      <c r="F268" s="3">
        <v>45702</v>
      </c>
      <c r="G268" s="40">
        <v>6114.63</v>
      </c>
      <c r="H268" s="46">
        <f t="shared" si="15"/>
        <v>-7.195338728738232E-5</v>
      </c>
      <c r="I268" s="19">
        <f>$B$5*Data!F268/Data!F267</f>
        <v>207495826.96822459</v>
      </c>
      <c r="J268" s="19">
        <f>$B$6*Data!I268/Data!I267</f>
        <v>208947036.48789379</v>
      </c>
      <c r="K268" s="19">
        <f>$B$7*Data!L268/Data!L267</f>
        <v>211223075.41181701</v>
      </c>
      <c r="L268" s="19">
        <f>$B$8*Data!O268/Data!O267</f>
        <v>208323543.25926387</v>
      </c>
      <c r="M268" s="19">
        <f>$B$9*Data!R268/Data!R267</f>
        <v>205588858.51101646</v>
      </c>
      <c r="N268" s="19">
        <f t="shared" si="13"/>
        <v>1041578340.6382158</v>
      </c>
      <c r="O268">
        <f t="shared" si="14"/>
        <v>4.7772397686057788E-2</v>
      </c>
    </row>
    <row r="269" spans="6:15" x14ac:dyDescent="0.3">
      <c r="F269" s="3">
        <v>45706</v>
      </c>
      <c r="G269" s="40">
        <v>6129.58</v>
      </c>
      <c r="H269" s="46">
        <f t="shared" si="15"/>
        <v>2.4449557863681637E-3</v>
      </c>
      <c r="I269" s="19">
        <f>$B$5*Data!F269/Data!F268</f>
        <v>203405321.19338787</v>
      </c>
      <c r="J269" s="19">
        <f>$B$6*Data!I269/Data!I268</f>
        <v>202704003.26948339</v>
      </c>
      <c r="K269" s="19">
        <f>$B$7*Data!L269/Data!L268</f>
        <v>204338070.7231788</v>
      </c>
      <c r="L269" s="19">
        <f>$B$8*Data!O269/Data!O268</f>
        <v>203710648.65362483</v>
      </c>
      <c r="M269" s="19">
        <f>$B$9*Data!R269/Data!R268</f>
        <v>203160702.73276275</v>
      </c>
      <c r="N269" s="19">
        <f t="shared" si="13"/>
        <v>1017318746.5724378</v>
      </c>
      <c r="O269">
        <f t="shared" si="14"/>
        <v>-2.3291185232320766E-2</v>
      </c>
    </row>
    <row r="270" spans="6:15" x14ac:dyDescent="0.3">
      <c r="F270" s="3">
        <v>45707</v>
      </c>
      <c r="G270" s="40">
        <v>6144.15</v>
      </c>
      <c r="H270" s="46">
        <f t="shared" si="15"/>
        <v>2.3769980977488281E-3</v>
      </c>
      <c r="I270" s="19">
        <f>$B$5*Data!F270/Data!F269</f>
        <v>199652295.75512961</v>
      </c>
      <c r="J270" s="19">
        <f>$B$6*Data!I270/Data!I269</f>
        <v>198266138.96603626</v>
      </c>
      <c r="K270" s="19">
        <f>$B$7*Data!L270/Data!L269</f>
        <v>201112478.08264744</v>
      </c>
      <c r="L270" s="19">
        <f>$B$8*Data!O270/Data!O269</f>
        <v>199645549.37352157</v>
      </c>
      <c r="M270" s="19">
        <f>$B$9*Data!R270/Data!R269</f>
        <v>200098329.05778188</v>
      </c>
      <c r="N270" s="19">
        <f t="shared" si="13"/>
        <v>998774791.23511672</v>
      </c>
      <c r="O270">
        <f t="shared" si="14"/>
        <v>-1.8228264641538927E-2</v>
      </c>
    </row>
    <row r="271" spans="6:15" x14ac:dyDescent="0.3">
      <c r="F271" s="3">
        <v>45708</v>
      </c>
      <c r="G271" s="40">
        <v>6117.52</v>
      </c>
      <c r="H271" s="46">
        <f t="shared" si="15"/>
        <v>-4.3342040803039383E-3</v>
      </c>
      <c r="I271" s="19">
        <f>$B$5*Data!F271/Data!F270</f>
        <v>196816388.90056697</v>
      </c>
      <c r="J271" s="19">
        <f>$B$6*Data!I271/Data!I270</f>
        <v>196509334.58084974</v>
      </c>
      <c r="K271" s="19">
        <f>$B$7*Data!L271/Data!L270</f>
        <v>193945076.22626036</v>
      </c>
      <c r="L271" s="19">
        <f>$B$8*Data!O271/Data!O270</f>
        <v>196696462.82669047</v>
      </c>
      <c r="M271" s="19">
        <f>$B$9*Data!R271/Data!R270</f>
        <v>198791255.04598895</v>
      </c>
      <c r="N271" s="19">
        <f t="shared" si="13"/>
        <v>982758517.58035648</v>
      </c>
      <c r="O271">
        <f t="shared" si="14"/>
        <v>-1.6035921005729481E-2</v>
      </c>
    </row>
    <row r="272" spans="6:15" x14ac:dyDescent="0.3">
      <c r="F272" s="3">
        <v>45709</v>
      </c>
      <c r="G272" s="40">
        <v>6013.13</v>
      </c>
      <c r="H272" s="46">
        <f t="shared" si="15"/>
        <v>-1.70641044083224E-2</v>
      </c>
      <c r="I272" s="19">
        <f>$B$5*Data!F272/Data!F271</f>
        <v>208163078.31514448</v>
      </c>
      <c r="J272" s="19">
        <f>$B$6*Data!I272/Data!I271</f>
        <v>208506675.72856095</v>
      </c>
      <c r="K272" s="19">
        <f>$B$7*Data!L272/Data!L271</f>
        <v>213251157.6362727</v>
      </c>
      <c r="L272" s="19">
        <f>$B$8*Data!O272/Data!O271</f>
        <v>208452814.09499234</v>
      </c>
      <c r="M272" s="19">
        <f>$B$9*Data!R272/Data!R271</f>
        <v>203272473.61233279</v>
      </c>
      <c r="N272" s="19">
        <f t="shared" si="13"/>
        <v>1041646199.3873034</v>
      </c>
      <c r="O272">
        <f t="shared" si="14"/>
        <v>5.992080531841526E-2</v>
      </c>
    </row>
    <row r="273" spans="6:15" x14ac:dyDescent="0.3">
      <c r="F273" s="3">
        <v>45712</v>
      </c>
      <c r="G273" s="40">
        <v>5983.25</v>
      </c>
      <c r="H273" s="46">
        <f t="shared" si="15"/>
        <v>-4.9691258961639395E-3</v>
      </c>
      <c r="I273" s="19">
        <f>$B$5*Data!F273/Data!F272</f>
        <v>198700721.82955751</v>
      </c>
      <c r="J273" s="19">
        <f>$B$6*Data!I273/Data!I272</f>
        <v>198950775.85470283</v>
      </c>
      <c r="K273" s="19">
        <f>$B$7*Data!L273/Data!L272</f>
        <v>197480891.27288124</v>
      </c>
      <c r="L273" s="19">
        <f>$B$8*Data!O273/Data!O272</f>
        <v>198757865.02520454</v>
      </c>
      <c r="M273" s="19">
        <f>$B$9*Data!R273/Data!R272</f>
        <v>199688766.18857592</v>
      </c>
      <c r="N273" s="19">
        <f t="shared" si="13"/>
        <v>993579020.17092204</v>
      </c>
      <c r="O273">
        <f t="shared" si="14"/>
        <v>-4.6145398739662724E-2</v>
      </c>
    </row>
    <row r="274" spans="6:15" x14ac:dyDescent="0.3">
      <c r="F274" s="3">
        <v>45713</v>
      </c>
      <c r="G274" s="40">
        <v>5955.25</v>
      </c>
      <c r="H274" s="46">
        <f t="shared" si="15"/>
        <v>-4.6797309154723576E-3</v>
      </c>
      <c r="I274" s="19">
        <f>$B$5*Data!F274/Data!F273</f>
        <v>197394915.64140707</v>
      </c>
      <c r="J274" s="19">
        <f>$B$6*Data!I274/Data!I273</f>
        <v>195860970.62685001</v>
      </c>
      <c r="K274" s="19">
        <f>$B$7*Data!L274/Data!L273</f>
        <v>196897141.99907702</v>
      </c>
      <c r="L274" s="19">
        <f>$B$8*Data!O274/Data!O273</f>
        <v>197253053.56283832</v>
      </c>
      <c r="M274" s="19">
        <f>$B$9*Data!R274/Data!R273</f>
        <v>197620406.88278922</v>
      </c>
      <c r="N274" s="19">
        <f t="shared" si="13"/>
        <v>985026488.71296167</v>
      </c>
      <c r="O274">
        <f t="shared" si="14"/>
        <v>-8.6078019808520922E-3</v>
      </c>
    </row>
    <row r="275" spans="6:15" x14ac:dyDescent="0.3">
      <c r="F275" s="3">
        <v>45714</v>
      </c>
      <c r="G275" s="40">
        <v>5956.06</v>
      </c>
      <c r="H275" s="46">
        <f t="shared" si="15"/>
        <v>1.3601444103938931E-4</v>
      </c>
      <c r="I275" s="19">
        <f>$B$5*Data!F275/Data!F274</f>
        <v>206540742.82516322</v>
      </c>
      <c r="J275" s="19">
        <f>$B$6*Data!I275/Data!I274</f>
        <v>207840424.40896985</v>
      </c>
      <c r="K275" s="19">
        <f>$B$7*Data!L275/Data!L274</f>
        <v>208942792.58424601</v>
      </c>
      <c r="L275" s="19">
        <f>$B$8*Data!O275/Data!O274</f>
        <v>206905923.60753471</v>
      </c>
      <c r="M275" s="19">
        <f>$B$9*Data!R275/Data!R274</f>
        <v>203391168.81687281</v>
      </c>
      <c r="N275" s="19">
        <f t="shared" si="13"/>
        <v>1033621052.2427866</v>
      </c>
      <c r="O275">
        <f t="shared" si="14"/>
        <v>4.9333255589216529E-2</v>
      </c>
    </row>
    <row r="276" spans="6:15" x14ac:dyDescent="0.3">
      <c r="F276" s="3">
        <v>45715</v>
      </c>
      <c r="G276" s="40">
        <v>5861.57</v>
      </c>
      <c r="H276" s="46">
        <f t="shared" si="15"/>
        <v>-1.586451446090209E-2</v>
      </c>
      <c r="I276" s="19">
        <f>$B$5*Data!F276/Data!F275</f>
        <v>199324752.09957966</v>
      </c>
      <c r="J276" s="19">
        <f>$B$6*Data!I276/Data!I275</f>
        <v>197989569.1475893</v>
      </c>
      <c r="K276" s="19">
        <f>$B$7*Data!L276/Data!L275</f>
        <v>197466266.59494808</v>
      </c>
      <c r="L276" s="19">
        <f>$B$8*Data!O276/Data!O275</f>
        <v>198584293.6299161</v>
      </c>
      <c r="M276" s="19">
        <f>$B$9*Data!R276/Data!R275</f>
        <v>200123466.15897456</v>
      </c>
      <c r="N276" s="19">
        <f t="shared" si="13"/>
        <v>993488347.63100767</v>
      </c>
      <c r="O276">
        <f t="shared" si="14"/>
        <v>-3.8827290257582914E-2</v>
      </c>
    </row>
    <row r="277" spans="6:15" x14ac:dyDescent="0.3">
      <c r="F277" s="3">
        <v>45716</v>
      </c>
      <c r="G277" s="40">
        <v>5954.5</v>
      </c>
      <c r="H277" s="46">
        <f t="shared" si="15"/>
        <v>1.5854114170776867E-2</v>
      </c>
      <c r="I277" s="19">
        <f>$B$5*Data!F277/Data!F276</f>
        <v>193425964.0114941</v>
      </c>
      <c r="J277" s="19">
        <f>$B$6*Data!I277/Data!I276</f>
        <v>192634577.75732693</v>
      </c>
      <c r="K277" s="19">
        <f>$B$7*Data!L277/Data!L276</f>
        <v>189338080.70094347</v>
      </c>
      <c r="L277" s="19">
        <f>$B$8*Data!O277/Data!O276</f>
        <v>192715758.47937477</v>
      </c>
      <c r="M277" s="19">
        <f>$B$9*Data!R277/Data!R276</f>
        <v>195913584.9048892</v>
      </c>
      <c r="N277" s="19">
        <f t="shared" si="13"/>
        <v>964027965.85402846</v>
      </c>
      <c r="O277">
        <f t="shared" si="14"/>
        <v>-2.9653474897041399E-2</v>
      </c>
    </row>
    <row r="278" spans="6:15" x14ac:dyDescent="0.3">
      <c r="F278" s="3">
        <v>45719</v>
      </c>
      <c r="G278" s="40">
        <v>5849.72</v>
      </c>
      <c r="H278" s="46">
        <f t="shared" si="15"/>
        <v>-1.7596775547904953E-2</v>
      </c>
      <c r="I278" s="19">
        <f>$B$5*Data!F278/Data!F277</f>
        <v>200604912.71953663</v>
      </c>
      <c r="J278" s="19">
        <f>$B$6*Data!I278/Data!I277</f>
        <v>200427873.47646958</v>
      </c>
      <c r="K278" s="19">
        <f>$B$7*Data!L278/Data!L277</f>
        <v>198878899.03544423</v>
      </c>
      <c r="L278" s="19">
        <f>$B$8*Data!O278/Data!O277</f>
        <v>200092284.73577645</v>
      </c>
      <c r="M278" s="19">
        <f>$B$9*Data!R278/Data!R277</f>
        <v>200287947.80204722</v>
      </c>
      <c r="N278" s="19">
        <f t="shared" si="13"/>
        <v>1000291917.7692741</v>
      </c>
      <c r="O278">
        <f t="shared" si="14"/>
        <v>3.7617116100070458E-2</v>
      </c>
    </row>
    <row r="279" spans="6:15" x14ac:dyDescent="0.3">
      <c r="F279" s="3">
        <v>45720</v>
      </c>
      <c r="G279" s="40">
        <v>5778.15</v>
      </c>
      <c r="H279" s="46">
        <f t="shared" si="15"/>
        <v>-1.2234773630190987E-2</v>
      </c>
      <c r="I279" s="19">
        <f>$B$5*Data!F279/Data!F278</f>
        <v>199577864.77310491</v>
      </c>
      <c r="J279" s="19">
        <f>$B$6*Data!I279/Data!I278</f>
        <v>199099269.44025949</v>
      </c>
      <c r="K279" s="19">
        <f>$B$7*Data!L279/Data!L278</f>
        <v>200131017.39844313</v>
      </c>
      <c r="L279" s="19">
        <f>$B$8*Data!O279/Data!O278</f>
        <v>198897683.46614605</v>
      </c>
      <c r="M279" s="19">
        <f>$B$9*Data!R279/Data!R278</f>
        <v>199644804.69428849</v>
      </c>
      <c r="N279" s="19">
        <f t="shared" si="13"/>
        <v>997350639.77224207</v>
      </c>
      <c r="O279">
        <f t="shared" si="14"/>
        <v>-2.9404196362911028E-3</v>
      </c>
    </row>
    <row r="280" spans="6:15" x14ac:dyDescent="0.3">
      <c r="F280" s="3">
        <v>45721</v>
      </c>
      <c r="G280" s="40">
        <v>5842.63</v>
      </c>
      <c r="H280" s="46">
        <f t="shared" si="15"/>
        <v>1.1159281084776262E-2</v>
      </c>
      <c r="I280" s="19">
        <f>$B$5*Data!F280/Data!F279</f>
        <v>205706320.07055998</v>
      </c>
      <c r="J280" s="19">
        <f>$B$6*Data!I280/Data!I279</f>
        <v>206019036.32910529</v>
      </c>
      <c r="K280" s="19">
        <f>$B$7*Data!L280/Data!L279</f>
        <v>208050331.54630032</v>
      </c>
      <c r="L280" s="19">
        <f>$B$8*Data!O280/Data!O279</f>
        <v>206303158.38535568</v>
      </c>
      <c r="M280" s="19">
        <f>$B$9*Data!R280/Data!R279</f>
        <v>202591958.68556371</v>
      </c>
      <c r="N280" s="19">
        <f t="shared" si="13"/>
        <v>1028670805.0168849</v>
      </c>
      <c r="O280">
        <f t="shared" si="14"/>
        <v>3.1403364068423478E-2</v>
      </c>
    </row>
    <row r="281" spans="6:15" x14ac:dyDescent="0.3">
      <c r="F281" s="3">
        <v>45722</v>
      </c>
      <c r="G281" s="40">
        <v>5738.52</v>
      </c>
      <c r="H281" s="46">
        <f t="shared" si="15"/>
        <v>-1.7819030128555013E-2</v>
      </c>
      <c r="I281" s="19">
        <f>$B$5*Data!F281/Data!F280</f>
        <v>206541751.20360532</v>
      </c>
      <c r="J281" s="19">
        <f>$B$6*Data!I281/Data!I280</f>
        <v>207902575.88056561</v>
      </c>
      <c r="K281" s="19">
        <f>$B$7*Data!L281/Data!L280</f>
        <v>210764022.1105729</v>
      </c>
      <c r="L281" s="19">
        <f>$B$8*Data!O281/Data!O280</f>
        <v>207098394.91720033</v>
      </c>
      <c r="M281" s="19">
        <f>$B$9*Data!R281/Data!R280</f>
        <v>202813344.27762383</v>
      </c>
      <c r="N281" s="19">
        <f t="shared" si="13"/>
        <v>1035120088.3895681</v>
      </c>
      <c r="O281">
        <f t="shared" si="14"/>
        <v>6.2695308754070478E-3</v>
      </c>
    </row>
    <row r="282" spans="6:15" x14ac:dyDescent="0.3">
      <c r="F282" s="3">
        <v>45723</v>
      </c>
      <c r="G282" s="40">
        <v>5770.2</v>
      </c>
      <c r="H282" s="46">
        <f t="shared" si="15"/>
        <v>5.5205871897281433E-3</v>
      </c>
      <c r="I282" s="19">
        <f>$B$5*Data!F282/Data!F281</f>
        <v>198910149.9880586</v>
      </c>
      <c r="J282" s="19">
        <f>$B$6*Data!I282/Data!I281</f>
        <v>199302167.17126948</v>
      </c>
      <c r="K282" s="19">
        <f>$B$7*Data!L282/Data!L281</f>
        <v>199013593.09213623</v>
      </c>
      <c r="L282" s="19">
        <f>$B$8*Data!O282/Data!O281</f>
        <v>199507836.67826691</v>
      </c>
      <c r="M282" s="19">
        <f>$B$9*Data!R282/Data!R281</f>
        <v>200859600.87588993</v>
      </c>
      <c r="N282" s="19">
        <f t="shared" si="13"/>
        <v>997593347.80562115</v>
      </c>
      <c r="O282">
        <f t="shared" si="14"/>
        <v>-3.6253513968925843E-2</v>
      </c>
    </row>
    <row r="283" spans="6:15" x14ac:dyDescent="0.3">
      <c r="F283" s="3">
        <v>45726</v>
      </c>
      <c r="G283" s="40">
        <v>5614.56</v>
      </c>
      <c r="H283" s="46">
        <f t="shared" si="15"/>
        <v>-2.6973068524487775E-2</v>
      </c>
      <c r="I283" s="19">
        <f>$B$5*Data!F283/Data!F282</f>
        <v>196346829.65195218</v>
      </c>
      <c r="J283" s="19">
        <f>$B$6*Data!I283/Data!I282</f>
        <v>195792120.92772698</v>
      </c>
      <c r="K283" s="19">
        <f>$B$7*Data!L283/Data!L282</f>
        <v>195009075.13317919</v>
      </c>
      <c r="L283" s="19">
        <f>$B$8*Data!O283/Data!O282</f>
        <v>195801883.99676776</v>
      </c>
      <c r="M283" s="19">
        <f>$B$9*Data!R283/Data!R282</f>
        <v>197661363.44001117</v>
      </c>
      <c r="N283" s="19">
        <f t="shared" si="13"/>
        <v>980611273.14963722</v>
      </c>
      <c r="O283">
        <f t="shared" si="14"/>
        <v>-1.7023043200256827E-2</v>
      </c>
    </row>
    <row r="284" spans="6:15" x14ac:dyDescent="0.3">
      <c r="F284" s="3">
        <v>45727</v>
      </c>
      <c r="G284" s="40">
        <v>5572.07</v>
      </c>
      <c r="H284" s="46">
        <f t="shared" si="15"/>
        <v>-7.5678236584880709E-3</v>
      </c>
      <c r="I284" s="19">
        <f>$B$5*Data!F284/Data!F283</f>
        <v>199937173.10758743</v>
      </c>
      <c r="J284" s="19">
        <f>$B$6*Data!I284/Data!I283</f>
        <v>200247470.09964663</v>
      </c>
      <c r="K284" s="19">
        <f>$B$7*Data!L284/Data!L283</f>
        <v>202725486.3241497</v>
      </c>
      <c r="L284" s="19">
        <f>$B$8*Data!O284/Data!O283</f>
        <v>200644273.90959123</v>
      </c>
      <c r="M284" s="19">
        <f>$B$9*Data!R284/Data!R283</f>
        <v>200626310.69818941</v>
      </c>
      <c r="N284" s="19">
        <f t="shared" si="13"/>
        <v>1004180714.1391643</v>
      </c>
      <c r="O284">
        <f t="shared" si="14"/>
        <v>2.4035457917819025E-2</v>
      </c>
    </row>
    <row r="285" spans="6:15" x14ac:dyDescent="0.3">
      <c r="F285" s="3">
        <v>45728</v>
      </c>
      <c r="G285" s="40">
        <v>5599.3</v>
      </c>
      <c r="H285" s="46">
        <f t="shared" si="15"/>
        <v>4.8868732804865367E-3</v>
      </c>
      <c r="I285" s="19">
        <f>$B$5*Data!F285/Data!F284</f>
        <v>198504079.35729238</v>
      </c>
      <c r="J285" s="19">
        <f>$B$6*Data!I285/Data!I284</f>
        <v>198974197.6456919</v>
      </c>
      <c r="K285" s="19">
        <f>$B$7*Data!L285/Data!L284</f>
        <v>195948140.14050719</v>
      </c>
      <c r="L285" s="19">
        <f>$B$8*Data!O285/Data!O284</f>
        <v>198360155.58219066</v>
      </c>
      <c r="M285" s="19">
        <f>$B$9*Data!R285/Data!R284</f>
        <v>199332441.72286069</v>
      </c>
      <c r="N285" s="19">
        <f t="shared" ref="N285:N317" si="16">SUM(I285:M285)</f>
        <v>991119014.44854283</v>
      </c>
      <c r="O285">
        <f t="shared" si="14"/>
        <v>-1.3007319804800965E-2</v>
      </c>
    </row>
    <row r="286" spans="6:15" x14ac:dyDescent="0.3">
      <c r="F286" s="3">
        <v>45729</v>
      </c>
      <c r="G286" s="40">
        <v>5521.52</v>
      </c>
      <c r="H286" s="46">
        <f t="shared" si="15"/>
        <v>-1.3891022092047178E-2</v>
      </c>
      <c r="I286" s="19">
        <f>$B$5*Data!F286/Data!F285</f>
        <v>198766886.00759602</v>
      </c>
      <c r="J286" s="19">
        <f>$B$6*Data!I286/Data!I285</f>
        <v>198881514.84148645</v>
      </c>
      <c r="K286" s="19">
        <f>$B$7*Data!L286/Data!L285</f>
        <v>196595148.97255236</v>
      </c>
      <c r="L286" s="19">
        <f>$B$8*Data!O286/Data!O285</f>
        <v>198976963.22550967</v>
      </c>
      <c r="M286" s="19">
        <f>$B$9*Data!R286/Data!R285</f>
        <v>199858695.51843742</v>
      </c>
      <c r="N286" s="19">
        <f t="shared" si="16"/>
        <v>993079208.5655818</v>
      </c>
      <c r="O286">
        <f t="shared" si="14"/>
        <v>1.9777585622546834E-3</v>
      </c>
    </row>
    <row r="287" spans="6:15" x14ac:dyDescent="0.3">
      <c r="F287" s="3">
        <v>45730</v>
      </c>
      <c r="G287" s="40">
        <v>5638.94</v>
      </c>
      <c r="H287" s="46">
        <f t="shared" si="15"/>
        <v>2.1265883307494793E-2</v>
      </c>
      <c r="I287" s="19">
        <f>$B$5*Data!F287/Data!F286</f>
        <v>204210429.80351999</v>
      </c>
      <c r="J287" s="19">
        <f>$B$6*Data!I287/Data!I286</f>
        <v>206167086.07764167</v>
      </c>
      <c r="K287" s="19">
        <f>$B$7*Data!L287/Data!L286</f>
        <v>204599270.91899034</v>
      </c>
      <c r="L287" s="19">
        <f>$B$8*Data!O287/Data!O286</f>
        <v>205465438.07572833</v>
      </c>
      <c r="M287" s="19">
        <f>$B$9*Data!R287/Data!R286</f>
        <v>201933941.28154236</v>
      </c>
      <c r="N287" s="19">
        <f t="shared" si="16"/>
        <v>1022376166.1574228</v>
      </c>
      <c r="O287">
        <f t="shared" si="14"/>
        <v>2.9501128751006522E-2</v>
      </c>
    </row>
    <row r="288" spans="6:15" x14ac:dyDescent="0.3">
      <c r="F288" s="3">
        <v>45733</v>
      </c>
      <c r="G288" s="40">
        <v>5675.12</v>
      </c>
      <c r="H288" s="46">
        <f t="shared" si="15"/>
        <v>6.4160994796895743E-3</v>
      </c>
      <c r="I288" s="19">
        <f>$B$5*Data!F288/Data!F287</f>
        <v>201634772.10944194</v>
      </c>
      <c r="J288" s="19">
        <f>$B$6*Data!I288/Data!I287</f>
        <v>201142493.06735632</v>
      </c>
      <c r="K288" s="19">
        <f>$B$7*Data!L288/Data!L287</f>
        <v>199813779.94566748</v>
      </c>
      <c r="L288" s="19">
        <f>$B$8*Data!O288/Data!O287</f>
        <v>201222174.15930921</v>
      </c>
      <c r="M288" s="19">
        <f>$B$9*Data!R288/Data!R287</f>
        <v>202094785.98312476</v>
      </c>
      <c r="N288" s="19">
        <f t="shared" si="16"/>
        <v>1005908005.2648997</v>
      </c>
      <c r="O288">
        <f t="shared" si="14"/>
        <v>-1.6107731613519749E-2</v>
      </c>
    </row>
    <row r="289" spans="6:15" x14ac:dyDescent="0.3">
      <c r="F289" s="3">
        <v>45734</v>
      </c>
      <c r="G289" s="40">
        <v>5614.66</v>
      </c>
      <c r="H289" s="46">
        <f t="shared" si="15"/>
        <v>-1.0653519220738983E-2</v>
      </c>
      <c r="I289" s="19">
        <f>$B$5*Data!F289/Data!F288</f>
        <v>204938991.23823443</v>
      </c>
      <c r="J289" s="19">
        <f>$B$6*Data!I289/Data!I288</f>
        <v>206391757.64797199</v>
      </c>
      <c r="K289" s="19">
        <f>$B$7*Data!L289/Data!L288</f>
        <v>207935020.81168166</v>
      </c>
      <c r="L289" s="19">
        <f>$B$8*Data!O289/Data!O288</f>
        <v>205596100.74199852</v>
      </c>
      <c r="M289" s="19">
        <f>$B$9*Data!R289/Data!R288</f>
        <v>204026024.67893222</v>
      </c>
      <c r="N289" s="19">
        <f t="shared" si="16"/>
        <v>1028887895.1188188</v>
      </c>
      <c r="O289">
        <f t="shared" si="14"/>
        <v>2.2844921934851659E-2</v>
      </c>
    </row>
    <row r="290" spans="6:15" x14ac:dyDescent="0.3">
      <c r="F290" s="3">
        <v>45735</v>
      </c>
      <c r="G290" s="40">
        <v>5675.29</v>
      </c>
      <c r="H290" s="46">
        <f t="shared" si="15"/>
        <v>1.0798516740105457E-2</v>
      </c>
      <c r="I290" s="19">
        <f>$B$5*Data!F290/Data!F289</f>
        <v>200205893.24536589</v>
      </c>
      <c r="J290" s="19">
        <f>$B$6*Data!I290/Data!I289</f>
        <v>199537177.36818829</v>
      </c>
      <c r="K290" s="19">
        <f>$B$7*Data!L290/Data!L289</f>
        <v>197852628.25234467</v>
      </c>
      <c r="L290" s="19">
        <f>$B$8*Data!O290/Data!O289</f>
        <v>199650966.13937837</v>
      </c>
      <c r="M290" s="19">
        <f>$B$9*Data!R290/Data!R289</f>
        <v>199651795.28670672</v>
      </c>
      <c r="N290" s="19">
        <f t="shared" si="16"/>
        <v>996898460.29198384</v>
      </c>
      <c r="O290">
        <f t="shared" si="14"/>
        <v>-3.10912733822577E-2</v>
      </c>
    </row>
    <row r="291" spans="6:15" x14ac:dyDescent="0.3">
      <c r="F291" s="3">
        <v>45736</v>
      </c>
      <c r="G291" s="40">
        <v>5662.89</v>
      </c>
      <c r="H291" s="46">
        <f t="shared" si="15"/>
        <v>-2.1849103746239829E-3</v>
      </c>
      <c r="I291" s="19">
        <f>$B$5*Data!F291/Data!F290</f>
        <v>195501938.71443495</v>
      </c>
      <c r="J291" s="19">
        <f>$B$6*Data!I291/Data!I290</f>
        <v>194695251.63532782</v>
      </c>
      <c r="K291" s="19">
        <f>$B$7*Data!L291/Data!L290</f>
        <v>193169005.78916097</v>
      </c>
      <c r="L291" s="19">
        <f>$B$8*Data!O291/Data!O290</f>
        <v>195292762.4499279</v>
      </c>
      <c r="M291" s="19">
        <f>$B$9*Data!R291/Data!R290</f>
        <v>196866810.21374345</v>
      </c>
      <c r="N291" s="19">
        <f t="shared" si="16"/>
        <v>975525768.80259514</v>
      </c>
      <c r="O291">
        <f t="shared" si="14"/>
        <v>-2.1439185976000807E-2</v>
      </c>
    </row>
    <row r="292" spans="6:15" x14ac:dyDescent="0.3">
      <c r="F292" s="3">
        <v>45737</v>
      </c>
      <c r="G292" s="40">
        <v>5667.56</v>
      </c>
      <c r="H292" s="46">
        <f t="shared" si="15"/>
        <v>8.2466726353502828E-4</v>
      </c>
      <c r="I292" s="19">
        <f>$B$5*Data!F292/Data!F291</f>
        <v>195603927.31634048</v>
      </c>
      <c r="J292" s="19">
        <f>$B$6*Data!I292/Data!I291</f>
        <v>195193594.2914457</v>
      </c>
      <c r="K292" s="19">
        <f>$B$7*Data!L292/Data!L291</f>
        <v>193241316.2912643</v>
      </c>
      <c r="L292" s="19">
        <f>$B$8*Data!O292/Data!O291</f>
        <v>195340266.38918495</v>
      </c>
      <c r="M292" s="19">
        <f>$B$9*Data!R292/Data!R291</f>
        <v>197581239.39044973</v>
      </c>
      <c r="N292" s="19">
        <f t="shared" si="16"/>
        <v>976960343.67868519</v>
      </c>
      <c r="O292">
        <f t="shared" si="14"/>
        <v>1.4705658445608449E-3</v>
      </c>
    </row>
    <row r="293" spans="6:15" x14ac:dyDescent="0.3">
      <c r="F293" s="3">
        <v>45740</v>
      </c>
      <c r="G293" s="40">
        <v>5767.57</v>
      </c>
      <c r="H293" s="46">
        <f t="shared" si="15"/>
        <v>1.7646041682840563E-2</v>
      </c>
      <c r="I293" s="19">
        <f>$B$5*Data!F293/Data!F292</f>
        <v>201798860.53660062</v>
      </c>
      <c r="J293" s="19">
        <f>$B$6*Data!I293/Data!I292</f>
        <v>202937589.67183271</v>
      </c>
      <c r="K293" s="19">
        <f>$B$7*Data!L293/Data!L292</f>
        <v>203426007.0399282</v>
      </c>
      <c r="L293" s="19">
        <f>$B$8*Data!O293/Data!O292</f>
        <v>202452985.14836079</v>
      </c>
      <c r="M293" s="19">
        <f>$B$9*Data!R293/Data!R292</f>
        <v>199709817.82716045</v>
      </c>
      <c r="N293" s="19">
        <f t="shared" si="16"/>
        <v>1010325260.2238828</v>
      </c>
      <c r="O293">
        <f t="shared" si="14"/>
        <v>3.4151761390399882E-2</v>
      </c>
    </row>
    <row r="294" spans="6:15" x14ac:dyDescent="0.3">
      <c r="F294" s="3">
        <v>45741</v>
      </c>
      <c r="G294" s="40">
        <v>5776.65</v>
      </c>
      <c r="H294" s="46">
        <f t="shared" si="15"/>
        <v>1.5743198608773046E-3</v>
      </c>
      <c r="I294" s="19">
        <f>$B$5*Data!F294/Data!F293</f>
        <v>195291377.43796891</v>
      </c>
      <c r="J294" s="19">
        <f>$B$6*Data!I294/Data!I293</f>
        <v>194755999.15036589</v>
      </c>
      <c r="K294" s="19">
        <f>$B$7*Data!L294/Data!L293</f>
        <v>192341943.61245492</v>
      </c>
      <c r="L294" s="19">
        <f>$B$8*Data!O294/Data!O293</f>
        <v>194685293.27776474</v>
      </c>
      <c r="M294" s="19">
        <f>$B$9*Data!R294/Data!R293</f>
        <v>197069307.59047151</v>
      </c>
      <c r="N294" s="19">
        <f t="shared" si="16"/>
        <v>974143921.06902599</v>
      </c>
      <c r="O294">
        <f t="shared" si="14"/>
        <v>-3.581157532064394E-2</v>
      </c>
    </row>
    <row r="295" spans="6:15" x14ac:dyDescent="0.3">
      <c r="F295" s="3">
        <v>45742</v>
      </c>
      <c r="G295" s="40">
        <v>5712.2</v>
      </c>
      <c r="H295" s="46">
        <f t="shared" si="15"/>
        <v>-1.115698545004451E-2</v>
      </c>
      <c r="I295" s="19">
        <f>$B$5*Data!F295/Data!F294</f>
        <v>201155248.85468158</v>
      </c>
      <c r="J295" s="19">
        <f>$B$6*Data!I295/Data!I294</f>
        <v>200546021.37905788</v>
      </c>
      <c r="K295" s="19">
        <f>$B$7*Data!L295/Data!L294</f>
        <v>201976128.27357686</v>
      </c>
      <c r="L295" s="19">
        <f>$B$8*Data!O295/Data!O294</f>
        <v>200850781.90342319</v>
      </c>
      <c r="M295" s="19">
        <f>$B$9*Data!R295/Data!R294</f>
        <v>200100175.61931312</v>
      </c>
      <c r="N295" s="19">
        <f t="shared" si="16"/>
        <v>1004628356.0300527</v>
      </c>
      <c r="O295">
        <f t="shared" si="14"/>
        <v>3.1293563817113457E-2</v>
      </c>
    </row>
    <row r="296" spans="6:15" x14ac:dyDescent="0.3">
      <c r="F296" s="3">
        <v>45743</v>
      </c>
      <c r="G296" s="40">
        <v>5693.31</v>
      </c>
      <c r="H296" s="46">
        <f t="shared" si="15"/>
        <v>-3.3069570393192693E-3</v>
      </c>
      <c r="I296" s="19">
        <f>$B$5*Data!F296/Data!F295</f>
        <v>200831251.63692552</v>
      </c>
      <c r="J296" s="19">
        <f>$B$6*Data!I296/Data!I295</f>
        <v>200436460.61207435</v>
      </c>
      <c r="K296" s="19">
        <f>$B$7*Data!L296/Data!L295</f>
        <v>200595121.32077545</v>
      </c>
      <c r="L296" s="19">
        <f>$B$8*Data!O296/Data!O295</f>
        <v>200559290.56980446</v>
      </c>
      <c r="M296" s="19">
        <f>$B$9*Data!R296/Data!R295</f>
        <v>201355379.89973301</v>
      </c>
      <c r="N296" s="19">
        <f t="shared" si="16"/>
        <v>1003777504.0393128</v>
      </c>
      <c r="O296">
        <f t="shared" si="14"/>
        <v>-8.4693208750552529E-4</v>
      </c>
    </row>
    <row r="297" spans="6:15" x14ac:dyDescent="0.3">
      <c r="F297" s="3">
        <v>45744</v>
      </c>
      <c r="G297" s="40">
        <v>5580.94</v>
      </c>
      <c r="H297" s="46">
        <f t="shared" si="15"/>
        <v>-1.9737200328104554E-2</v>
      </c>
      <c r="I297" s="19">
        <f>$B$5*Data!F297/Data!F296</f>
        <v>198647694.04062146</v>
      </c>
      <c r="J297" s="19">
        <f>$B$6*Data!I297/Data!I296</f>
        <v>198699176.15415376</v>
      </c>
      <c r="K297" s="19">
        <f>$B$7*Data!L297/Data!L296</f>
        <v>196981666.72178751</v>
      </c>
      <c r="L297" s="19">
        <f>$B$8*Data!O297/Data!O296</f>
        <v>198298491.8665368</v>
      </c>
      <c r="M297" s="19">
        <f>$B$9*Data!R297/Data!R296</f>
        <v>198675328.78180751</v>
      </c>
      <c r="N297" s="19">
        <f t="shared" si="16"/>
        <v>991302357.56490719</v>
      </c>
      <c r="O297">
        <f t="shared" si="14"/>
        <v>-1.2428198902848742E-2</v>
      </c>
    </row>
    <row r="298" spans="6:15" x14ac:dyDescent="0.3">
      <c r="F298" s="3">
        <v>45747</v>
      </c>
      <c r="G298" s="40">
        <v>5611.85</v>
      </c>
      <c r="H298" s="46">
        <f t="shared" si="15"/>
        <v>5.5384935154294546E-3</v>
      </c>
      <c r="I298" s="19">
        <f>$B$5*Data!F298/Data!F297</f>
        <v>197317990.48282027</v>
      </c>
      <c r="J298" s="19">
        <f>$B$6*Data!I298/Data!I297</f>
        <v>197197539.67696506</v>
      </c>
      <c r="K298" s="19">
        <f>$B$7*Data!L298/Data!L297</f>
        <v>195880695.32034275</v>
      </c>
      <c r="L298" s="19">
        <f>$B$8*Data!O298/Data!O297</f>
        <v>197848439.2435092</v>
      </c>
      <c r="M298" s="19">
        <f>$B$9*Data!R298/Data!R297</f>
        <v>197854781.3786419</v>
      </c>
      <c r="N298" s="19">
        <f t="shared" si="16"/>
        <v>986099446.10227919</v>
      </c>
      <c r="O298">
        <f t="shared" si="14"/>
        <v>-5.2485615745015979E-3</v>
      </c>
    </row>
    <row r="299" spans="6:15" x14ac:dyDescent="0.3">
      <c r="F299" s="3">
        <v>45748</v>
      </c>
      <c r="G299" s="40">
        <v>5633.07</v>
      </c>
      <c r="H299" s="46">
        <f t="shared" si="15"/>
        <v>3.7812842467277452E-3</v>
      </c>
      <c r="I299" s="19">
        <f>$B$5*Data!F299/Data!F298</f>
        <v>200736797.31633136</v>
      </c>
      <c r="J299" s="19">
        <f>$B$6*Data!I299/Data!I298</f>
        <v>200660646.0593276</v>
      </c>
      <c r="K299" s="19">
        <f>$B$7*Data!L299/Data!L298</f>
        <v>200451312.80520666</v>
      </c>
      <c r="L299" s="19">
        <f>$B$8*Data!O299/Data!O298</f>
        <v>200470189.16622648</v>
      </c>
      <c r="M299" s="19">
        <f>$B$9*Data!R299/Data!R298</f>
        <v>201090333.27227566</v>
      </c>
      <c r="N299" s="19">
        <f t="shared" si="16"/>
        <v>1003409278.6193678</v>
      </c>
      <c r="O299">
        <f t="shared" si="14"/>
        <v>1.7553840624805694E-2</v>
      </c>
    </row>
    <row r="300" spans="6:15" x14ac:dyDescent="0.3">
      <c r="F300" s="3">
        <v>45749</v>
      </c>
      <c r="G300" s="40">
        <v>5670.97</v>
      </c>
      <c r="H300" s="46">
        <f t="shared" si="15"/>
        <v>6.7281251608803938E-3</v>
      </c>
      <c r="I300" s="19">
        <f>$B$5*Data!F300/Data!F299</f>
        <v>199932021.50174105</v>
      </c>
      <c r="J300" s="19">
        <f>$B$6*Data!I300/Data!I299</f>
        <v>199940341.78942999</v>
      </c>
      <c r="K300" s="19">
        <f>$B$7*Data!L300/Data!L299</f>
        <v>200674013.76735076</v>
      </c>
      <c r="L300" s="19">
        <f>$B$8*Data!O300/Data!O299</f>
        <v>199832604.55740705</v>
      </c>
      <c r="M300" s="19">
        <f>$B$9*Data!R300/Data!R299</f>
        <v>201538362.10529277</v>
      </c>
      <c r="N300" s="19">
        <f t="shared" si="16"/>
        <v>1001917343.7212217</v>
      </c>
      <c r="O300">
        <f t="shared" si="14"/>
        <v>-1.4868657585057621E-3</v>
      </c>
    </row>
    <row r="301" spans="6:15" x14ac:dyDescent="0.3">
      <c r="F301" s="3">
        <v>45750</v>
      </c>
      <c r="G301" s="40">
        <v>5396.52</v>
      </c>
      <c r="H301" s="46">
        <f t="shared" si="15"/>
        <v>-4.839560075260485E-2</v>
      </c>
      <c r="I301" s="19">
        <f>$B$5*Data!F301/Data!F300</f>
        <v>197063464.80312526</v>
      </c>
      <c r="J301" s="19">
        <f>$B$6*Data!I301/Data!I300</f>
        <v>197191888.40430927</v>
      </c>
      <c r="K301" s="19">
        <f>$B$7*Data!L301/Data!L300</f>
        <v>195931799.3762109</v>
      </c>
      <c r="L301" s="19">
        <f>$B$8*Data!O301/Data!O300</f>
        <v>197493257.11024535</v>
      </c>
      <c r="M301" s="19">
        <f>$B$9*Data!R301/Data!R300</f>
        <v>200720975.13349143</v>
      </c>
      <c r="N301" s="19">
        <f t="shared" si="16"/>
        <v>988401384.82738221</v>
      </c>
      <c r="O301">
        <f t="shared" si="14"/>
        <v>-1.3490093747294374E-2</v>
      </c>
    </row>
    <row r="302" spans="6:15" x14ac:dyDescent="0.3">
      <c r="F302" s="3">
        <v>45754</v>
      </c>
      <c r="G302" s="40">
        <v>5062.25</v>
      </c>
      <c r="H302" s="46">
        <f t="shared" si="15"/>
        <v>-6.1941769881331044E-2</v>
      </c>
      <c r="I302" s="19">
        <f>$B$5*Data!F302/Data!F301</f>
        <v>173785672.70083416</v>
      </c>
      <c r="J302" s="19">
        <f>$B$6*Data!I302/Data!I301</f>
        <v>171727922.67655924</v>
      </c>
      <c r="K302" s="19">
        <f>$B$7*Data!L302/Data!L301</f>
        <v>165902032.24675608</v>
      </c>
      <c r="L302" s="19">
        <f>$B$8*Data!O302/Data!O301</f>
        <v>172739266.06314218</v>
      </c>
      <c r="M302" s="19">
        <f>$B$9*Data!R302/Data!R301</f>
        <v>179346023.49055257</v>
      </c>
      <c r="N302" s="19">
        <f t="shared" si="16"/>
        <v>863500917.17784417</v>
      </c>
      <c r="O302">
        <f t="shared" si="14"/>
        <v>-0.12636613987681844</v>
      </c>
    </row>
    <row r="303" spans="6:15" x14ac:dyDescent="0.3">
      <c r="F303" s="3">
        <v>45755</v>
      </c>
      <c r="G303" s="40">
        <v>4982.7700000000004</v>
      </c>
      <c r="H303" s="46">
        <f t="shared" si="15"/>
        <v>-1.5700528421156545E-2</v>
      </c>
      <c r="I303" s="19">
        <f>$B$5*Data!F303/Data!F302</f>
        <v>202936121.2143068</v>
      </c>
      <c r="J303" s="19">
        <f>$B$6*Data!I303/Data!I302</f>
        <v>205431783.14542553</v>
      </c>
      <c r="K303" s="19">
        <f>$B$7*Data!L303/Data!L302</f>
        <v>207496915.83992898</v>
      </c>
      <c r="L303" s="19">
        <f>$B$8*Data!O303/Data!O302</f>
        <v>204539348.49334922</v>
      </c>
      <c r="M303" s="19">
        <f>$B$9*Data!R303/Data!R302</f>
        <v>203438636.08751366</v>
      </c>
      <c r="N303" s="19">
        <f t="shared" si="16"/>
        <v>1023842804.7805241</v>
      </c>
      <c r="O303">
        <f t="shared" si="14"/>
        <v>0.1856881497320475</v>
      </c>
    </row>
    <row r="304" spans="6:15" x14ac:dyDescent="0.3">
      <c r="F304" s="3">
        <v>45756</v>
      </c>
      <c r="G304" s="40">
        <v>5456.9</v>
      </c>
      <c r="H304" s="46">
        <f t="shared" si="15"/>
        <v>9.5153900340573472E-2</v>
      </c>
      <c r="I304" s="19">
        <f>$B$5*Data!F304/Data!F303</f>
        <v>201618878.49582538</v>
      </c>
      <c r="J304" s="19">
        <f>$B$6*Data!I304/Data!I303</f>
        <v>202444646.62746882</v>
      </c>
      <c r="K304" s="19">
        <f>$B$7*Data!L304/Data!L303</f>
        <v>205553484.94287825</v>
      </c>
      <c r="L304" s="19">
        <f>$B$8*Data!O304/Data!O303</f>
        <v>203089107.68715587</v>
      </c>
      <c r="M304" s="19">
        <f>$B$9*Data!R304/Data!R303</f>
        <v>203829157.26794019</v>
      </c>
      <c r="N304" s="19">
        <f t="shared" si="16"/>
        <v>1016535275.0212685</v>
      </c>
      <c r="O304">
        <f t="shared" si="14"/>
        <v>-7.1373551927457202E-3</v>
      </c>
    </row>
    <row r="305" spans="6:15" x14ac:dyDescent="0.3">
      <c r="F305" s="3">
        <v>45757</v>
      </c>
      <c r="G305" s="40">
        <v>5268.05</v>
      </c>
      <c r="H305" s="46">
        <f t="shared" si="15"/>
        <v>-3.4607561069471604E-2</v>
      </c>
      <c r="I305" s="19">
        <f>$B$5*Data!F305/Data!F304</f>
        <v>204176314.81726214</v>
      </c>
      <c r="J305" s="19">
        <f>$B$6*Data!I305/Data!I304</f>
        <v>203378719.46773794</v>
      </c>
      <c r="K305" s="19">
        <f>$B$7*Data!L305/Data!L304</f>
        <v>205370435.67694676</v>
      </c>
      <c r="L305" s="19">
        <f>$B$8*Data!O305/Data!O304</f>
        <v>203579621.68111059</v>
      </c>
      <c r="M305" s="19">
        <f>$B$9*Data!R305/Data!R304</f>
        <v>202854979.76320532</v>
      </c>
      <c r="N305" s="19">
        <f t="shared" si="16"/>
        <v>1019360071.4062628</v>
      </c>
      <c r="O305">
        <f t="shared" si="14"/>
        <v>2.77884737933487E-3</v>
      </c>
    </row>
    <row r="306" spans="6:15" x14ac:dyDescent="0.3">
      <c r="F306" s="3">
        <v>45758</v>
      </c>
      <c r="G306" s="40">
        <v>5363.36</v>
      </c>
      <c r="H306" s="46">
        <f t="shared" si="15"/>
        <v>1.8092083408471682E-2</v>
      </c>
      <c r="I306" s="19">
        <f>$B$5*Data!F306/Data!F305</f>
        <v>202387965.91563463</v>
      </c>
      <c r="J306" s="19">
        <f>$B$6*Data!I306/Data!I305</f>
        <v>202944904.10881913</v>
      </c>
      <c r="K306" s="19">
        <f>$B$7*Data!L306/Data!L305</f>
        <v>203738323.57349554</v>
      </c>
      <c r="L306" s="19">
        <f>$B$8*Data!O306/Data!O305</f>
        <v>203608643.96659043</v>
      </c>
      <c r="M306" s="19">
        <f>$B$9*Data!R306/Data!R305</f>
        <v>202356565.63126087</v>
      </c>
      <c r="N306" s="19">
        <f t="shared" si="16"/>
        <v>1015036403.1958005</v>
      </c>
      <c r="O306">
        <f t="shared" si="14"/>
        <v>-4.2415514711082736E-3</v>
      </c>
    </row>
    <row r="307" spans="6:15" x14ac:dyDescent="0.3">
      <c r="F307" s="3">
        <v>45761</v>
      </c>
      <c r="G307" s="40">
        <v>5405.97</v>
      </c>
      <c r="H307" s="46">
        <f t="shared" si="15"/>
        <v>7.9446466394201831E-3</v>
      </c>
      <c r="I307" s="19">
        <f>$B$5*Data!F307/Data!F306</f>
        <v>204735947.05475661</v>
      </c>
      <c r="J307" s="19">
        <f>$B$6*Data!I307/Data!I306</f>
        <v>204436387.74516079</v>
      </c>
      <c r="K307" s="19">
        <f>$B$7*Data!L307/Data!L306</f>
        <v>204609561.65232715</v>
      </c>
      <c r="L307" s="19">
        <f>$B$8*Data!O307/Data!O306</f>
        <v>204140916.23806682</v>
      </c>
      <c r="M307" s="19">
        <f>$B$9*Data!R307/Data!R306</f>
        <v>202156010.87704825</v>
      </c>
      <c r="N307" s="19">
        <f t="shared" si="16"/>
        <v>1020078823.5673596</v>
      </c>
      <c r="O307">
        <f t="shared" si="14"/>
        <v>4.9677236754102072E-3</v>
      </c>
    </row>
    <row r="308" spans="6:15" x14ac:dyDescent="0.3">
      <c r="F308" s="3">
        <v>45762</v>
      </c>
      <c r="G308" s="40">
        <v>5396.63</v>
      </c>
      <c r="H308" s="46">
        <f t="shared" si="15"/>
        <v>-1.7277195396940837E-3</v>
      </c>
      <c r="I308" s="19">
        <f>$B$5*Data!F308/Data!F307</f>
        <v>200422765.05290088</v>
      </c>
      <c r="J308" s="19">
        <f>$B$6*Data!I308/Data!I307</f>
        <v>200615394.70331448</v>
      </c>
      <c r="K308" s="19">
        <f>$B$7*Data!L308/Data!L307</f>
        <v>198629949.98717767</v>
      </c>
      <c r="L308" s="19">
        <f>$B$8*Data!O308/Data!O307</f>
        <v>200394993.44393796</v>
      </c>
      <c r="M308" s="19">
        <f>$B$9*Data!R308/Data!R307</f>
        <v>200008892.95640594</v>
      </c>
      <c r="N308" s="19">
        <f t="shared" si="16"/>
        <v>1000071996.1437368</v>
      </c>
      <c r="O308">
        <f t="shared" si="14"/>
        <v>-1.9613021034645128E-2</v>
      </c>
    </row>
    <row r="309" spans="6:15" x14ac:dyDescent="0.3">
      <c r="F309" s="3">
        <v>45763</v>
      </c>
      <c r="G309" s="40">
        <v>5275.7</v>
      </c>
      <c r="H309" s="46">
        <f t="shared" si="15"/>
        <v>-2.2408428964001637E-2</v>
      </c>
      <c r="I309" s="19">
        <f>$B$5*Data!F309/Data!F308</f>
        <v>196062824.61578226</v>
      </c>
      <c r="J309" s="19">
        <f>$B$6*Data!I309/Data!I308</f>
        <v>194664357.84257391</v>
      </c>
      <c r="K309" s="19">
        <f>$B$7*Data!L309/Data!L308</f>
        <v>192438265.5578064</v>
      </c>
      <c r="L309" s="19">
        <f>$B$8*Data!O309/Data!O308</f>
        <v>194769292.57884124</v>
      </c>
      <c r="M309" s="19">
        <f>$B$9*Data!R309/Data!R308</f>
        <v>198925816.21993598</v>
      </c>
      <c r="N309" s="19">
        <f t="shared" si="16"/>
        <v>976860556.81493974</v>
      </c>
      <c r="O309">
        <f t="shared" si="14"/>
        <v>-2.3209768314981449E-2</v>
      </c>
    </row>
    <row r="310" spans="6:15" x14ac:dyDescent="0.3">
      <c r="F310" s="3">
        <v>45764</v>
      </c>
      <c r="G310" s="40">
        <v>5282.7</v>
      </c>
      <c r="H310" s="46">
        <f t="shared" si="15"/>
        <v>1.3268381447011368E-3</v>
      </c>
      <c r="I310" s="19">
        <f>$B$5*Data!F310/Data!F309</f>
        <v>203169978.28623289</v>
      </c>
      <c r="J310" s="19">
        <f>$B$6*Data!I310/Data!I309</f>
        <v>203233293.10794601</v>
      </c>
      <c r="K310" s="19">
        <f>$B$7*Data!L310/Data!L309</f>
        <v>203756361.22331116</v>
      </c>
      <c r="L310" s="19">
        <f>$B$8*Data!O310/Data!O309</f>
        <v>203003016.57435599</v>
      </c>
      <c r="M310" s="19">
        <f>$B$9*Data!R310/Data!R309</f>
        <v>202697095.51666379</v>
      </c>
      <c r="N310" s="19">
        <f t="shared" si="16"/>
        <v>1015859744.7085098</v>
      </c>
      <c r="O310">
        <f t="shared" si="14"/>
        <v>3.9922983502094889E-2</v>
      </c>
    </row>
    <row r="311" spans="6:15" x14ac:dyDescent="0.3">
      <c r="F311" s="3">
        <v>45769</v>
      </c>
      <c r="G311" s="40">
        <v>5287.76</v>
      </c>
      <c r="H311" s="46">
        <f t="shared" si="15"/>
        <v>9.5784352698435882E-4</v>
      </c>
      <c r="I311" s="19">
        <f>$B$5*Data!F311/Data!F310</f>
        <v>201713474.31188041</v>
      </c>
      <c r="J311" s="19">
        <f>$B$6*Data!I311/Data!I310</f>
        <v>201247906.77199477</v>
      </c>
      <c r="K311" s="19">
        <f>$B$7*Data!L311/Data!L310</f>
        <v>200634397.53731301</v>
      </c>
      <c r="L311" s="19">
        <f>$B$8*Data!O311/Data!O310</f>
        <v>201501601.94057235</v>
      </c>
      <c r="M311" s="19">
        <f>$B$9*Data!R311/Data!R310</f>
        <v>202024889.57677874</v>
      </c>
      <c r="N311" s="19">
        <f t="shared" si="16"/>
        <v>1007122270.1385393</v>
      </c>
      <c r="O311">
        <f t="shared" si="14"/>
        <v>-8.6010638924152172E-3</v>
      </c>
    </row>
    <row r="312" spans="6:15" x14ac:dyDescent="0.3">
      <c r="F312" s="3">
        <v>45770</v>
      </c>
      <c r="G312" s="40">
        <v>5375.86</v>
      </c>
      <c r="H312" s="46">
        <f t="shared" si="15"/>
        <v>1.6661119264111734E-2</v>
      </c>
      <c r="I312" s="19">
        <f>$B$5*Data!F312/Data!F311</f>
        <v>204680491.28035346</v>
      </c>
      <c r="J312" s="19">
        <f>$B$6*Data!I312/Data!I311</f>
        <v>204451244.27419016</v>
      </c>
      <c r="K312" s="19">
        <f>$B$7*Data!L312/Data!L311</f>
        <v>206078066.66861463</v>
      </c>
      <c r="L312" s="19">
        <f>$B$8*Data!O312/Data!O311</f>
        <v>204110238.15781546</v>
      </c>
      <c r="M312" s="19">
        <f>$B$9*Data!R312/Data!R311</f>
        <v>198861253.75494376</v>
      </c>
      <c r="N312" s="19">
        <f t="shared" si="16"/>
        <v>1018181294.1359174</v>
      </c>
      <c r="O312">
        <f t="shared" si="14"/>
        <v>1.0980815661892684E-2</v>
      </c>
    </row>
    <row r="313" spans="6:15" x14ac:dyDescent="0.3">
      <c r="F313" s="3">
        <v>45771</v>
      </c>
      <c r="G313" s="40">
        <v>5484.77</v>
      </c>
      <c r="H313" s="46">
        <f t="shared" si="15"/>
        <v>2.025908412793509E-2</v>
      </c>
      <c r="I313" s="19">
        <f>$B$5*Data!F313/Data!F312</f>
        <v>198557588.69737804</v>
      </c>
      <c r="J313" s="19">
        <f>$B$6*Data!I313/Data!I312</f>
        <v>198401423.56918502</v>
      </c>
      <c r="K313" s="19">
        <f>$B$7*Data!L313/Data!L312</f>
        <v>197121389.42231426</v>
      </c>
      <c r="L313" s="19">
        <f>$B$8*Data!O313/Data!O312</f>
        <v>198568800.94770494</v>
      </c>
      <c r="M313" s="19">
        <f>$B$9*Data!R313/Data!R312</f>
        <v>199610485.47021803</v>
      </c>
      <c r="N313" s="19">
        <f t="shared" si="16"/>
        <v>992259688.10680032</v>
      </c>
      <c r="O313">
        <f t="shared" si="14"/>
        <v>-2.5458733310471549E-2</v>
      </c>
    </row>
    <row r="314" spans="6:15" x14ac:dyDescent="0.3">
      <c r="F314" s="3">
        <v>45772</v>
      </c>
      <c r="G314" s="40">
        <v>5525.21</v>
      </c>
      <c r="H314" s="46">
        <f t="shared" si="15"/>
        <v>7.3731441792452834E-3</v>
      </c>
      <c r="I314" s="19">
        <f>$B$5*Data!F314/Data!F313</f>
        <v>200684141.9216601</v>
      </c>
      <c r="J314" s="19">
        <f>$B$6*Data!I314/Data!I313</f>
        <v>201154333.94162416</v>
      </c>
      <c r="K314" s="19">
        <f>$B$7*Data!L314/Data!L313</f>
        <v>200320316.12182</v>
      </c>
      <c r="L314" s="19">
        <f>$B$8*Data!O314/Data!O313</f>
        <v>200624271.71892592</v>
      </c>
      <c r="M314" s="19">
        <f>$B$9*Data!R314/Data!R313</f>
        <v>199785882.11001605</v>
      </c>
      <c r="N314" s="19">
        <f t="shared" si="16"/>
        <v>1002568945.8140461</v>
      </c>
      <c r="O314">
        <f t="shared" si="14"/>
        <v>1.0389677048067592E-2</v>
      </c>
    </row>
    <row r="315" spans="6:15" x14ac:dyDescent="0.3">
      <c r="F315" s="3">
        <v>45775</v>
      </c>
      <c r="G315" s="40">
        <v>5528.75</v>
      </c>
      <c r="H315" s="46">
        <f t="shared" si="15"/>
        <v>6.4069962951629478E-4</v>
      </c>
      <c r="I315" s="19">
        <f>$B$5*Data!F315/Data!F314</f>
        <v>199938153.58284831</v>
      </c>
      <c r="J315" s="19">
        <f>$B$6*Data!I315/Data!I314</f>
        <v>199945303.85565382</v>
      </c>
      <c r="K315" s="19">
        <f>$B$7*Data!L315/Data!L314</f>
        <v>200258088.554151</v>
      </c>
      <c r="L315" s="19">
        <f>$B$8*Data!O315/Data!O314</f>
        <v>200009385.34339553</v>
      </c>
      <c r="M315" s="19">
        <f>$B$9*Data!R315/Data!R314</f>
        <v>200451509.90555105</v>
      </c>
      <c r="N315" s="19">
        <f t="shared" si="16"/>
        <v>1000602441.2415997</v>
      </c>
      <c r="O315">
        <f t="shared" si="14"/>
        <v>-1.9614656734153746E-3</v>
      </c>
    </row>
    <row r="316" spans="6:15" x14ac:dyDescent="0.3">
      <c r="F316" s="3">
        <v>45776</v>
      </c>
      <c r="G316" s="40">
        <v>5560.83</v>
      </c>
      <c r="H316" s="46">
        <f t="shared" si="15"/>
        <v>5.8023965634184105E-3</v>
      </c>
      <c r="I316" s="19">
        <f>$B$5*Data!F316/Data!F315</f>
        <v>200272253.38834518</v>
      </c>
      <c r="J316" s="19">
        <f>$B$6*Data!I316/Data!I315</f>
        <v>199891818.41196328</v>
      </c>
      <c r="K316" s="19">
        <f>$B$7*Data!L316/Data!L315</f>
        <v>201177271.28049928</v>
      </c>
      <c r="L316" s="19">
        <f>$B$8*Data!O316/Data!O315</f>
        <v>199640166.21256873</v>
      </c>
      <c r="M316" s="19">
        <f>$B$9*Data!R316/Data!R315</f>
        <v>199251511.7168124</v>
      </c>
      <c r="N316" s="19">
        <f t="shared" si="16"/>
        <v>1000233021.0101888</v>
      </c>
      <c r="O316">
        <f t="shared" si="14"/>
        <v>-3.6919781142297214E-4</v>
      </c>
    </row>
    <row r="317" spans="6:15" x14ac:dyDescent="0.3">
      <c r="F317" s="3">
        <v>45777</v>
      </c>
      <c r="G317" s="40">
        <v>5569.06</v>
      </c>
      <c r="H317" s="46">
        <f t="shared" si="15"/>
        <v>1.4799948928487794E-3</v>
      </c>
      <c r="I317" s="19">
        <f>$B$5*Data!F317/Data!F316</f>
        <v>201096975.4941152</v>
      </c>
      <c r="J317" s="19">
        <f>$B$6*Data!I317/Data!I316</f>
        <v>200756335.33140287</v>
      </c>
      <c r="K317" s="19">
        <f>$B$7*Data!L317/Data!L316</f>
        <v>202783205.15619189</v>
      </c>
      <c r="L317" s="19">
        <f>$B$8*Data!O317/Data!O316</f>
        <v>200291435.99252114</v>
      </c>
      <c r="M317" s="19">
        <f>$B$9*Data!R317/Data!R316</f>
        <v>200860747.33101028</v>
      </c>
      <c r="N317" s="19">
        <f t="shared" si="16"/>
        <v>1005788699.3052413</v>
      </c>
      <c r="O317">
        <f t="shared" si="14"/>
        <v>5.5543840068803529E-3</v>
      </c>
    </row>
    <row r="318" spans="6:15" x14ac:dyDescent="0.3">
      <c r="G318" s="40"/>
      <c r="H318" s="19"/>
    </row>
    <row r="319" spans="6:15" x14ac:dyDescent="0.3">
      <c r="G319" s="40"/>
      <c r="H319" s="19"/>
    </row>
    <row r="320" spans="6:15" x14ac:dyDescent="0.3">
      <c r="G320" s="40"/>
      <c r="H320" s="19"/>
      <c r="I320" s="19"/>
      <c r="J320" s="19"/>
      <c r="K320" s="19"/>
      <c r="L320" s="19"/>
      <c r="M320" s="19"/>
      <c r="N320" s="19"/>
    </row>
    <row r="321" spans="7:14" x14ac:dyDescent="0.3">
      <c r="G321" s="40"/>
      <c r="H321" s="19"/>
      <c r="I321" s="19"/>
      <c r="J321" s="19"/>
      <c r="K321" s="19"/>
      <c r="L321" s="19"/>
      <c r="M321" s="19"/>
      <c r="N321" s="19"/>
    </row>
    <row r="322" spans="7:14" x14ac:dyDescent="0.3">
      <c r="G322" s="40"/>
      <c r="H322" s="19"/>
      <c r="I322" s="19"/>
      <c r="J322" s="19"/>
      <c r="K322" s="19"/>
      <c r="L322" s="19"/>
      <c r="M322" s="19"/>
      <c r="N322" s="19"/>
    </row>
    <row r="323" spans="7:14" x14ac:dyDescent="0.3">
      <c r="G323" s="40"/>
      <c r="H323" s="19"/>
      <c r="I323" s="19"/>
      <c r="J323" s="19"/>
      <c r="K323" s="19"/>
      <c r="L323" s="19"/>
      <c r="M323" s="19"/>
      <c r="N323" s="19"/>
    </row>
    <row r="324" spans="7:14" x14ac:dyDescent="0.3">
      <c r="G324" s="40"/>
      <c r="H324" s="19"/>
      <c r="I324" s="19"/>
      <c r="J324" s="19"/>
      <c r="K324" s="19"/>
      <c r="L324" s="19"/>
      <c r="M324" s="19"/>
      <c r="N324" s="19"/>
    </row>
    <row r="325" spans="7:14" x14ac:dyDescent="0.3">
      <c r="G325" s="40"/>
      <c r="H325" s="19"/>
      <c r="I325" s="19"/>
      <c r="J325" s="19"/>
      <c r="K325" s="19"/>
      <c r="L325" s="19"/>
      <c r="M325" s="19"/>
      <c r="N325" s="19"/>
    </row>
    <row r="326" spans="7:14" x14ac:dyDescent="0.3">
      <c r="G326" s="40"/>
      <c r="H326" s="19"/>
      <c r="I326" s="19"/>
      <c r="J326" s="19"/>
      <c r="K326" s="19"/>
      <c r="L326" s="19"/>
      <c r="M326" s="19"/>
      <c r="N326" s="19"/>
    </row>
    <row r="327" spans="7:14" x14ac:dyDescent="0.3">
      <c r="G327" s="40"/>
      <c r="H327" s="19"/>
      <c r="I327" s="19"/>
      <c r="J327" s="19"/>
      <c r="K327" s="19"/>
      <c r="L327" s="19"/>
      <c r="M327" s="19"/>
      <c r="N327" s="19"/>
    </row>
    <row r="328" spans="7:14" x14ac:dyDescent="0.3">
      <c r="G328" s="40"/>
      <c r="H328" s="19"/>
      <c r="I328" s="19"/>
      <c r="J328" s="19"/>
      <c r="K328" s="19"/>
      <c r="L328" s="19"/>
      <c r="M328" s="19"/>
      <c r="N328" s="19"/>
    </row>
    <row r="329" spans="7:14" x14ac:dyDescent="0.3">
      <c r="G329" s="40"/>
      <c r="H329" s="19"/>
      <c r="I329" s="19"/>
      <c r="J329" s="19"/>
      <c r="K329" s="19"/>
      <c r="L329" s="19"/>
      <c r="M329" s="19"/>
      <c r="N329" s="19"/>
    </row>
    <row r="330" spans="7:14" x14ac:dyDescent="0.3">
      <c r="G330" s="40"/>
      <c r="H330" s="19"/>
      <c r="I330" s="19"/>
      <c r="J330" s="19"/>
      <c r="K330" s="19"/>
      <c r="L330" s="19"/>
      <c r="M330" s="19"/>
      <c r="N330" s="19"/>
    </row>
    <row r="331" spans="7:14" x14ac:dyDescent="0.3">
      <c r="G331" s="40"/>
      <c r="H331" s="19"/>
      <c r="I331" s="19"/>
      <c r="J331" s="19"/>
      <c r="K331" s="19"/>
      <c r="L331" s="19"/>
      <c r="M331" s="19"/>
      <c r="N331" s="19"/>
    </row>
    <row r="332" spans="7:14" x14ac:dyDescent="0.3">
      <c r="G332" s="40"/>
      <c r="H332" s="19"/>
      <c r="I332" s="19"/>
      <c r="J332" s="19"/>
      <c r="K332" s="19"/>
      <c r="L332" s="19"/>
      <c r="M332" s="19"/>
      <c r="N332" s="19"/>
    </row>
    <row r="333" spans="7:14" x14ac:dyDescent="0.3">
      <c r="G333" s="40"/>
      <c r="H333" s="19"/>
      <c r="I333" s="19"/>
      <c r="J333" s="19"/>
      <c r="K333" s="19"/>
      <c r="L333" s="19"/>
      <c r="M333" s="19"/>
      <c r="N333" s="19"/>
    </row>
    <row r="334" spans="7:14" x14ac:dyDescent="0.3">
      <c r="G334" s="40"/>
      <c r="H334" s="19"/>
      <c r="I334" s="19"/>
      <c r="J334" s="19"/>
      <c r="K334" s="19"/>
      <c r="L334" s="19"/>
      <c r="M334" s="19"/>
      <c r="N334" s="19"/>
    </row>
    <row r="335" spans="7:14" x14ac:dyDescent="0.3">
      <c r="G335" s="23"/>
      <c r="H335"/>
      <c r="I335" s="19"/>
      <c r="J335" s="19"/>
      <c r="K335" s="19"/>
      <c r="L335" s="19"/>
      <c r="M335" s="19"/>
      <c r="N335" s="19"/>
    </row>
    <row r="336" spans="7:14" x14ac:dyDescent="0.3">
      <c r="G336" s="23"/>
      <c r="H336"/>
      <c r="I336" s="19"/>
      <c r="J336" s="19"/>
      <c r="K336" s="19"/>
      <c r="L336" s="19"/>
      <c r="M336" s="19"/>
      <c r="N336" s="19"/>
    </row>
    <row r="337" spans="7:14" x14ac:dyDescent="0.3">
      <c r="G337" s="23"/>
      <c r="H337"/>
      <c r="I337" s="19"/>
      <c r="J337" s="19"/>
      <c r="K337" s="19"/>
      <c r="L337" s="19"/>
      <c r="M337" s="19"/>
      <c r="N337" s="19"/>
    </row>
    <row r="338" spans="7:14" x14ac:dyDescent="0.3">
      <c r="G338" s="23"/>
      <c r="H338"/>
      <c r="I338" s="19"/>
      <c r="J338" s="19"/>
      <c r="K338" s="19"/>
      <c r="L338" s="19"/>
      <c r="M338" s="19"/>
      <c r="N338" s="19"/>
    </row>
    <row r="339" spans="7:14" x14ac:dyDescent="0.3">
      <c r="G339" s="23"/>
      <c r="H339"/>
      <c r="I339" s="19"/>
      <c r="J339" s="19"/>
      <c r="K339" s="19"/>
      <c r="L339" s="19"/>
      <c r="M339" s="19"/>
      <c r="N339" s="19"/>
    </row>
    <row r="340" spans="7:14" x14ac:dyDescent="0.3">
      <c r="G340" s="23"/>
      <c r="H340"/>
      <c r="I340" s="19"/>
      <c r="J340" s="19"/>
      <c r="K340" s="19"/>
      <c r="L340" s="19"/>
      <c r="M340" s="19"/>
      <c r="N340" s="19"/>
    </row>
    <row r="341" spans="7:14" x14ac:dyDescent="0.3">
      <c r="G341" s="23"/>
      <c r="H341"/>
      <c r="I341" s="19"/>
      <c r="J341" s="19"/>
      <c r="K341" s="19"/>
      <c r="L341" s="19"/>
      <c r="M341" s="19"/>
      <c r="N341" s="19"/>
    </row>
    <row r="342" spans="7:14" x14ac:dyDescent="0.3">
      <c r="G342" s="23"/>
      <c r="H342"/>
      <c r="I342" s="19"/>
      <c r="J342" s="19"/>
      <c r="K342" s="19"/>
      <c r="L342" s="19"/>
      <c r="M342" s="19"/>
      <c r="N342" s="19"/>
    </row>
    <row r="343" spans="7:14" x14ac:dyDescent="0.3">
      <c r="G343" s="23"/>
      <c r="H343"/>
      <c r="I343" s="19"/>
      <c r="J343" s="19"/>
      <c r="K343" s="19"/>
      <c r="L343" s="19"/>
      <c r="M343" s="19"/>
      <c r="N343" s="19"/>
    </row>
    <row r="344" spans="7:14" x14ac:dyDescent="0.3">
      <c r="G344" s="23"/>
      <c r="H344"/>
      <c r="I344" s="19"/>
      <c r="J344" s="19"/>
      <c r="K344" s="19"/>
      <c r="L344" s="19"/>
      <c r="M344" s="19"/>
      <c r="N344" s="19"/>
    </row>
    <row r="345" spans="7:14" x14ac:dyDescent="0.3">
      <c r="G345" s="23"/>
      <c r="H345"/>
      <c r="I345" s="19"/>
      <c r="J345" s="19"/>
      <c r="K345" s="19"/>
      <c r="L345" s="19"/>
      <c r="M345" s="19"/>
      <c r="N345" s="19"/>
    </row>
    <row r="346" spans="7:14" x14ac:dyDescent="0.3">
      <c r="G346" s="23"/>
      <c r="H346"/>
      <c r="I346" s="19"/>
      <c r="J346" s="19"/>
      <c r="K346" s="19"/>
      <c r="L346" s="19"/>
      <c r="M346" s="19"/>
      <c r="N346" s="19"/>
    </row>
    <row r="347" spans="7:14" x14ac:dyDescent="0.3">
      <c r="G347" s="23"/>
      <c r="H347"/>
      <c r="I347" s="19"/>
      <c r="J347" s="19"/>
      <c r="K347" s="19"/>
      <c r="L347" s="19"/>
      <c r="M347" s="19"/>
      <c r="N347" s="19"/>
    </row>
    <row r="348" spans="7:14" x14ac:dyDescent="0.3">
      <c r="G348" s="23"/>
      <c r="H348"/>
      <c r="I348" s="19"/>
      <c r="J348" s="19"/>
      <c r="K348" s="19"/>
      <c r="L348" s="19"/>
      <c r="M348" s="19"/>
      <c r="N348" s="19"/>
    </row>
    <row r="349" spans="7:14" x14ac:dyDescent="0.3">
      <c r="G349" s="23"/>
      <c r="H349"/>
      <c r="I349" s="19"/>
      <c r="J349" s="19"/>
      <c r="K349" s="19"/>
      <c r="L349" s="19"/>
      <c r="M349" s="19"/>
      <c r="N349" s="19"/>
    </row>
    <row r="350" spans="7:14" x14ac:dyDescent="0.3">
      <c r="G350" s="23"/>
      <c r="H350"/>
      <c r="I350" s="19"/>
      <c r="J350" s="19"/>
      <c r="K350" s="19"/>
      <c r="L350" s="19"/>
      <c r="M350" s="19"/>
      <c r="N350" s="19"/>
    </row>
    <row r="351" spans="7:14" x14ac:dyDescent="0.3">
      <c r="G351" s="23"/>
      <c r="H351"/>
      <c r="I351" s="19"/>
      <c r="J351" s="19"/>
      <c r="K351" s="19"/>
      <c r="L351" s="19"/>
      <c r="M351" s="19"/>
      <c r="N351" s="19"/>
    </row>
    <row r="352" spans="7:14" x14ac:dyDescent="0.3">
      <c r="G352" s="23"/>
      <c r="H352"/>
      <c r="I352" s="19"/>
      <c r="J352" s="19"/>
      <c r="K352" s="19"/>
      <c r="L352" s="19"/>
      <c r="M352" s="19"/>
      <c r="N352" s="19"/>
    </row>
    <row r="353" spans="7:14" x14ac:dyDescent="0.3">
      <c r="G353" s="23"/>
      <c r="H353"/>
      <c r="I353" s="19"/>
      <c r="J353" s="19"/>
      <c r="K353" s="19"/>
      <c r="L353" s="19"/>
      <c r="M353" s="19"/>
      <c r="N353" s="19"/>
    </row>
    <row r="354" spans="7:14" x14ac:dyDescent="0.3">
      <c r="G354" s="23"/>
      <c r="H354"/>
      <c r="I354" s="19"/>
      <c r="J354" s="19"/>
      <c r="K354" s="19"/>
      <c r="L354" s="19"/>
      <c r="M354" s="19"/>
      <c r="N354" s="19"/>
    </row>
    <row r="355" spans="7:14" x14ac:dyDescent="0.3">
      <c r="G355" s="23"/>
      <c r="H355"/>
      <c r="I355" s="19"/>
      <c r="J355" s="19"/>
      <c r="K355" s="19"/>
      <c r="L355" s="19"/>
      <c r="M355" s="19"/>
      <c r="N355" s="19"/>
    </row>
    <row r="356" spans="7:14" x14ac:dyDescent="0.3">
      <c r="G356" s="23"/>
      <c r="H356"/>
      <c r="I356" s="19"/>
      <c r="J356" s="19"/>
      <c r="K356" s="19"/>
      <c r="L356" s="19"/>
      <c r="M356" s="19"/>
      <c r="N356" s="19"/>
    </row>
    <row r="357" spans="7:14" x14ac:dyDescent="0.3">
      <c r="G357" s="23"/>
      <c r="H357"/>
      <c r="I357" s="19"/>
      <c r="J357" s="19"/>
      <c r="K357" s="19"/>
      <c r="L357" s="19"/>
      <c r="M357" s="19"/>
      <c r="N357" s="19"/>
    </row>
    <row r="358" spans="7:14" x14ac:dyDescent="0.3">
      <c r="G358" s="23"/>
      <c r="H358"/>
      <c r="I358" s="19"/>
      <c r="J358" s="19"/>
      <c r="K358" s="19"/>
      <c r="L358" s="19"/>
      <c r="M358" s="19"/>
      <c r="N358" s="19"/>
    </row>
    <row r="359" spans="7:14" x14ac:dyDescent="0.3">
      <c r="G359" s="23"/>
      <c r="H359"/>
      <c r="I359" s="19"/>
      <c r="J359" s="19"/>
      <c r="K359" s="19"/>
      <c r="L359" s="19"/>
      <c r="M359" s="19"/>
      <c r="N359" s="19"/>
    </row>
    <row r="360" spans="7:14" x14ac:dyDescent="0.3">
      <c r="G360" s="23"/>
      <c r="H360"/>
      <c r="I360" s="19"/>
      <c r="J360" s="19"/>
      <c r="K360" s="19"/>
      <c r="L360" s="19"/>
      <c r="M360" s="19"/>
      <c r="N360" s="19"/>
    </row>
    <row r="361" spans="7:14" x14ac:dyDescent="0.3">
      <c r="G361" s="23"/>
      <c r="H361"/>
      <c r="I361" s="19"/>
      <c r="J361" s="19"/>
      <c r="K361" s="19"/>
      <c r="L361" s="19"/>
      <c r="M361" s="19"/>
      <c r="N361" s="19"/>
    </row>
    <row r="362" spans="7:14" x14ac:dyDescent="0.3">
      <c r="G362" s="40"/>
      <c r="H362" s="19"/>
      <c r="I362" s="19"/>
      <c r="J362" s="19"/>
      <c r="K362" s="19"/>
      <c r="L362" s="19"/>
      <c r="M362" s="19"/>
      <c r="N362" s="19"/>
    </row>
    <row r="363" spans="7:14" x14ac:dyDescent="0.3">
      <c r="G363" s="40"/>
      <c r="H363" s="19"/>
      <c r="I363" s="19"/>
      <c r="J363" s="19"/>
      <c r="K363" s="19"/>
      <c r="L363" s="19"/>
      <c r="M363" s="19"/>
      <c r="N363" s="19"/>
    </row>
    <row r="364" spans="7:14" x14ac:dyDescent="0.3">
      <c r="G364" s="40"/>
      <c r="H364" s="19"/>
      <c r="I364" s="19"/>
      <c r="J364" s="19"/>
      <c r="K364" s="19"/>
      <c r="L364" s="19"/>
      <c r="M364" s="19"/>
      <c r="N364" s="19"/>
    </row>
    <row r="365" spans="7:14" x14ac:dyDescent="0.3">
      <c r="G365" s="40"/>
      <c r="H365" s="19"/>
      <c r="I365" s="19"/>
      <c r="J365" s="19"/>
      <c r="K365" s="19"/>
      <c r="L365" s="19"/>
      <c r="M365" s="19"/>
      <c r="N365" s="19"/>
    </row>
    <row r="366" spans="7:14" x14ac:dyDescent="0.3">
      <c r="G366" s="40"/>
      <c r="H366" s="19"/>
      <c r="I366" s="19"/>
      <c r="J366" s="19"/>
      <c r="K366" s="19"/>
      <c r="L366" s="19"/>
      <c r="M366" s="19"/>
      <c r="N366" s="19"/>
    </row>
    <row r="367" spans="7:14" x14ac:dyDescent="0.3">
      <c r="G367" s="40"/>
      <c r="H367" s="19"/>
      <c r="I367" s="19"/>
      <c r="J367" s="19"/>
      <c r="K367" s="19"/>
      <c r="L367" s="19"/>
      <c r="M367" s="19"/>
      <c r="N367" s="19"/>
    </row>
    <row r="368" spans="7:14" x14ac:dyDescent="0.3">
      <c r="G368" s="40"/>
      <c r="H368" s="19"/>
      <c r="I368" s="19"/>
      <c r="J368" s="19"/>
      <c r="K368" s="19"/>
      <c r="L368" s="19"/>
      <c r="M368" s="19"/>
      <c r="N368" s="19"/>
    </row>
    <row r="369" spans="7:14" x14ac:dyDescent="0.3">
      <c r="G369" s="40"/>
      <c r="H369" s="19"/>
      <c r="I369" s="19"/>
      <c r="J369" s="19"/>
      <c r="K369" s="19"/>
      <c r="L369" s="19"/>
      <c r="M369" s="19"/>
      <c r="N369" s="19"/>
    </row>
    <row r="370" spans="7:14" x14ac:dyDescent="0.3">
      <c r="G370" s="40"/>
      <c r="H370" s="19"/>
      <c r="I370" s="19"/>
      <c r="J370" s="19"/>
      <c r="K370" s="19"/>
      <c r="L370" s="19"/>
      <c r="M370" s="19"/>
      <c r="N370" s="19"/>
    </row>
    <row r="371" spans="7:14" x14ac:dyDescent="0.3">
      <c r="G371" s="40"/>
      <c r="H371" s="19"/>
      <c r="I371" s="19"/>
      <c r="J371" s="19"/>
      <c r="K371" s="19"/>
      <c r="L371" s="19"/>
      <c r="M371" s="19"/>
      <c r="N371" s="19"/>
    </row>
    <row r="372" spans="7:14" x14ac:dyDescent="0.3">
      <c r="G372" s="40"/>
      <c r="H372" s="19"/>
      <c r="I372" s="19"/>
      <c r="J372" s="19"/>
      <c r="K372" s="19"/>
      <c r="L372" s="19"/>
      <c r="M372" s="19"/>
      <c r="N372" s="19"/>
    </row>
    <row r="373" spans="7:14" x14ac:dyDescent="0.3">
      <c r="G373" s="40"/>
      <c r="H373" s="19"/>
      <c r="I373" s="19"/>
      <c r="J373" s="19"/>
      <c r="K373" s="19"/>
      <c r="L373" s="19"/>
      <c r="M373" s="19"/>
      <c r="N373" s="19"/>
    </row>
    <row r="374" spans="7:14" x14ac:dyDescent="0.3">
      <c r="G374" s="40"/>
      <c r="H374" s="19"/>
      <c r="I374" s="19"/>
      <c r="J374" s="19"/>
      <c r="K374" s="19"/>
      <c r="L374" s="19"/>
      <c r="M374" s="19"/>
      <c r="N374" s="19"/>
    </row>
    <row r="375" spans="7:14" x14ac:dyDescent="0.3">
      <c r="G375" s="40"/>
      <c r="H375" s="19"/>
      <c r="I375" s="19"/>
      <c r="J375" s="19"/>
      <c r="K375" s="19"/>
      <c r="L375" s="19"/>
      <c r="M375" s="19"/>
      <c r="N375" s="19"/>
    </row>
    <row r="376" spans="7:14" x14ac:dyDescent="0.3">
      <c r="G376" s="40"/>
      <c r="H376" s="19"/>
      <c r="I376" s="19"/>
      <c r="J376" s="19"/>
      <c r="K376" s="19"/>
      <c r="L376" s="19"/>
      <c r="M376" s="19"/>
      <c r="N376" s="19"/>
    </row>
    <row r="377" spans="7:14" x14ac:dyDescent="0.3">
      <c r="G377" s="40"/>
      <c r="H377" s="19"/>
      <c r="I377" s="19"/>
      <c r="J377" s="19"/>
      <c r="K377" s="19"/>
      <c r="L377" s="19"/>
      <c r="M377" s="19"/>
      <c r="N377" s="19"/>
    </row>
    <row r="378" spans="7:14" x14ac:dyDescent="0.3">
      <c r="G378" s="40"/>
      <c r="H378" s="19"/>
      <c r="I378" s="19"/>
      <c r="J378" s="19"/>
      <c r="K378" s="19"/>
      <c r="L378" s="19"/>
      <c r="M378" s="19"/>
      <c r="N378" s="19"/>
    </row>
    <row r="379" spans="7:14" x14ac:dyDescent="0.3">
      <c r="G379" s="40"/>
      <c r="H379" s="19"/>
      <c r="I379" s="19"/>
      <c r="J379" s="19"/>
      <c r="K379" s="19"/>
      <c r="L379" s="19"/>
      <c r="M379" s="19"/>
      <c r="N379" s="19"/>
    </row>
    <row r="380" spans="7:14" x14ac:dyDescent="0.3">
      <c r="G380" s="40"/>
      <c r="H380" s="19"/>
      <c r="I380" s="19"/>
      <c r="J380" s="19"/>
      <c r="K380" s="19"/>
      <c r="L380" s="19"/>
      <c r="M380" s="19"/>
      <c r="N380" s="19"/>
    </row>
    <row r="381" spans="7:14" x14ac:dyDescent="0.3">
      <c r="G381" s="40"/>
      <c r="H381" s="19"/>
      <c r="I381" s="19"/>
      <c r="J381" s="19"/>
      <c r="K381" s="19"/>
      <c r="L381" s="19"/>
      <c r="M381" s="19"/>
      <c r="N381" s="19"/>
    </row>
    <row r="382" spans="7:14" x14ac:dyDescent="0.3">
      <c r="G382" s="40"/>
      <c r="H382" s="19"/>
      <c r="I382" s="19"/>
      <c r="J382" s="19"/>
      <c r="K382" s="19"/>
      <c r="L382" s="19"/>
      <c r="M382" s="19"/>
      <c r="N382" s="19"/>
    </row>
    <row r="383" spans="7:14" x14ac:dyDescent="0.3">
      <c r="G383" s="40"/>
      <c r="H383" s="19"/>
      <c r="I383" s="19"/>
      <c r="J383" s="19"/>
      <c r="K383" s="19"/>
      <c r="L383" s="19"/>
      <c r="M383" s="19"/>
      <c r="N383" s="19"/>
    </row>
    <row r="384" spans="7:14" x14ac:dyDescent="0.3">
      <c r="G384" s="40"/>
      <c r="H384" s="19"/>
      <c r="I384" s="19"/>
      <c r="J384" s="19"/>
      <c r="K384" s="19"/>
      <c r="L384" s="19"/>
      <c r="M384" s="19"/>
      <c r="N384" s="19"/>
    </row>
    <row r="385" spans="7:14" x14ac:dyDescent="0.3">
      <c r="G385" s="40"/>
      <c r="H385" s="19"/>
      <c r="I385" s="19"/>
      <c r="J385" s="19"/>
      <c r="K385" s="19"/>
      <c r="L385" s="19"/>
      <c r="M385" s="19"/>
      <c r="N385" s="19"/>
    </row>
    <row r="386" spans="7:14" x14ac:dyDescent="0.3">
      <c r="G386" s="40"/>
      <c r="H386" s="19"/>
      <c r="I386" s="19"/>
      <c r="J386" s="19"/>
      <c r="K386" s="19"/>
      <c r="L386" s="19"/>
      <c r="M386" s="19"/>
      <c r="N386" s="19"/>
    </row>
    <row r="387" spans="7:14" x14ac:dyDescent="0.3">
      <c r="G387" s="40"/>
      <c r="H387" s="19"/>
      <c r="I387" s="19"/>
      <c r="J387" s="19"/>
      <c r="K387" s="19"/>
      <c r="L387" s="19"/>
      <c r="M387" s="19"/>
      <c r="N387" s="19"/>
    </row>
    <row r="388" spans="7:14" x14ac:dyDescent="0.3">
      <c r="G388" s="40"/>
      <c r="H388" s="19"/>
      <c r="I388" s="19"/>
      <c r="J388" s="19"/>
      <c r="K388" s="19"/>
      <c r="L388" s="19"/>
      <c r="M388" s="19"/>
      <c r="N388" s="19"/>
    </row>
    <row r="389" spans="7:14" x14ac:dyDescent="0.3">
      <c r="G389" s="40"/>
      <c r="H389" s="19"/>
      <c r="I389" s="19"/>
      <c r="J389" s="19"/>
      <c r="K389" s="19"/>
      <c r="L389" s="19"/>
      <c r="M389" s="19"/>
      <c r="N389" s="19"/>
    </row>
    <row r="390" spans="7:14" x14ac:dyDescent="0.3">
      <c r="G390" s="40"/>
      <c r="H390" s="19"/>
      <c r="I390" s="19"/>
      <c r="J390" s="19"/>
      <c r="K390" s="19"/>
      <c r="L390" s="19"/>
      <c r="M390" s="19"/>
      <c r="N390" s="19"/>
    </row>
    <row r="391" spans="7:14" x14ac:dyDescent="0.3">
      <c r="G391" s="40"/>
      <c r="H391" s="19"/>
      <c r="I391" s="19"/>
      <c r="J391" s="19"/>
      <c r="K391" s="19"/>
      <c r="L391" s="19"/>
      <c r="M391" s="19"/>
      <c r="N391" s="19"/>
    </row>
    <row r="392" spans="7:14" x14ac:dyDescent="0.3">
      <c r="G392" s="40"/>
      <c r="H392" s="19"/>
      <c r="I392" s="19"/>
      <c r="J392" s="19"/>
      <c r="K392" s="19"/>
      <c r="L392" s="19"/>
      <c r="M392" s="19"/>
      <c r="N392" s="19"/>
    </row>
    <row r="393" spans="7:14" x14ac:dyDescent="0.3">
      <c r="G393" s="40"/>
      <c r="H393" s="19"/>
      <c r="I393" s="19"/>
      <c r="J393" s="19"/>
      <c r="K393" s="19"/>
      <c r="L393" s="19"/>
      <c r="M393" s="19"/>
      <c r="N393" s="19"/>
    </row>
    <row r="394" spans="7:14" x14ac:dyDescent="0.3">
      <c r="G394" s="40"/>
      <c r="H394" s="19"/>
      <c r="I394" s="19"/>
      <c r="J394" s="19"/>
      <c r="K394" s="19"/>
      <c r="L394" s="19"/>
      <c r="M394" s="19"/>
      <c r="N394" s="19"/>
    </row>
    <row r="395" spans="7:14" x14ac:dyDescent="0.3">
      <c r="G395" s="40"/>
      <c r="H395" s="19"/>
      <c r="I395" s="19"/>
      <c r="J395" s="19"/>
      <c r="K395" s="19"/>
      <c r="L395" s="19"/>
      <c r="M395" s="19"/>
      <c r="N395" s="19"/>
    </row>
    <row r="396" spans="7:14" x14ac:dyDescent="0.3">
      <c r="G396" s="40"/>
      <c r="H396" s="19"/>
      <c r="I396" s="19"/>
      <c r="J396" s="19"/>
      <c r="K396" s="19"/>
      <c r="L396" s="19"/>
      <c r="M396" s="19"/>
      <c r="N396" s="19"/>
    </row>
    <row r="397" spans="7:14" x14ac:dyDescent="0.3">
      <c r="G397" s="40"/>
      <c r="H397" s="19"/>
      <c r="I397" s="19"/>
      <c r="J397" s="19"/>
      <c r="K397" s="19"/>
      <c r="L397" s="19"/>
      <c r="M397" s="19"/>
      <c r="N397" s="19"/>
    </row>
    <row r="398" spans="7:14" x14ac:dyDescent="0.3">
      <c r="G398" s="40"/>
      <c r="H398" s="19"/>
      <c r="I398" s="19"/>
      <c r="J398" s="19"/>
      <c r="K398" s="19"/>
      <c r="L398" s="19"/>
      <c r="M398" s="19"/>
      <c r="N398" s="19"/>
    </row>
    <row r="399" spans="7:14" x14ac:dyDescent="0.3">
      <c r="G399" s="40"/>
      <c r="H399" s="19"/>
      <c r="I399" s="19"/>
      <c r="J399" s="19"/>
      <c r="K399" s="19"/>
      <c r="L399" s="19"/>
      <c r="M399" s="19"/>
      <c r="N399" s="19"/>
    </row>
    <row r="400" spans="7:14" x14ac:dyDescent="0.3">
      <c r="G400" s="40"/>
      <c r="H400" s="19"/>
      <c r="I400" s="19"/>
      <c r="J400" s="19"/>
      <c r="K400" s="19"/>
      <c r="L400" s="19"/>
      <c r="M400" s="19"/>
      <c r="N400" s="19"/>
    </row>
    <row r="401" spans="7:14" x14ac:dyDescent="0.3">
      <c r="G401" s="40"/>
      <c r="H401" s="19"/>
      <c r="I401" s="19"/>
      <c r="J401" s="19"/>
      <c r="K401" s="19"/>
      <c r="L401" s="19"/>
      <c r="M401" s="19"/>
      <c r="N401" s="19"/>
    </row>
    <row r="402" spans="7:14" x14ac:dyDescent="0.3">
      <c r="G402" s="40"/>
      <c r="H402" s="19"/>
      <c r="I402" s="19"/>
      <c r="J402" s="19"/>
      <c r="K402" s="19"/>
      <c r="L402" s="19"/>
      <c r="M402" s="19"/>
      <c r="N402" s="19"/>
    </row>
    <row r="403" spans="7:14" x14ac:dyDescent="0.3">
      <c r="G403" s="40"/>
      <c r="H403" s="19"/>
      <c r="I403" s="19"/>
      <c r="J403" s="19"/>
      <c r="K403" s="19"/>
      <c r="L403" s="19"/>
      <c r="M403" s="19"/>
      <c r="N403" s="19"/>
    </row>
    <row r="404" spans="7:14" x14ac:dyDescent="0.3">
      <c r="G404" s="40"/>
      <c r="H404" s="19"/>
      <c r="I404" s="19"/>
      <c r="J404" s="19"/>
      <c r="K404" s="19"/>
      <c r="L404" s="19"/>
      <c r="M404" s="19"/>
      <c r="N404" s="19"/>
    </row>
    <row r="405" spans="7:14" x14ac:dyDescent="0.3">
      <c r="G405" s="40"/>
      <c r="H405" s="19"/>
      <c r="I405" s="19"/>
      <c r="J405" s="19"/>
      <c r="K405" s="19"/>
      <c r="L405" s="19"/>
      <c r="M405" s="19"/>
      <c r="N405" s="19"/>
    </row>
    <row r="406" spans="7:14" x14ac:dyDescent="0.3">
      <c r="G406" s="40"/>
      <c r="H406" s="19"/>
      <c r="I406" s="19"/>
      <c r="J406" s="19"/>
      <c r="K406" s="19"/>
      <c r="L406" s="19"/>
      <c r="M406" s="19"/>
      <c r="N406" s="19"/>
    </row>
    <row r="407" spans="7:14" x14ac:dyDescent="0.3">
      <c r="G407" s="40"/>
      <c r="H407" s="19"/>
      <c r="I407" s="19"/>
      <c r="J407" s="19"/>
      <c r="K407" s="19"/>
      <c r="L407" s="19"/>
      <c r="M407" s="19"/>
      <c r="N407" s="19"/>
    </row>
    <row r="408" spans="7:14" x14ac:dyDescent="0.3">
      <c r="G408" s="40"/>
      <c r="H408" s="19"/>
      <c r="I408" s="19"/>
      <c r="J408" s="19"/>
      <c r="K408" s="19"/>
      <c r="L408" s="19"/>
      <c r="M408" s="19"/>
      <c r="N408" s="19"/>
    </row>
    <row r="409" spans="7:14" x14ac:dyDescent="0.3">
      <c r="G409" s="40"/>
      <c r="H409" s="19"/>
      <c r="I409" s="19"/>
      <c r="J409" s="19"/>
      <c r="K409" s="19"/>
      <c r="L409" s="19"/>
      <c r="M409" s="19"/>
      <c r="N409" s="19"/>
    </row>
    <row r="410" spans="7:14" x14ac:dyDescent="0.3">
      <c r="G410" s="40"/>
      <c r="H410" s="19"/>
      <c r="I410" s="19"/>
      <c r="J410" s="19"/>
      <c r="K410" s="19"/>
      <c r="L410" s="19"/>
      <c r="M410" s="19"/>
      <c r="N410" s="19"/>
    </row>
    <row r="411" spans="7:14" x14ac:dyDescent="0.3">
      <c r="G411" s="40"/>
      <c r="H411" s="19"/>
      <c r="I411" s="19"/>
      <c r="J411" s="19"/>
      <c r="K411" s="19"/>
      <c r="L411" s="19"/>
      <c r="M411" s="19"/>
      <c r="N411" s="19"/>
    </row>
    <row r="412" spans="7:14" x14ac:dyDescent="0.3">
      <c r="G412" s="40"/>
      <c r="H412" s="19"/>
      <c r="I412" s="19"/>
      <c r="J412" s="19"/>
      <c r="K412" s="19"/>
      <c r="L412" s="19"/>
      <c r="M412" s="19"/>
      <c r="N412" s="19"/>
    </row>
    <row r="413" spans="7:14" x14ac:dyDescent="0.3">
      <c r="G413" s="40"/>
      <c r="H413" s="19"/>
      <c r="I413" s="19"/>
      <c r="J413" s="19"/>
      <c r="K413" s="19"/>
      <c r="L413" s="19"/>
      <c r="M413" s="19"/>
      <c r="N413" s="19"/>
    </row>
    <row r="414" spans="7:14" x14ac:dyDescent="0.3">
      <c r="G414" s="40"/>
      <c r="H414" s="19"/>
      <c r="I414" s="19"/>
      <c r="J414" s="19"/>
      <c r="K414" s="19"/>
      <c r="L414" s="19"/>
      <c r="M414" s="19"/>
      <c r="N414" s="19"/>
    </row>
    <row r="415" spans="7:14" x14ac:dyDescent="0.3">
      <c r="G415" s="40"/>
      <c r="H415" s="19"/>
      <c r="I415" s="19"/>
      <c r="J415" s="19"/>
      <c r="K415" s="19"/>
      <c r="L415" s="19"/>
      <c r="M415" s="19"/>
      <c r="N415" s="19"/>
    </row>
    <row r="416" spans="7:14" x14ac:dyDescent="0.3">
      <c r="G416" s="40"/>
      <c r="H416" s="19"/>
      <c r="I416" s="19"/>
      <c r="J416" s="19"/>
      <c r="K416" s="19"/>
      <c r="L416" s="19"/>
      <c r="M416" s="19"/>
      <c r="N416" s="19"/>
    </row>
    <row r="417" spans="7:14" x14ac:dyDescent="0.3">
      <c r="G417" s="40"/>
      <c r="H417" s="19"/>
      <c r="I417" s="19"/>
      <c r="J417" s="19"/>
      <c r="K417" s="19"/>
      <c r="L417" s="19"/>
      <c r="M417" s="19"/>
      <c r="N417" s="19"/>
    </row>
    <row r="418" spans="7:14" x14ac:dyDescent="0.3">
      <c r="G418" s="40"/>
      <c r="H418" s="19"/>
      <c r="I418" s="19"/>
      <c r="J418" s="19"/>
      <c r="K418" s="19"/>
      <c r="L418" s="19"/>
      <c r="M418" s="19"/>
      <c r="N418" s="19"/>
    </row>
    <row r="419" spans="7:14" x14ac:dyDescent="0.3">
      <c r="G419" s="40"/>
      <c r="H419" s="19"/>
      <c r="I419" s="19"/>
      <c r="J419" s="19"/>
      <c r="K419" s="19"/>
      <c r="L419" s="19"/>
      <c r="M419" s="19"/>
      <c r="N419" s="19"/>
    </row>
    <row r="420" spans="7:14" x14ac:dyDescent="0.3">
      <c r="G420" s="40"/>
      <c r="H420" s="19"/>
      <c r="I420" s="19"/>
      <c r="J420" s="19"/>
      <c r="K420" s="19"/>
      <c r="L420" s="19"/>
      <c r="M420" s="19"/>
      <c r="N420" s="19"/>
    </row>
    <row r="421" spans="7:14" x14ac:dyDescent="0.3">
      <c r="G421" s="40"/>
      <c r="H421" s="19"/>
      <c r="I421" s="19"/>
      <c r="J421" s="19"/>
      <c r="K421" s="19"/>
      <c r="L421" s="19"/>
      <c r="M421" s="19"/>
      <c r="N421" s="19"/>
    </row>
    <row r="422" spans="7:14" x14ac:dyDescent="0.3">
      <c r="G422" s="40"/>
      <c r="H422" s="19"/>
      <c r="I422" s="19"/>
      <c r="J422" s="19"/>
      <c r="K422" s="19"/>
      <c r="L422" s="19"/>
      <c r="M422" s="19"/>
      <c r="N422" s="19"/>
    </row>
    <row r="423" spans="7:14" x14ac:dyDescent="0.3">
      <c r="G423" s="40"/>
      <c r="H423" s="19"/>
      <c r="I423" s="19"/>
      <c r="J423" s="19"/>
      <c r="K423" s="19"/>
      <c r="L423" s="19"/>
      <c r="M423" s="19"/>
      <c r="N423" s="19"/>
    </row>
    <row r="424" spans="7:14" x14ac:dyDescent="0.3">
      <c r="G424" s="40"/>
      <c r="H424" s="19"/>
      <c r="I424" s="19"/>
      <c r="J424" s="19"/>
      <c r="K424" s="19"/>
      <c r="L424" s="19"/>
      <c r="M424" s="19"/>
      <c r="N424" s="19"/>
    </row>
    <row r="425" spans="7:14" x14ac:dyDescent="0.3">
      <c r="G425" s="40"/>
      <c r="H425" s="19"/>
      <c r="I425" s="19"/>
      <c r="J425" s="19"/>
      <c r="K425" s="19"/>
      <c r="L425" s="19"/>
      <c r="M425" s="19"/>
      <c r="N425" s="19"/>
    </row>
    <row r="426" spans="7:14" x14ac:dyDescent="0.3">
      <c r="G426" s="40"/>
      <c r="H426" s="19"/>
      <c r="I426" s="19"/>
      <c r="J426" s="19"/>
      <c r="K426" s="19"/>
      <c r="L426" s="19"/>
      <c r="M426" s="19"/>
      <c r="N426" s="19"/>
    </row>
    <row r="427" spans="7:14" x14ac:dyDescent="0.3">
      <c r="G427" s="40"/>
      <c r="H427" s="19"/>
      <c r="I427" s="19"/>
      <c r="J427" s="19"/>
      <c r="K427" s="19"/>
      <c r="L427" s="19"/>
      <c r="M427" s="19"/>
      <c r="N427" s="19"/>
    </row>
    <row r="428" spans="7:14" x14ac:dyDescent="0.3">
      <c r="G428" s="40"/>
      <c r="H428" s="19"/>
      <c r="I428" s="19"/>
      <c r="J428" s="19"/>
      <c r="K428" s="19"/>
      <c r="L428" s="19"/>
      <c r="M428" s="19"/>
      <c r="N428" s="19"/>
    </row>
    <row r="429" spans="7:14" x14ac:dyDescent="0.3">
      <c r="G429" s="40"/>
      <c r="H429" s="19"/>
      <c r="I429" s="19"/>
      <c r="J429" s="19"/>
      <c r="K429" s="19"/>
      <c r="L429" s="19"/>
      <c r="M429" s="19"/>
      <c r="N429" s="19"/>
    </row>
    <row r="430" spans="7:14" x14ac:dyDescent="0.3">
      <c r="G430" s="40"/>
      <c r="H430" s="19"/>
      <c r="I430" s="19"/>
      <c r="J430" s="19"/>
      <c r="K430" s="19"/>
      <c r="L430" s="19"/>
      <c r="M430" s="19"/>
      <c r="N430" s="19"/>
    </row>
    <row r="431" spans="7:14" x14ac:dyDescent="0.3">
      <c r="G431" s="40"/>
      <c r="H431" s="19"/>
      <c r="I431" s="19"/>
      <c r="J431" s="19"/>
      <c r="K431" s="19"/>
      <c r="L431" s="19"/>
      <c r="M431" s="19"/>
      <c r="N431" s="19"/>
    </row>
    <row r="432" spans="7:14" x14ac:dyDescent="0.3">
      <c r="G432" s="40"/>
      <c r="H432" s="19"/>
      <c r="I432" s="19"/>
      <c r="J432" s="19"/>
      <c r="K432" s="19"/>
      <c r="L432" s="19"/>
      <c r="M432" s="19"/>
      <c r="N432" s="19"/>
    </row>
    <row r="433" spans="7:14" x14ac:dyDescent="0.3">
      <c r="G433" s="40"/>
      <c r="H433" s="19"/>
      <c r="I433" s="19"/>
      <c r="J433" s="19"/>
      <c r="K433" s="19"/>
      <c r="L433" s="19"/>
      <c r="M433" s="19"/>
      <c r="N433" s="19"/>
    </row>
    <row r="434" spans="7:14" x14ac:dyDescent="0.3">
      <c r="G434" s="40"/>
      <c r="H434" s="19"/>
      <c r="I434" s="19"/>
      <c r="J434" s="19"/>
      <c r="K434" s="19"/>
      <c r="L434" s="19"/>
      <c r="M434" s="19"/>
      <c r="N434" s="19"/>
    </row>
    <row r="435" spans="7:14" x14ac:dyDescent="0.3">
      <c r="G435" s="40"/>
      <c r="H435" s="19"/>
      <c r="I435" s="19"/>
      <c r="J435" s="19"/>
      <c r="K435" s="19"/>
      <c r="L435" s="19"/>
      <c r="M435" s="19"/>
      <c r="N435" s="19"/>
    </row>
    <row r="436" spans="7:14" x14ac:dyDescent="0.3">
      <c r="G436" s="40"/>
      <c r="H436" s="19"/>
      <c r="I436" s="19"/>
      <c r="J436" s="19"/>
      <c r="K436" s="19"/>
      <c r="L436" s="19"/>
      <c r="M436" s="19"/>
      <c r="N436" s="19"/>
    </row>
    <row r="437" spans="7:14" x14ac:dyDescent="0.3">
      <c r="G437" s="40"/>
      <c r="H437" s="19"/>
      <c r="I437" s="19"/>
      <c r="J437" s="19"/>
      <c r="K437" s="19"/>
      <c r="L437" s="19"/>
      <c r="M437" s="19"/>
      <c r="N437" s="19"/>
    </row>
    <row r="438" spans="7:14" x14ac:dyDescent="0.3">
      <c r="G438" s="40"/>
      <c r="H438" s="19"/>
      <c r="I438" s="19"/>
      <c r="J438" s="19"/>
      <c r="K438" s="19"/>
      <c r="L438" s="19"/>
      <c r="M438" s="19"/>
      <c r="N438" s="19"/>
    </row>
    <row r="439" spans="7:14" x14ac:dyDescent="0.3">
      <c r="G439" s="40"/>
      <c r="H439" s="19"/>
      <c r="I439" s="19"/>
      <c r="J439" s="19"/>
      <c r="K439" s="19"/>
      <c r="L439" s="19"/>
      <c r="M439" s="19"/>
      <c r="N439" s="19"/>
    </row>
    <row r="440" spans="7:14" x14ac:dyDescent="0.3">
      <c r="G440" s="40"/>
      <c r="H440" s="19"/>
      <c r="I440" s="19"/>
      <c r="J440" s="19"/>
      <c r="K440" s="19"/>
      <c r="L440" s="19"/>
      <c r="M440" s="19"/>
      <c r="N440" s="19"/>
    </row>
    <row r="441" spans="7:14" x14ac:dyDescent="0.3">
      <c r="G441" s="40"/>
      <c r="H441" s="19"/>
      <c r="I441" s="19"/>
      <c r="J441" s="19"/>
      <c r="K441" s="19"/>
      <c r="L441" s="19"/>
      <c r="M441" s="19"/>
      <c r="N441" s="19"/>
    </row>
    <row r="442" spans="7:14" x14ac:dyDescent="0.3">
      <c r="G442" s="40"/>
      <c r="H442" s="19"/>
      <c r="I442" s="19"/>
      <c r="J442" s="19"/>
      <c r="K442" s="19"/>
      <c r="L442" s="19"/>
      <c r="M442" s="19"/>
      <c r="N442" s="19"/>
    </row>
    <row r="443" spans="7:14" x14ac:dyDescent="0.3">
      <c r="G443" s="40"/>
      <c r="H443" s="19"/>
      <c r="I443" s="19"/>
      <c r="J443" s="19"/>
      <c r="K443" s="19"/>
      <c r="L443" s="19"/>
      <c r="M443" s="19"/>
      <c r="N443" s="19"/>
    </row>
    <row r="444" spans="7:14" x14ac:dyDescent="0.3">
      <c r="G444" s="40"/>
      <c r="H444" s="19"/>
      <c r="I444" s="19"/>
      <c r="J444" s="19"/>
      <c r="K444" s="19"/>
      <c r="L444" s="19"/>
      <c r="M444" s="19"/>
      <c r="N444" s="19"/>
    </row>
    <row r="445" spans="7:14" x14ac:dyDescent="0.3">
      <c r="G445" s="40"/>
      <c r="H445" s="19"/>
      <c r="I445" s="19"/>
      <c r="J445" s="19"/>
      <c r="K445" s="19"/>
      <c r="L445" s="19"/>
      <c r="M445" s="19"/>
      <c r="N445" s="19"/>
    </row>
    <row r="446" spans="7:14" x14ac:dyDescent="0.3">
      <c r="G446" s="40"/>
      <c r="H446" s="19"/>
      <c r="I446" s="19"/>
      <c r="J446" s="19"/>
      <c r="K446" s="19"/>
      <c r="L446" s="19"/>
      <c r="M446" s="19"/>
      <c r="N446" s="19"/>
    </row>
    <row r="447" spans="7:14" x14ac:dyDescent="0.3">
      <c r="G447" s="40"/>
      <c r="H447" s="19"/>
      <c r="I447" s="19"/>
      <c r="J447" s="19"/>
      <c r="K447" s="19"/>
      <c r="L447" s="19"/>
      <c r="M447" s="19"/>
      <c r="N447" s="19"/>
    </row>
    <row r="448" spans="7:14" x14ac:dyDescent="0.3">
      <c r="G448" s="40"/>
      <c r="H448" s="19"/>
      <c r="I448" s="19"/>
      <c r="J448" s="19"/>
      <c r="K448" s="19"/>
      <c r="L448" s="19"/>
      <c r="M448" s="19"/>
      <c r="N448" s="19"/>
    </row>
    <row r="449" spans="7:14" x14ac:dyDescent="0.3">
      <c r="G449" s="40"/>
      <c r="H449" s="19"/>
      <c r="I449" s="19"/>
      <c r="J449" s="19"/>
      <c r="K449" s="19"/>
      <c r="L449" s="19"/>
      <c r="M449" s="19"/>
      <c r="N449" s="19"/>
    </row>
    <row r="450" spans="7:14" x14ac:dyDescent="0.3">
      <c r="G450" s="40"/>
      <c r="H450" s="19"/>
      <c r="I450" s="19"/>
      <c r="J450" s="19"/>
      <c r="K450" s="19"/>
      <c r="L450" s="19"/>
      <c r="M450" s="19"/>
      <c r="N450" s="19"/>
    </row>
    <row r="451" spans="7:14" x14ac:dyDescent="0.3">
      <c r="G451" s="40"/>
      <c r="H451" s="19"/>
      <c r="I451" s="19"/>
      <c r="J451" s="19"/>
      <c r="K451" s="19"/>
      <c r="L451" s="19"/>
      <c r="M451" s="19"/>
      <c r="N451" s="19"/>
    </row>
    <row r="452" spans="7:14" x14ac:dyDescent="0.3">
      <c r="G452" s="40"/>
      <c r="H452" s="19"/>
      <c r="I452" s="19"/>
      <c r="J452" s="19"/>
      <c r="K452" s="19"/>
      <c r="L452" s="19"/>
      <c r="M452" s="19"/>
      <c r="N452" s="19"/>
    </row>
    <row r="453" spans="7:14" x14ac:dyDescent="0.3">
      <c r="G453" s="40"/>
      <c r="H453" s="19"/>
      <c r="I453" s="19"/>
      <c r="J453" s="19"/>
      <c r="K453" s="19"/>
      <c r="L453" s="19"/>
      <c r="M453" s="19"/>
      <c r="N453" s="19"/>
    </row>
    <row r="454" spans="7:14" x14ac:dyDescent="0.3">
      <c r="G454" s="40"/>
      <c r="H454" s="19"/>
      <c r="I454" s="19"/>
      <c r="J454" s="19"/>
      <c r="K454" s="19"/>
      <c r="L454" s="19"/>
      <c r="M454" s="19"/>
      <c r="N454" s="19"/>
    </row>
    <row r="455" spans="7:14" x14ac:dyDescent="0.3">
      <c r="G455" s="40"/>
      <c r="H455" s="19"/>
      <c r="I455" s="19"/>
      <c r="J455" s="19"/>
      <c r="K455" s="19"/>
      <c r="L455" s="19"/>
      <c r="M455" s="19"/>
      <c r="N455" s="19"/>
    </row>
    <row r="456" spans="7:14" x14ac:dyDescent="0.3">
      <c r="G456" s="40"/>
      <c r="H456" s="19"/>
      <c r="I456" s="19"/>
      <c r="J456" s="19"/>
      <c r="K456" s="19"/>
      <c r="L456" s="19"/>
      <c r="M456" s="19"/>
      <c r="N456" s="19"/>
    </row>
    <row r="457" spans="7:14" x14ac:dyDescent="0.3">
      <c r="G457" s="40"/>
      <c r="H457" s="19"/>
      <c r="I457" s="19"/>
      <c r="J457" s="19"/>
      <c r="K457" s="19"/>
      <c r="L457" s="19"/>
      <c r="M457" s="19"/>
      <c r="N457" s="19"/>
    </row>
    <row r="458" spans="7:14" x14ac:dyDescent="0.3">
      <c r="G458" s="40"/>
      <c r="H458" s="19"/>
      <c r="I458" s="19"/>
      <c r="J458" s="19"/>
      <c r="K458" s="19"/>
      <c r="L458" s="19"/>
      <c r="M458" s="19"/>
      <c r="N458" s="19"/>
    </row>
    <row r="459" spans="7:14" x14ac:dyDescent="0.3">
      <c r="G459" s="40"/>
      <c r="H459" s="19"/>
      <c r="I459" s="19"/>
      <c r="J459" s="19"/>
      <c r="K459" s="19"/>
      <c r="L459" s="19"/>
      <c r="M459" s="19"/>
      <c r="N459" s="19"/>
    </row>
    <row r="460" spans="7:14" x14ac:dyDescent="0.3">
      <c r="G460" s="40"/>
      <c r="H460" s="19"/>
      <c r="I460" s="19"/>
      <c r="J460" s="19"/>
      <c r="K460" s="19"/>
      <c r="L460" s="19"/>
      <c r="M460" s="19"/>
      <c r="N460" s="19"/>
    </row>
    <row r="461" spans="7:14" x14ac:dyDescent="0.3">
      <c r="G461" s="40"/>
      <c r="H461" s="19"/>
      <c r="I461" s="19"/>
      <c r="J461" s="19"/>
      <c r="K461" s="19"/>
      <c r="L461" s="19"/>
      <c r="M461" s="19"/>
      <c r="N461" s="19"/>
    </row>
    <row r="462" spans="7:14" x14ac:dyDescent="0.3">
      <c r="G462" s="40"/>
      <c r="H462" s="19"/>
      <c r="I462" s="19"/>
      <c r="J462" s="19"/>
      <c r="K462" s="19"/>
      <c r="L462" s="19"/>
      <c r="M462" s="19"/>
      <c r="N462" s="19"/>
    </row>
    <row r="463" spans="7:14" x14ac:dyDescent="0.3">
      <c r="G463" s="40"/>
      <c r="H463" s="19"/>
      <c r="I463" s="19"/>
      <c r="J463" s="19"/>
      <c r="K463" s="19"/>
      <c r="L463" s="19"/>
      <c r="M463" s="19"/>
      <c r="N463" s="19"/>
    </row>
    <row r="464" spans="7:14" x14ac:dyDescent="0.3">
      <c r="G464" s="40"/>
      <c r="H464" s="19"/>
      <c r="I464" s="19"/>
      <c r="J464" s="19"/>
      <c r="K464" s="19"/>
      <c r="L464" s="19"/>
      <c r="M464" s="19"/>
      <c r="N464" s="19"/>
    </row>
    <row r="465" spans="7:14" x14ac:dyDescent="0.3">
      <c r="G465" s="40"/>
      <c r="H465" s="19"/>
      <c r="I465" s="19"/>
      <c r="J465" s="19"/>
      <c r="K465" s="19"/>
      <c r="L465" s="19"/>
      <c r="M465" s="19"/>
      <c r="N465" s="19"/>
    </row>
    <row r="466" spans="7:14" x14ac:dyDescent="0.3">
      <c r="G466" s="40"/>
      <c r="H466" s="19"/>
      <c r="I466" s="19"/>
      <c r="J466" s="19"/>
      <c r="K466" s="19"/>
      <c r="L466" s="19"/>
      <c r="M466" s="19"/>
      <c r="N466" s="19"/>
    </row>
    <row r="467" spans="7:14" x14ac:dyDescent="0.3">
      <c r="G467" s="40"/>
      <c r="H467" s="19"/>
      <c r="I467" s="19"/>
      <c r="J467" s="19"/>
      <c r="K467" s="19"/>
      <c r="L467" s="19"/>
      <c r="M467" s="19"/>
      <c r="N467" s="19"/>
    </row>
    <row r="468" spans="7:14" x14ac:dyDescent="0.3">
      <c r="G468" s="40"/>
      <c r="H468" s="19"/>
      <c r="I468" s="19"/>
      <c r="J468" s="19"/>
      <c r="K468" s="19"/>
      <c r="L468" s="19"/>
      <c r="M468" s="19"/>
      <c r="N468" s="19"/>
    </row>
    <row r="469" spans="7:14" x14ac:dyDescent="0.3">
      <c r="G469" s="40"/>
      <c r="H469" s="19"/>
      <c r="I469" s="19"/>
      <c r="J469" s="19"/>
      <c r="K469" s="19"/>
      <c r="L469" s="19"/>
      <c r="M469" s="19"/>
      <c r="N469" s="19"/>
    </row>
    <row r="470" spans="7:14" x14ac:dyDescent="0.3">
      <c r="G470" s="40"/>
      <c r="H470" s="19"/>
      <c r="I470" s="19"/>
      <c r="J470" s="19"/>
      <c r="K470" s="19"/>
      <c r="L470" s="19"/>
      <c r="M470" s="19"/>
      <c r="N470" s="19"/>
    </row>
    <row r="471" spans="7:14" x14ac:dyDescent="0.3">
      <c r="G471" s="40"/>
      <c r="H471" s="19"/>
      <c r="I471" s="19"/>
      <c r="J471" s="19"/>
      <c r="K471" s="19"/>
      <c r="L471" s="19"/>
      <c r="M471" s="19"/>
      <c r="N471" s="19"/>
    </row>
    <row r="472" spans="7:14" x14ac:dyDescent="0.3">
      <c r="G472" s="40"/>
      <c r="H472" s="19"/>
      <c r="I472" s="19"/>
      <c r="J472" s="19"/>
      <c r="K472" s="19"/>
      <c r="L472" s="19"/>
      <c r="M472" s="19"/>
      <c r="N472" s="19"/>
    </row>
    <row r="473" spans="7:14" x14ac:dyDescent="0.3">
      <c r="G473" s="40"/>
      <c r="H473" s="19"/>
      <c r="I473" s="19"/>
      <c r="J473" s="19"/>
      <c r="K473" s="19"/>
      <c r="L473" s="19"/>
      <c r="M473" s="19"/>
      <c r="N473" s="19"/>
    </row>
    <row r="474" spans="7:14" x14ac:dyDescent="0.3">
      <c r="G474" s="40"/>
      <c r="H474" s="19"/>
      <c r="I474" s="19"/>
      <c r="J474" s="19"/>
      <c r="K474" s="19"/>
      <c r="L474" s="19"/>
      <c r="M474" s="19"/>
      <c r="N474" s="19"/>
    </row>
    <row r="475" spans="7:14" x14ac:dyDescent="0.3">
      <c r="G475" s="40"/>
      <c r="H475" s="19"/>
      <c r="I475" s="19"/>
      <c r="J475" s="19"/>
      <c r="K475" s="19"/>
      <c r="L475" s="19"/>
      <c r="M475" s="19"/>
      <c r="N475" s="19"/>
    </row>
    <row r="476" spans="7:14" x14ac:dyDescent="0.3">
      <c r="G476" s="40"/>
      <c r="H476" s="19"/>
      <c r="I476" s="19"/>
      <c r="J476" s="19"/>
      <c r="K476" s="19"/>
      <c r="L476" s="19"/>
      <c r="M476" s="19"/>
      <c r="N476" s="19"/>
    </row>
    <row r="477" spans="7:14" x14ac:dyDescent="0.3">
      <c r="G477" s="40"/>
      <c r="H477" s="19"/>
      <c r="I477" s="19"/>
      <c r="J477" s="19"/>
      <c r="K477" s="19"/>
      <c r="L477" s="19"/>
      <c r="M477" s="19"/>
      <c r="N477" s="19"/>
    </row>
    <row r="478" spans="7:14" x14ac:dyDescent="0.3">
      <c r="G478" s="40"/>
      <c r="H478" s="19"/>
      <c r="I478" s="19"/>
      <c r="J478" s="19"/>
      <c r="K478" s="19"/>
      <c r="L478" s="19"/>
      <c r="M478" s="19"/>
      <c r="N478" s="19"/>
    </row>
    <row r="479" spans="7:14" x14ac:dyDescent="0.3">
      <c r="G479" s="40"/>
      <c r="H479" s="19"/>
      <c r="I479" s="19"/>
      <c r="J479" s="19"/>
      <c r="K479" s="19"/>
      <c r="L479" s="19"/>
      <c r="M479" s="19"/>
      <c r="N479" s="19"/>
    </row>
    <row r="480" spans="7:14" x14ac:dyDescent="0.3">
      <c r="G480" s="40"/>
      <c r="H480" s="19"/>
      <c r="I480" s="19"/>
      <c r="J480" s="19"/>
      <c r="K480" s="19"/>
      <c r="L480" s="19"/>
      <c r="M480" s="19"/>
      <c r="N480" s="19"/>
    </row>
    <row r="481" spans="7:14" x14ac:dyDescent="0.3">
      <c r="G481" s="40"/>
      <c r="H481" s="19"/>
      <c r="I481" s="19"/>
      <c r="J481" s="19"/>
      <c r="K481" s="19"/>
      <c r="L481" s="19"/>
      <c r="M481" s="19"/>
      <c r="N481" s="19"/>
    </row>
    <row r="482" spans="7:14" x14ac:dyDescent="0.3">
      <c r="G482" s="40"/>
      <c r="H482" s="19"/>
      <c r="I482" s="19"/>
      <c r="J482" s="19"/>
      <c r="K482" s="19"/>
      <c r="L482" s="19"/>
      <c r="M482" s="19"/>
      <c r="N482" s="19"/>
    </row>
    <row r="483" spans="7:14" x14ac:dyDescent="0.3">
      <c r="G483" s="40"/>
      <c r="H483" s="19"/>
      <c r="I483" s="19"/>
      <c r="J483" s="19"/>
      <c r="K483" s="19"/>
      <c r="L483" s="19"/>
      <c r="M483" s="19"/>
      <c r="N483" s="19"/>
    </row>
    <row r="484" spans="7:14" x14ac:dyDescent="0.3">
      <c r="G484" s="40"/>
      <c r="H484" s="19"/>
      <c r="I484" s="19"/>
      <c r="J484" s="19"/>
      <c r="K484" s="19"/>
      <c r="L484" s="19"/>
      <c r="M484" s="19"/>
      <c r="N484" s="19"/>
    </row>
    <row r="485" spans="7:14" x14ac:dyDescent="0.3">
      <c r="G485" s="40"/>
      <c r="H485" s="19"/>
      <c r="I485" s="19"/>
      <c r="J485" s="19"/>
      <c r="K485" s="19"/>
      <c r="L485" s="19"/>
      <c r="M485" s="19"/>
      <c r="N485" s="19"/>
    </row>
    <row r="486" spans="7:14" x14ac:dyDescent="0.3">
      <c r="G486" s="40"/>
      <c r="H486" s="19"/>
      <c r="I486" s="19"/>
      <c r="J486" s="19"/>
      <c r="K486" s="19"/>
      <c r="L486" s="19"/>
      <c r="M486" s="19"/>
      <c r="N486" s="19"/>
    </row>
    <row r="487" spans="7:14" x14ac:dyDescent="0.3">
      <c r="G487" s="40"/>
      <c r="H487" s="19"/>
      <c r="I487" s="19"/>
      <c r="J487" s="19"/>
      <c r="K487" s="19"/>
      <c r="L487" s="19"/>
      <c r="M487" s="19"/>
      <c r="N487" s="19"/>
    </row>
    <row r="488" spans="7:14" x14ac:dyDescent="0.3">
      <c r="G488" s="40"/>
      <c r="H488" s="19"/>
      <c r="I488" s="19"/>
      <c r="J488" s="19"/>
      <c r="K488" s="19"/>
      <c r="L488" s="19"/>
      <c r="M488" s="19"/>
      <c r="N488" s="19"/>
    </row>
    <row r="489" spans="7:14" x14ac:dyDescent="0.3">
      <c r="G489" s="40"/>
      <c r="H489" s="19"/>
      <c r="I489" s="19"/>
      <c r="J489" s="19"/>
      <c r="K489" s="19"/>
      <c r="L489" s="19"/>
      <c r="M489" s="19"/>
      <c r="N489" s="19"/>
    </row>
    <row r="490" spans="7:14" x14ac:dyDescent="0.3">
      <c r="G490" s="40"/>
      <c r="H490" s="19"/>
      <c r="I490" s="19"/>
      <c r="J490" s="19"/>
      <c r="K490" s="19"/>
      <c r="L490" s="19"/>
      <c r="M490" s="19"/>
      <c r="N490" s="19"/>
    </row>
    <row r="491" spans="7:14" x14ac:dyDescent="0.3">
      <c r="G491" s="40"/>
      <c r="H491" s="19"/>
      <c r="I491" s="19"/>
      <c r="J491" s="19"/>
      <c r="K491" s="19"/>
      <c r="L491" s="19"/>
      <c r="M491" s="19"/>
      <c r="N491" s="19"/>
    </row>
    <row r="492" spans="7:14" x14ac:dyDescent="0.3">
      <c r="G492" s="40"/>
      <c r="H492" s="19"/>
      <c r="I492" s="19"/>
      <c r="J492" s="19"/>
      <c r="K492" s="19"/>
      <c r="L492" s="19"/>
      <c r="M492" s="19"/>
      <c r="N492" s="19"/>
    </row>
    <row r="493" spans="7:14" x14ac:dyDescent="0.3">
      <c r="G493" s="40"/>
      <c r="H493" s="19"/>
      <c r="I493" s="19"/>
      <c r="J493" s="19"/>
      <c r="K493" s="19"/>
      <c r="L493" s="19"/>
      <c r="M493" s="19"/>
      <c r="N493" s="19"/>
    </row>
    <row r="494" spans="7:14" x14ac:dyDescent="0.3">
      <c r="G494" s="40"/>
      <c r="H494" s="19"/>
      <c r="I494" s="19"/>
      <c r="J494" s="19"/>
      <c r="K494" s="19"/>
      <c r="L494" s="19"/>
      <c r="M494" s="19"/>
      <c r="N494" s="19"/>
    </row>
    <row r="495" spans="7:14" x14ac:dyDescent="0.3">
      <c r="G495" s="40"/>
      <c r="H495" s="19"/>
      <c r="I495" s="19"/>
      <c r="J495" s="19"/>
      <c r="K495" s="19"/>
      <c r="L495" s="19"/>
      <c r="M495" s="19"/>
      <c r="N495" s="19"/>
    </row>
    <row r="496" spans="7:14" x14ac:dyDescent="0.3">
      <c r="G496" s="40"/>
      <c r="H496" s="19"/>
      <c r="I496" s="19"/>
      <c r="J496" s="19"/>
      <c r="K496" s="19"/>
      <c r="L496" s="19"/>
      <c r="M496" s="19"/>
      <c r="N496" s="19"/>
    </row>
    <row r="497" spans="7:14" x14ac:dyDescent="0.3">
      <c r="G497" s="40"/>
      <c r="H497" s="19"/>
      <c r="I497" s="19"/>
      <c r="J497" s="19"/>
      <c r="K497" s="19"/>
      <c r="L497" s="19"/>
      <c r="M497" s="19"/>
      <c r="N497" s="19"/>
    </row>
    <row r="498" spans="7:14" x14ac:dyDescent="0.3">
      <c r="G498" s="40"/>
      <c r="H498" s="19"/>
      <c r="I498" s="19"/>
      <c r="J498" s="19"/>
      <c r="K498" s="19"/>
      <c r="L498" s="19"/>
      <c r="M498" s="19"/>
      <c r="N498" s="19"/>
    </row>
    <row r="499" spans="7:14" x14ac:dyDescent="0.3">
      <c r="G499" s="40"/>
      <c r="H499" s="19"/>
      <c r="I499" s="19"/>
      <c r="J499" s="19"/>
      <c r="K499" s="19"/>
      <c r="L499" s="19"/>
      <c r="M499" s="19"/>
      <c r="N499" s="19"/>
    </row>
    <row r="500" spans="7:14" x14ac:dyDescent="0.3">
      <c r="G500" s="40"/>
      <c r="H500" s="19"/>
      <c r="I500" s="19"/>
      <c r="J500" s="19"/>
      <c r="K500" s="19"/>
      <c r="L500" s="19"/>
      <c r="M500" s="19"/>
      <c r="N500" s="19"/>
    </row>
    <row r="501" spans="7:14" x14ac:dyDescent="0.3">
      <c r="G501" s="40"/>
      <c r="H501" s="19"/>
      <c r="I501" s="19"/>
      <c r="J501" s="19"/>
      <c r="K501" s="19"/>
      <c r="L501" s="19"/>
      <c r="M501" s="19"/>
      <c r="N501" s="19"/>
    </row>
    <row r="502" spans="7:14" x14ac:dyDescent="0.3">
      <c r="G502" s="40"/>
      <c r="H502" s="19"/>
      <c r="I502" s="19"/>
      <c r="J502" s="19"/>
      <c r="K502" s="19"/>
      <c r="L502" s="19"/>
      <c r="M502" s="19"/>
      <c r="N502" s="19"/>
    </row>
    <row r="503" spans="7:14" x14ac:dyDescent="0.3">
      <c r="G503" s="40"/>
      <c r="H503" s="19"/>
      <c r="I503" s="19"/>
      <c r="J503" s="19"/>
      <c r="K503" s="19"/>
      <c r="L503" s="19"/>
      <c r="M503" s="19"/>
      <c r="N503" s="19"/>
    </row>
    <row r="504" spans="7:14" x14ac:dyDescent="0.3">
      <c r="G504" s="40"/>
      <c r="H504" s="19"/>
      <c r="I504" s="19"/>
      <c r="J504" s="19"/>
      <c r="K504" s="19"/>
      <c r="L504" s="19"/>
      <c r="M504" s="19"/>
      <c r="N504" s="19"/>
    </row>
    <row r="505" spans="7:14" x14ac:dyDescent="0.3">
      <c r="G505" s="40"/>
      <c r="H505" s="19"/>
      <c r="I505" s="19"/>
      <c r="J505" s="19"/>
      <c r="K505" s="19"/>
      <c r="L505" s="19"/>
      <c r="M505" s="19"/>
      <c r="N505" s="19"/>
    </row>
    <row r="506" spans="7:14" x14ac:dyDescent="0.3">
      <c r="G506" s="40"/>
      <c r="H506" s="19"/>
    </row>
    <row r="507" spans="7:14" x14ac:dyDescent="0.3">
      <c r="G507" s="40"/>
      <c r="H507" s="19"/>
    </row>
    <row r="508" spans="7:14" x14ac:dyDescent="0.3">
      <c r="G508" s="40"/>
      <c r="H508" s="19"/>
    </row>
    <row r="509" spans="7:14" x14ac:dyDescent="0.3">
      <c r="G509" s="40"/>
      <c r="H509" s="19"/>
    </row>
    <row r="510" spans="7:14" x14ac:dyDescent="0.3">
      <c r="G510" s="40"/>
      <c r="H510" s="19"/>
    </row>
    <row r="511" spans="7:14" x14ac:dyDescent="0.3">
      <c r="G511" s="40"/>
      <c r="H511" s="19"/>
    </row>
    <row r="512" spans="7:14" x14ac:dyDescent="0.3">
      <c r="G512" s="40"/>
      <c r="H512" s="19"/>
    </row>
    <row r="513" spans="7:8" x14ac:dyDescent="0.3">
      <c r="G513" s="40"/>
      <c r="H513" s="19"/>
    </row>
    <row r="514" spans="7:8" x14ac:dyDescent="0.3">
      <c r="G514" s="40"/>
      <c r="H514" s="19"/>
    </row>
    <row r="515" spans="7:8" x14ac:dyDescent="0.3">
      <c r="G515" s="40"/>
      <c r="H515" s="19"/>
    </row>
    <row r="516" spans="7:8" x14ac:dyDescent="0.3">
      <c r="G516" s="40"/>
      <c r="H516" s="19"/>
    </row>
    <row r="517" spans="7:8" x14ac:dyDescent="0.3">
      <c r="G517" s="40"/>
      <c r="H517" s="19"/>
    </row>
    <row r="518" spans="7:8" x14ac:dyDescent="0.3">
      <c r="G518" s="40"/>
      <c r="H518" s="19"/>
    </row>
    <row r="519" spans="7:8" x14ac:dyDescent="0.3">
      <c r="G519" s="40"/>
      <c r="H519" s="19"/>
    </row>
    <row r="520" spans="7:8" x14ac:dyDescent="0.3">
      <c r="G520" s="40"/>
      <c r="H520" s="19"/>
    </row>
    <row r="521" spans="7:8" x14ac:dyDescent="0.3">
      <c r="G521" s="40"/>
      <c r="H521" s="19"/>
    </row>
    <row r="522" spans="7:8" x14ac:dyDescent="0.3">
      <c r="G522" s="40"/>
      <c r="H522" s="19"/>
    </row>
    <row r="523" spans="7:8" x14ac:dyDescent="0.3">
      <c r="G523" s="40"/>
      <c r="H523" s="19"/>
    </row>
    <row r="524" spans="7:8" x14ac:dyDescent="0.3">
      <c r="G524" s="40"/>
      <c r="H524" s="19"/>
    </row>
    <row r="525" spans="7:8" x14ac:dyDescent="0.3">
      <c r="G525" s="40"/>
      <c r="H525" s="19"/>
    </row>
    <row r="526" spans="7:8" x14ac:dyDescent="0.3">
      <c r="G526" s="40"/>
      <c r="H526" s="19"/>
    </row>
    <row r="527" spans="7:8" x14ac:dyDescent="0.3">
      <c r="G527" s="40"/>
      <c r="H527" s="19"/>
    </row>
    <row r="528" spans="7:8" x14ac:dyDescent="0.3">
      <c r="G528" s="40"/>
      <c r="H528" s="19"/>
    </row>
    <row r="529" spans="7:8" x14ac:dyDescent="0.3">
      <c r="G529" s="40"/>
      <c r="H529" s="19"/>
    </row>
    <row r="530" spans="7:8" x14ac:dyDescent="0.3">
      <c r="G530" s="40"/>
      <c r="H530" s="19"/>
    </row>
    <row r="531" spans="7:8" x14ac:dyDescent="0.3">
      <c r="G531" s="40"/>
      <c r="H531" s="19"/>
    </row>
    <row r="532" spans="7:8" x14ac:dyDescent="0.3">
      <c r="G532" s="40"/>
      <c r="H532" s="19"/>
    </row>
    <row r="533" spans="7:8" x14ac:dyDescent="0.3">
      <c r="G533" s="40"/>
      <c r="H533" s="19"/>
    </row>
    <row r="534" spans="7:8" x14ac:dyDescent="0.3">
      <c r="G534" s="40"/>
      <c r="H534" s="19"/>
    </row>
    <row r="535" spans="7:8" x14ac:dyDescent="0.3">
      <c r="G535" s="40"/>
      <c r="H535" s="19"/>
    </row>
    <row r="536" spans="7:8" x14ac:dyDescent="0.3">
      <c r="G536" s="40"/>
      <c r="H536" s="19"/>
    </row>
    <row r="537" spans="7:8" x14ac:dyDescent="0.3">
      <c r="G537" s="40"/>
      <c r="H537" s="19"/>
    </row>
    <row r="538" spans="7:8" x14ac:dyDescent="0.3">
      <c r="G538" s="40"/>
      <c r="H538" s="19"/>
    </row>
    <row r="539" spans="7:8" x14ac:dyDescent="0.3">
      <c r="G539" s="40"/>
      <c r="H539" s="19"/>
    </row>
    <row r="540" spans="7:8" x14ac:dyDescent="0.3">
      <c r="G540" s="40"/>
      <c r="H540" s="19"/>
    </row>
    <row r="541" spans="7:8" x14ac:dyDescent="0.3">
      <c r="G541" s="40"/>
      <c r="H541" s="19"/>
    </row>
    <row r="542" spans="7:8" x14ac:dyDescent="0.3">
      <c r="G542" s="40"/>
      <c r="H542" s="19"/>
    </row>
    <row r="543" spans="7:8" x14ac:dyDescent="0.3">
      <c r="G543" s="40"/>
      <c r="H543" s="19"/>
    </row>
    <row r="544" spans="7:8" x14ac:dyDescent="0.3">
      <c r="G544" s="40"/>
      <c r="H544" s="19"/>
    </row>
    <row r="545" spans="7:8" x14ac:dyDescent="0.3">
      <c r="G545" s="40"/>
      <c r="H545" s="19"/>
    </row>
    <row r="546" spans="7:8" x14ac:dyDescent="0.3">
      <c r="G546" s="40"/>
      <c r="H546" s="19"/>
    </row>
    <row r="547" spans="7:8" x14ac:dyDescent="0.3">
      <c r="G547" s="40"/>
      <c r="H547" s="19"/>
    </row>
    <row r="548" spans="7:8" x14ac:dyDescent="0.3">
      <c r="G548" s="40"/>
      <c r="H548" s="19"/>
    </row>
    <row r="549" spans="7:8" x14ac:dyDescent="0.3">
      <c r="G549" s="40"/>
      <c r="H549" s="19"/>
    </row>
    <row r="550" spans="7:8" x14ac:dyDescent="0.3">
      <c r="G550" s="40"/>
      <c r="H550" s="19"/>
    </row>
    <row r="551" spans="7:8" x14ac:dyDescent="0.3">
      <c r="G551" s="40"/>
      <c r="H551" s="19"/>
    </row>
    <row r="552" spans="7:8" x14ac:dyDescent="0.3">
      <c r="G552" s="40"/>
      <c r="H552" s="19"/>
    </row>
    <row r="553" spans="7:8" x14ac:dyDescent="0.3">
      <c r="G553" s="40"/>
      <c r="H553" s="19"/>
    </row>
    <row r="554" spans="7:8" x14ac:dyDescent="0.3">
      <c r="G554" s="40"/>
      <c r="H554" s="19"/>
    </row>
    <row r="555" spans="7:8" x14ac:dyDescent="0.3">
      <c r="G555" s="40"/>
      <c r="H555" s="19"/>
    </row>
    <row r="556" spans="7:8" x14ac:dyDescent="0.3">
      <c r="G556" s="40"/>
      <c r="H556" s="19"/>
    </row>
    <row r="557" spans="7:8" x14ac:dyDescent="0.3">
      <c r="G557" s="40"/>
      <c r="H557" s="19"/>
    </row>
    <row r="558" spans="7:8" x14ac:dyDescent="0.3">
      <c r="G558" s="40"/>
      <c r="H558" s="19"/>
    </row>
    <row r="559" spans="7:8" x14ac:dyDescent="0.3">
      <c r="G559" s="40"/>
      <c r="H559" s="19"/>
    </row>
    <row r="560" spans="7:8" x14ac:dyDescent="0.3">
      <c r="G560" s="40"/>
      <c r="H560" s="19"/>
    </row>
    <row r="561" spans="7:8" x14ac:dyDescent="0.3">
      <c r="G561" s="40"/>
      <c r="H561" s="19"/>
    </row>
    <row r="562" spans="7:8" x14ac:dyDescent="0.3">
      <c r="G562" s="40"/>
      <c r="H562" s="19"/>
    </row>
    <row r="563" spans="7:8" x14ac:dyDescent="0.3">
      <c r="G563" s="40"/>
      <c r="H563" s="19"/>
    </row>
    <row r="564" spans="7:8" x14ac:dyDescent="0.3">
      <c r="G564" s="40"/>
      <c r="H564" s="19"/>
    </row>
    <row r="565" spans="7:8" x14ac:dyDescent="0.3">
      <c r="G565" s="40"/>
      <c r="H565" s="19"/>
    </row>
    <row r="566" spans="7:8" x14ac:dyDescent="0.3">
      <c r="G566" s="40"/>
      <c r="H566" s="19"/>
    </row>
    <row r="567" spans="7:8" x14ac:dyDescent="0.3">
      <c r="G567" s="40"/>
      <c r="H567" s="19"/>
    </row>
    <row r="568" spans="7:8" x14ac:dyDescent="0.3">
      <c r="G568" s="40"/>
      <c r="H568" s="19"/>
    </row>
    <row r="569" spans="7:8" x14ac:dyDescent="0.3">
      <c r="G569" s="40"/>
      <c r="H569" s="19"/>
    </row>
    <row r="570" spans="7:8" x14ac:dyDescent="0.3">
      <c r="G570" s="40"/>
      <c r="H570" s="19"/>
    </row>
    <row r="571" spans="7:8" x14ac:dyDescent="0.3">
      <c r="G571" s="40"/>
      <c r="H571" s="19"/>
    </row>
    <row r="572" spans="7:8" x14ac:dyDescent="0.3">
      <c r="G572" s="40"/>
      <c r="H572" s="19"/>
    </row>
    <row r="573" spans="7:8" x14ac:dyDescent="0.3">
      <c r="G573" s="40"/>
      <c r="H573" s="19"/>
    </row>
    <row r="574" spans="7:8" x14ac:dyDescent="0.3">
      <c r="G574" s="40"/>
      <c r="H574" s="19"/>
    </row>
    <row r="575" spans="7:8" x14ac:dyDescent="0.3">
      <c r="G575" s="40"/>
      <c r="H575" s="19"/>
    </row>
    <row r="576" spans="7:8" x14ac:dyDescent="0.3">
      <c r="G576" s="40"/>
      <c r="H576" s="19"/>
    </row>
    <row r="577" spans="7:8" x14ac:dyDescent="0.3">
      <c r="G577" s="40"/>
      <c r="H577" s="19"/>
    </row>
    <row r="578" spans="7:8" x14ac:dyDescent="0.3">
      <c r="G578" s="40"/>
      <c r="H578" s="19"/>
    </row>
    <row r="579" spans="7:8" x14ac:dyDescent="0.3">
      <c r="G579" s="40"/>
      <c r="H579" s="19"/>
    </row>
    <row r="580" spans="7:8" x14ac:dyDescent="0.3">
      <c r="G580" s="40"/>
      <c r="H580" s="19"/>
    </row>
    <row r="581" spans="7:8" x14ac:dyDescent="0.3">
      <c r="G581" s="40"/>
      <c r="H581" s="19"/>
    </row>
    <row r="582" spans="7:8" x14ac:dyDescent="0.3">
      <c r="G582" s="40"/>
      <c r="H582" s="19"/>
    </row>
    <row r="583" spans="7:8" x14ac:dyDescent="0.3">
      <c r="G583" s="40"/>
      <c r="H583" s="19"/>
    </row>
    <row r="584" spans="7:8" x14ac:dyDescent="0.3">
      <c r="G584" s="40"/>
      <c r="H584" s="19"/>
    </row>
    <row r="585" spans="7:8" x14ac:dyDescent="0.3">
      <c r="G585" s="40"/>
      <c r="H585" s="19"/>
    </row>
    <row r="586" spans="7:8" x14ac:dyDescent="0.3">
      <c r="G586" s="40"/>
      <c r="H586" s="19"/>
    </row>
    <row r="587" spans="7:8" x14ac:dyDescent="0.3">
      <c r="G587" s="40"/>
      <c r="H587" s="19"/>
    </row>
    <row r="588" spans="7:8" x14ac:dyDescent="0.3">
      <c r="G588" s="40"/>
      <c r="H588" s="19"/>
    </row>
    <row r="589" spans="7:8" x14ac:dyDescent="0.3">
      <c r="G589" s="40"/>
      <c r="H589" s="19"/>
    </row>
    <row r="590" spans="7:8" x14ac:dyDescent="0.3">
      <c r="G590" s="40"/>
      <c r="H590" s="19"/>
    </row>
    <row r="591" spans="7:8" x14ac:dyDescent="0.3">
      <c r="G591" s="40"/>
      <c r="H591" s="19"/>
    </row>
    <row r="592" spans="7:8" x14ac:dyDescent="0.3">
      <c r="G592" s="40"/>
      <c r="H592" s="19"/>
    </row>
    <row r="593" spans="7:8" x14ac:dyDescent="0.3">
      <c r="G593" s="40"/>
      <c r="H593" s="19"/>
    </row>
    <row r="594" spans="7:8" x14ac:dyDescent="0.3">
      <c r="G594" s="40"/>
      <c r="H594" s="19"/>
    </row>
    <row r="595" spans="7:8" x14ac:dyDescent="0.3">
      <c r="G595" s="40"/>
      <c r="H595" s="19"/>
    </row>
    <row r="596" spans="7:8" x14ac:dyDescent="0.3">
      <c r="G596" s="40"/>
      <c r="H596" s="19"/>
    </row>
    <row r="597" spans="7:8" x14ac:dyDescent="0.3">
      <c r="G597" s="40"/>
      <c r="H597" s="19"/>
    </row>
    <row r="598" spans="7:8" x14ac:dyDescent="0.3">
      <c r="G598" s="40"/>
      <c r="H598" s="19"/>
    </row>
    <row r="599" spans="7:8" x14ac:dyDescent="0.3">
      <c r="G599" s="40"/>
      <c r="H599" s="19"/>
    </row>
    <row r="600" spans="7:8" x14ac:dyDescent="0.3">
      <c r="G600" s="40"/>
      <c r="H600" s="19"/>
    </row>
    <row r="601" spans="7:8" x14ac:dyDescent="0.3">
      <c r="G601" s="40"/>
      <c r="H601" s="19"/>
    </row>
    <row r="602" spans="7:8" x14ac:dyDescent="0.3">
      <c r="G602" s="40"/>
      <c r="H602" s="19"/>
    </row>
    <row r="603" spans="7:8" x14ac:dyDescent="0.3">
      <c r="G603" s="40"/>
      <c r="H603" s="19"/>
    </row>
    <row r="604" spans="7:8" x14ac:dyDescent="0.3">
      <c r="G604" s="40"/>
      <c r="H604" s="19"/>
    </row>
    <row r="605" spans="7:8" x14ac:dyDescent="0.3">
      <c r="G605" s="40"/>
      <c r="H605" s="19"/>
    </row>
    <row r="606" spans="7:8" x14ac:dyDescent="0.3">
      <c r="G606" s="40"/>
      <c r="H606" s="19"/>
    </row>
    <row r="607" spans="7:8" x14ac:dyDescent="0.3">
      <c r="G607" s="40"/>
      <c r="H607" s="19"/>
    </row>
    <row r="608" spans="7:8" x14ac:dyDescent="0.3">
      <c r="G608" s="40"/>
      <c r="H608" s="19"/>
    </row>
    <row r="609" spans="7:8" x14ac:dyDescent="0.3">
      <c r="G609" s="40"/>
      <c r="H609" s="19"/>
    </row>
    <row r="610" spans="7:8" x14ac:dyDescent="0.3">
      <c r="G610" s="40"/>
      <c r="H610" s="19"/>
    </row>
    <row r="611" spans="7:8" x14ac:dyDescent="0.3">
      <c r="G611" s="40"/>
      <c r="H611" s="19"/>
    </row>
    <row r="612" spans="7:8" x14ac:dyDescent="0.3">
      <c r="G612" s="40"/>
      <c r="H612" s="19"/>
    </row>
    <row r="613" spans="7:8" x14ac:dyDescent="0.3">
      <c r="G613" s="40"/>
      <c r="H613" s="19"/>
    </row>
    <row r="614" spans="7:8" x14ac:dyDescent="0.3">
      <c r="G614" s="40"/>
      <c r="H614" s="19"/>
    </row>
    <row r="615" spans="7:8" x14ac:dyDescent="0.3">
      <c r="G615" s="40"/>
      <c r="H615" s="19"/>
    </row>
    <row r="616" spans="7:8" x14ac:dyDescent="0.3">
      <c r="G616" s="40"/>
      <c r="H616" s="19"/>
    </row>
    <row r="617" spans="7:8" x14ac:dyDescent="0.3">
      <c r="G617" s="40"/>
      <c r="H617" s="19"/>
    </row>
    <row r="618" spans="7:8" x14ac:dyDescent="0.3">
      <c r="G618" s="40"/>
      <c r="H618" s="19"/>
    </row>
    <row r="619" spans="7:8" x14ac:dyDescent="0.3">
      <c r="G619" s="40"/>
      <c r="H619" s="19"/>
    </row>
    <row r="620" spans="7:8" x14ac:dyDescent="0.3">
      <c r="G620" s="40"/>
      <c r="H620" s="19"/>
    </row>
    <row r="621" spans="7:8" x14ac:dyDescent="0.3">
      <c r="G621" s="40"/>
      <c r="H621" s="19"/>
    </row>
    <row r="622" spans="7:8" x14ac:dyDescent="0.3">
      <c r="G622" s="40"/>
      <c r="H622" s="19"/>
    </row>
    <row r="623" spans="7:8" x14ac:dyDescent="0.3">
      <c r="G623" s="40"/>
      <c r="H623" s="19"/>
    </row>
    <row r="624" spans="7:8" x14ac:dyDescent="0.3">
      <c r="G624" s="40"/>
      <c r="H624" s="19"/>
    </row>
    <row r="625" spans="7:8" x14ac:dyDescent="0.3">
      <c r="G625" s="40"/>
      <c r="H625" s="19"/>
    </row>
    <row r="626" spans="7:8" x14ac:dyDescent="0.3">
      <c r="G626" s="40"/>
      <c r="H626" s="19"/>
    </row>
    <row r="627" spans="7:8" x14ac:dyDescent="0.3">
      <c r="G627" s="40"/>
      <c r="H627" s="19"/>
    </row>
    <row r="628" spans="7:8" x14ac:dyDescent="0.3">
      <c r="G628" s="40"/>
      <c r="H628" s="19"/>
    </row>
    <row r="629" spans="7:8" x14ac:dyDescent="0.3">
      <c r="G629" s="40"/>
      <c r="H629" s="19"/>
    </row>
    <row r="630" spans="7:8" x14ac:dyDescent="0.3">
      <c r="G630" s="40"/>
      <c r="H630" s="19"/>
    </row>
    <row r="631" spans="7:8" x14ac:dyDescent="0.3">
      <c r="G631" s="40"/>
      <c r="H631" s="19"/>
    </row>
    <row r="632" spans="7:8" x14ac:dyDescent="0.3">
      <c r="G632" s="40"/>
      <c r="H632" s="19"/>
    </row>
    <row r="633" spans="7:8" x14ac:dyDescent="0.3">
      <c r="G633" s="40"/>
      <c r="H633" s="19"/>
    </row>
    <row r="634" spans="7:8" x14ac:dyDescent="0.3">
      <c r="G634" s="40"/>
      <c r="H634" s="19"/>
    </row>
    <row r="635" spans="7:8" x14ac:dyDescent="0.3">
      <c r="G635" s="40"/>
      <c r="H635" s="19"/>
    </row>
    <row r="636" spans="7:8" x14ac:dyDescent="0.3">
      <c r="G636" s="40"/>
      <c r="H636" s="19"/>
    </row>
    <row r="637" spans="7:8" x14ac:dyDescent="0.3">
      <c r="G637" s="40"/>
      <c r="H637" s="19"/>
    </row>
    <row r="638" spans="7:8" x14ac:dyDescent="0.3">
      <c r="G638" s="40"/>
      <c r="H638" s="19"/>
    </row>
    <row r="639" spans="7:8" x14ac:dyDescent="0.3">
      <c r="G639" s="40"/>
      <c r="H639" s="19"/>
    </row>
    <row r="640" spans="7:8" x14ac:dyDescent="0.3">
      <c r="G640" s="40"/>
      <c r="H640" s="19"/>
    </row>
    <row r="641" spans="7:8" x14ac:dyDescent="0.3">
      <c r="G641" s="40"/>
      <c r="H641" s="19"/>
    </row>
    <row r="642" spans="7:8" x14ac:dyDescent="0.3">
      <c r="G642" s="40"/>
      <c r="H642" s="19"/>
    </row>
    <row r="643" spans="7:8" x14ac:dyDescent="0.3">
      <c r="G643" s="40"/>
      <c r="H643" s="19"/>
    </row>
    <row r="644" spans="7:8" x14ac:dyDescent="0.3">
      <c r="G644" s="40"/>
      <c r="H644" s="19"/>
    </row>
    <row r="645" spans="7:8" x14ac:dyDescent="0.3">
      <c r="G645" s="40"/>
      <c r="H645" s="19"/>
    </row>
  </sheetData>
  <sortState xmlns:xlrd2="http://schemas.microsoft.com/office/spreadsheetml/2017/richdata2" ref="Z55:Z369">
    <sortCondition ref="Z55"/>
  </sortState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C505"/>
  <sheetViews>
    <sheetView topLeftCell="P9" zoomScale="70" zoomScaleNormal="70" zoomScalePageLayoutView="90" workbookViewId="0">
      <selection activeCell="AR12" sqref="AR12"/>
    </sheetView>
  </sheetViews>
  <sheetFormatPr defaultColWidth="8.88671875" defaultRowHeight="14.4" x14ac:dyDescent="0.3"/>
  <cols>
    <col min="1" max="1" width="14.44140625" bestFit="1" customWidth="1"/>
    <col min="2" max="2" width="18.33203125" bestFit="1" customWidth="1"/>
    <col min="3" max="3" width="12" customWidth="1"/>
    <col min="4" max="4" width="22.44140625" bestFit="1" customWidth="1"/>
    <col min="5" max="6" width="10.109375" customWidth="1"/>
    <col min="7" max="7" width="40.5546875" customWidth="1"/>
    <col min="8" max="8" width="2.44140625" style="23" customWidth="1"/>
    <col min="9" max="9" width="9.109375" customWidth="1"/>
    <col min="10" max="18" width="25.109375" customWidth="1"/>
    <col min="19" max="19" width="3.44140625" style="23" customWidth="1"/>
    <col min="20" max="20" width="7.6640625" customWidth="1"/>
    <col min="21" max="22" width="10.33203125" customWidth="1"/>
    <col min="23" max="23" width="13.6640625" customWidth="1"/>
    <col min="24" max="24" width="3.6640625" style="23" customWidth="1"/>
    <col min="26" max="26" width="10.88671875" customWidth="1"/>
    <col min="27" max="27" width="13" bestFit="1" customWidth="1"/>
    <col min="28" max="28" width="13" customWidth="1"/>
    <col min="29" max="29" width="4.109375" style="23" customWidth="1"/>
  </cols>
  <sheetData>
    <row r="1" spans="1:28" x14ac:dyDescent="0.3">
      <c r="A1" s="7" t="s">
        <v>5</v>
      </c>
      <c r="B1" s="3">
        <v>45293</v>
      </c>
    </row>
    <row r="2" spans="1:28" x14ac:dyDescent="0.3">
      <c r="A2" s="7" t="s">
        <v>20</v>
      </c>
    </row>
    <row r="3" spans="1:28" x14ac:dyDescent="0.3">
      <c r="A3" s="7" t="s">
        <v>9</v>
      </c>
      <c r="T3" s="7" t="s">
        <v>16</v>
      </c>
      <c r="V3" s="7"/>
      <c r="W3" s="7"/>
      <c r="Y3" s="7" t="s">
        <v>22</v>
      </c>
    </row>
    <row r="4" spans="1:28" x14ac:dyDescent="0.3">
      <c r="A4" s="21" t="s">
        <v>6</v>
      </c>
      <c r="B4" s="21" t="s">
        <v>7</v>
      </c>
      <c r="C4" s="21" t="s">
        <v>8</v>
      </c>
      <c r="D4" s="21" t="s">
        <v>115</v>
      </c>
      <c r="E4" s="21"/>
      <c r="G4" s="21"/>
      <c r="I4" s="7" t="s">
        <v>1</v>
      </c>
      <c r="J4" s="21" t="s">
        <v>30</v>
      </c>
      <c r="K4" s="21" t="s">
        <v>46</v>
      </c>
      <c r="L4" s="21" t="s">
        <v>47</v>
      </c>
      <c r="M4" s="21" t="s">
        <v>41</v>
      </c>
      <c r="N4" s="21" t="s">
        <v>44</v>
      </c>
      <c r="O4" s="21" t="s">
        <v>82</v>
      </c>
      <c r="P4" s="21" t="s">
        <v>28</v>
      </c>
      <c r="Q4" s="21" t="s">
        <v>16</v>
      </c>
      <c r="R4" s="21" t="s">
        <v>48</v>
      </c>
      <c r="S4" s="24"/>
      <c r="T4" s="21" t="s">
        <v>13</v>
      </c>
      <c r="U4" s="21" t="s">
        <v>14</v>
      </c>
      <c r="V4" s="21" t="s">
        <v>25</v>
      </c>
      <c r="W4" s="21" t="s">
        <v>26</v>
      </c>
      <c r="X4" s="24"/>
      <c r="Y4" s="21" t="s">
        <v>23</v>
      </c>
      <c r="Z4" s="21" t="s">
        <v>24</v>
      </c>
      <c r="AA4" s="21" t="s">
        <v>27</v>
      </c>
      <c r="AB4" s="21" t="s">
        <v>26</v>
      </c>
    </row>
    <row r="5" spans="1:28" x14ac:dyDescent="0.3">
      <c r="A5" s="7" t="s">
        <v>30</v>
      </c>
      <c r="B5" s="19">
        <v>200000000</v>
      </c>
      <c r="C5" s="19">
        <f>Data!F2</f>
        <v>2148.1095259420381</v>
      </c>
      <c r="D5" s="25">
        <f>B5/C5</f>
        <v>93105.122241051198</v>
      </c>
      <c r="E5" s="19"/>
      <c r="G5" s="25"/>
      <c r="I5">
        <f>Data!A3</f>
        <v>1</v>
      </c>
      <c r="J5" s="19">
        <f>$B$5*Data!F3/Data!F2</f>
        <v>198525155.6859518</v>
      </c>
      <c r="K5" s="19">
        <f>$B$6*Data!I3/Data!I2</f>
        <v>199373219.4022021</v>
      </c>
      <c r="L5" s="19">
        <f>$B$7*Data!L3/Data!L2</f>
        <v>196534742.4132545</v>
      </c>
      <c r="M5" s="19">
        <f>$B$8*Data!O3/Data!O2</f>
        <v>198676450.0719786</v>
      </c>
      <c r="N5" s="19">
        <f>$B$9*Data!R3/Data!R2</f>
        <v>200022332.7067689</v>
      </c>
      <c r="O5" s="19">
        <f>SUM(J5:N5)</f>
        <v>993131900.28015578</v>
      </c>
      <c r="P5" s="19">
        <f>O5-$B$10</f>
        <v>-6868099.7198442221</v>
      </c>
      <c r="Q5" s="19">
        <f>-P5</f>
        <v>6868099.7198442221</v>
      </c>
      <c r="R5" s="19">
        <f>Q5/1000000</f>
        <v>6.8680997198442224</v>
      </c>
      <c r="V5" s="34"/>
      <c r="W5" s="34"/>
      <c r="Z5" s="32"/>
    </row>
    <row r="6" spans="1:28" x14ac:dyDescent="0.3">
      <c r="A6" s="7" t="s">
        <v>46</v>
      </c>
      <c r="B6" s="19">
        <v>200000000</v>
      </c>
      <c r="C6" s="19">
        <f>Data!I2</f>
        <v>1380.5693813575588</v>
      </c>
      <c r="D6" s="25">
        <f t="shared" ref="D6:D9" si="0">B6/C6</f>
        <v>144867.76448955684</v>
      </c>
      <c r="E6" s="19"/>
      <c r="G6" s="25"/>
      <c r="I6">
        <v>2</v>
      </c>
      <c r="J6" s="19">
        <f>$B$5*Data!F4/Data!F3</f>
        <v>199964097.20363835</v>
      </c>
      <c r="K6" s="19">
        <f>$B$6*Data!I4/Data!I3</f>
        <v>200878637.72539142</v>
      </c>
      <c r="L6" s="19">
        <f>$B$7*Data!L4/Data!L3</f>
        <v>200438147.58476371</v>
      </c>
      <c r="M6" s="19">
        <f>$B$8*Data!O4/Data!O3</f>
        <v>200695417.28491315</v>
      </c>
      <c r="N6" s="19">
        <f>$B$9*Data!R4/Data!R3</f>
        <v>201733604.21473518</v>
      </c>
      <c r="O6" s="19">
        <f t="shared" ref="O6:O69" si="1">SUM(J6:N6)</f>
        <v>1003709904.0134418</v>
      </c>
      <c r="P6" s="19">
        <f t="shared" ref="P6:P69" si="2">O6-$B$10</f>
        <v>3709904.0134418011</v>
      </c>
      <c r="Q6" s="19">
        <f t="shared" ref="Q6:Q69" si="3">-P6</f>
        <v>-3709904.0134418011</v>
      </c>
      <c r="R6" s="19">
        <f t="shared" ref="R6:R69" si="4">Q6/1000000</f>
        <v>-3.7099040134418009</v>
      </c>
      <c r="T6" s="44"/>
      <c r="V6" s="34"/>
      <c r="W6" s="34"/>
      <c r="Z6" s="32"/>
      <c r="AA6" s="4"/>
      <c r="AB6" s="4"/>
    </row>
    <row r="7" spans="1:28" x14ac:dyDescent="0.3">
      <c r="A7" s="7" t="s">
        <v>47</v>
      </c>
      <c r="B7" s="19">
        <v>200000000</v>
      </c>
      <c r="C7" s="19">
        <f>Data!L2</f>
        <v>475.30804171198258</v>
      </c>
      <c r="D7" s="25">
        <f t="shared" si="0"/>
        <v>420779.75217846595</v>
      </c>
      <c r="E7" s="19"/>
      <c r="G7" s="25"/>
      <c r="I7">
        <v>3</v>
      </c>
      <c r="J7" s="19">
        <f>$B$5*Data!F5/Data!F4</f>
        <v>198591704.29241735</v>
      </c>
      <c r="K7" s="19">
        <f>$B$6*Data!I5/Data!I4</f>
        <v>197825109.72260869</v>
      </c>
      <c r="L7" s="19">
        <f>$B$7*Data!L5/Data!L4</f>
        <v>196495938.44078878</v>
      </c>
      <c r="M7" s="19">
        <f>$B$8*Data!O5/Data!O4</f>
        <v>198425441.34543654</v>
      </c>
      <c r="N7" s="19">
        <f>$B$9*Data!R5/Data!R4</f>
        <v>199971928.5734103</v>
      </c>
      <c r="O7" s="19">
        <f t="shared" si="1"/>
        <v>991310122.37466168</v>
      </c>
      <c r="P7" s="19">
        <f t="shared" si="2"/>
        <v>-8689877.625338316</v>
      </c>
      <c r="Q7" s="19">
        <f t="shared" si="3"/>
        <v>8689877.625338316</v>
      </c>
      <c r="R7" s="19">
        <f t="shared" si="4"/>
        <v>8.6898776253383154</v>
      </c>
      <c r="T7" s="44"/>
      <c r="V7" s="34"/>
      <c r="W7" s="34"/>
      <c r="Z7" s="32"/>
      <c r="AA7" s="4"/>
      <c r="AB7" s="4"/>
    </row>
    <row r="8" spans="1:28" x14ac:dyDescent="0.3">
      <c r="A8" s="7" t="s">
        <v>41</v>
      </c>
      <c r="B8" s="19">
        <v>200000000</v>
      </c>
      <c r="C8" s="19">
        <f>Data!O2</f>
        <v>725.80513082976131</v>
      </c>
      <c r="D8" s="25">
        <f t="shared" si="0"/>
        <v>275556.05699749495</v>
      </c>
      <c r="E8" s="19"/>
      <c r="G8" s="25"/>
      <c r="I8">
        <v>4</v>
      </c>
      <c r="J8" s="19">
        <f>$B$5*Data!F6/Data!F5</f>
        <v>196357957.54961821</v>
      </c>
      <c r="K8" s="19">
        <f>$B$6*Data!I6/Data!I5</f>
        <v>195444155.52563411</v>
      </c>
      <c r="L8" s="19">
        <f>$B$7*Data!L6/Data!L5</f>
        <v>194127378.99315116</v>
      </c>
      <c r="M8" s="19">
        <f>$B$8*Data!O6/Data!O5</f>
        <v>195617597.90671581</v>
      </c>
      <c r="N8" s="19">
        <f>$B$9*Data!R6/Data!R5</f>
        <v>196076642.40883687</v>
      </c>
      <c r="O8" s="19">
        <f t="shared" si="1"/>
        <v>977623732.38395619</v>
      </c>
      <c r="P8" s="19">
        <f t="shared" si="2"/>
        <v>-22376267.616043806</v>
      </c>
      <c r="Q8" s="19">
        <f t="shared" si="3"/>
        <v>22376267.616043806</v>
      </c>
      <c r="R8" s="19">
        <f t="shared" si="4"/>
        <v>22.376267616043805</v>
      </c>
      <c r="T8" s="44"/>
      <c r="V8" s="34"/>
      <c r="W8" s="34"/>
      <c r="Z8" s="32"/>
      <c r="AA8" s="4"/>
      <c r="AB8" s="4"/>
    </row>
    <row r="9" spans="1:28" x14ac:dyDescent="0.3">
      <c r="A9" s="7" t="s">
        <v>44</v>
      </c>
      <c r="B9" s="19">
        <v>200000000</v>
      </c>
      <c r="C9" s="19">
        <f>Data!R2</f>
        <v>420.53483462350459</v>
      </c>
      <c r="D9" s="25">
        <f t="shared" si="0"/>
        <v>475584.85893102176</v>
      </c>
      <c r="I9">
        <v>5</v>
      </c>
      <c r="J9" s="19">
        <f>$B$5*Data!F7/Data!F6</f>
        <v>199340654.8564077</v>
      </c>
      <c r="K9" s="19">
        <f>$B$6*Data!I7/Data!I6</f>
        <v>198455138.97091347</v>
      </c>
      <c r="L9" s="19">
        <f>$B$7*Data!L7/Data!L6</f>
        <v>198030484.0449641</v>
      </c>
      <c r="M9" s="19">
        <f>$B$8*Data!O7/Data!O6</f>
        <v>198632503.53823</v>
      </c>
      <c r="N9" s="19">
        <f>$B$9*Data!R7/Data!R6</f>
        <v>199613198.13906115</v>
      </c>
      <c r="O9" s="19">
        <f t="shared" si="1"/>
        <v>994071979.54957652</v>
      </c>
      <c r="P9" s="19">
        <f t="shared" si="2"/>
        <v>-5928020.4504234791</v>
      </c>
      <c r="Q9" s="19">
        <f t="shared" si="3"/>
        <v>5928020.4504234791</v>
      </c>
      <c r="R9" s="19">
        <f t="shared" si="4"/>
        <v>5.928020450423479</v>
      </c>
      <c r="T9" s="44"/>
      <c r="V9" s="34"/>
      <c r="W9" s="34"/>
      <c r="Z9" s="32"/>
      <c r="AA9" s="4"/>
      <c r="AB9" s="4"/>
    </row>
    <row r="10" spans="1:28" x14ac:dyDescent="0.3">
      <c r="B10" s="20">
        <f>SUM(B5:B9)</f>
        <v>1000000000</v>
      </c>
      <c r="I10">
        <v>6</v>
      </c>
      <c r="J10" s="19">
        <f>$B$5*Data!F8/Data!F7</f>
        <v>198767887.58785337</v>
      </c>
      <c r="K10" s="19">
        <f>$B$6*Data!I8/Data!I7</f>
        <v>199397719.60355556</v>
      </c>
      <c r="L10" s="19">
        <f>$B$7*Data!L8/Data!L7</f>
        <v>198391043.95412949</v>
      </c>
      <c r="M10" s="19">
        <f>$B$8*Data!O8/Data!O7</f>
        <v>198866470.16288963</v>
      </c>
      <c r="N10" s="19">
        <f>$B$9*Data!R8/Data!R7</f>
        <v>199422472.02338409</v>
      </c>
      <c r="O10" s="19">
        <f t="shared" si="1"/>
        <v>994845593.33181214</v>
      </c>
      <c r="P10" s="19">
        <f t="shared" si="2"/>
        <v>-5154406.6681878567</v>
      </c>
      <c r="Q10" s="19">
        <f t="shared" si="3"/>
        <v>5154406.6681878567</v>
      </c>
      <c r="R10" s="19">
        <f t="shared" si="4"/>
        <v>5.1544066681878569</v>
      </c>
      <c r="T10" s="44"/>
      <c r="V10" s="34"/>
      <c r="W10" s="34"/>
      <c r="Z10" s="32"/>
      <c r="AA10" s="4"/>
      <c r="AB10" s="4"/>
    </row>
    <row r="11" spans="1:28" x14ac:dyDescent="0.3">
      <c r="I11">
        <v>7</v>
      </c>
      <c r="J11" s="19">
        <f>$B$5*Data!F9/Data!F8</f>
        <v>202585486.77065507</v>
      </c>
      <c r="K11" s="19">
        <f>$B$6*Data!I9/Data!I8</f>
        <v>203134274.48015112</v>
      </c>
      <c r="L11" s="19">
        <f>$B$7*Data!L9/Data!L8</f>
        <v>204406800.04911202</v>
      </c>
      <c r="M11" s="19">
        <f>$B$8*Data!O9/Data!O8</f>
        <v>202743825.65551114</v>
      </c>
      <c r="N11" s="19">
        <f>$B$9*Data!R9/Data!R8</f>
        <v>200784003.56812009</v>
      </c>
      <c r="O11" s="19">
        <f t="shared" si="1"/>
        <v>1013654390.5235494</v>
      </c>
      <c r="P11" s="19">
        <f t="shared" si="2"/>
        <v>13654390.523549438</v>
      </c>
      <c r="Q11" s="19">
        <f t="shared" si="3"/>
        <v>-13654390.523549438</v>
      </c>
      <c r="R11" s="19">
        <f t="shared" si="4"/>
        <v>-13.654390523549438</v>
      </c>
      <c r="T11" s="44"/>
      <c r="V11" s="34"/>
      <c r="W11" s="34"/>
      <c r="Z11" s="32"/>
      <c r="AA11" s="4"/>
      <c r="AB11" s="4"/>
    </row>
    <row r="12" spans="1:28" x14ac:dyDescent="0.3">
      <c r="A12" s="7" t="s">
        <v>16</v>
      </c>
      <c r="I12">
        <v>8</v>
      </c>
      <c r="J12" s="19">
        <f>$B$5*Data!F10/Data!F9</f>
        <v>199203323.36954698</v>
      </c>
      <c r="K12" s="19">
        <f>$B$6*Data!I10/Data!I9</f>
        <v>199268508.68953675</v>
      </c>
      <c r="L12" s="19">
        <f>$B$7*Data!L10/Data!L9</f>
        <v>198060101.71963716</v>
      </c>
      <c r="M12" s="19">
        <f>$B$8*Data!O10/Data!O9</f>
        <v>199451693.32482684</v>
      </c>
      <c r="N12" s="19">
        <f>$B$9*Data!R10/Data!R9</f>
        <v>200741324.50634119</v>
      </c>
      <c r="O12" s="19">
        <f t="shared" si="1"/>
        <v>996724951.60988891</v>
      </c>
      <c r="P12" s="19">
        <f t="shared" si="2"/>
        <v>-3275048.3901110888</v>
      </c>
      <c r="Q12" s="19">
        <f t="shared" si="3"/>
        <v>3275048.3901110888</v>
      </c>
      <c r="R12" s="19">
        <f t="shared" si="4"/>
        <v>3.2750483901110887</v>
      </c>
      <c r="T12" s="44"/>
      <c r="V12" s="34"/>
      <c r="W12" s="34"/>
      <c r="Z12" s="32"/>
      <c r="AA12" s="4"/>
      <c r="AB12" s="4"/>
    </row>
    <row r="13" spans="1:28" x14ac:dyDescent="0.3">
      <c r="A13" s="7" t="s">
        <v>21</v>
      </c>
      <c r="B13" s="31">
        <f>COUNT($I$5:$I$319)</f>
        <v>315</v>
      </c>
      <c r="I13">
        <v>9</v>
      </c>
      <c r="J13" s="19">
        <f>$B$5*Data!F11/Data!F10</f>
        <v>195215709.61912096</v>
      </c>
      <c r="K13" s="19">
        <f>$B$6*Data!I11/Data!I10</f>
        <v>194795145.89279073</v>
      </c>
      <c r="L13" s="19">
        <f>$B$7*Data!L11/Data!L10</f>
        <v>191540901.6858083</v>
      </c>
      <c r="M13" s="19">
        <f>$B$8*Data!O11/Data!O10</f>
        <v>194819879.94496006</v>
      </c>
      <c r="N13" s="19">
        <f>$B$9*Data!R11/Data!R10</f>
        <v>196836927.37278339</v>
      </c>
      <c r="O13" s="19">
        <f t="shared" si="1"/>
        <v>973208564.51546359</v>
      </c>
      <c r="P13" s="19">
        <f t="shared" si="2"/>
        <v>-26791435.484536409</v>
      </c>
      <c r="Q13" s="19">
        <f t="shared" si="3"/>
        <v>26791435.484536409</v>
      </c>
      <c r="R13" s="19">
        <f t="shared" si="4"/>
        <v>26.791435484536411</v>
      </c>
      <c r="T13" s="44">
        <v>-70</v>
      </c>
      <c r="U13">
        <f t="array" ref="U13:U34">FREQUENCY($R$5:$R$319,$T$13:$T$34)</f>
        <v>0</v>
      </c>
      <c r="V13" s="34">
        <f t="shared" ref="V13:V34" si="5">U13/$B$13</f>
        <v>0</v>
      </c>
      <c r="W13" s="34">
        <f>SUM($V$13:V13)</f>
        <v>0</v>
      </c>
      <c r="Y13" s="44">
        <f>T13</f>
        <v>-70</v>
      </c>
      <c r="Z13" s="32">
        <f>_xlfn.NORM.DIST(Y13,$B$16,$B$17,TRUE)</f>
        <v>8.2385258565381716E-5</v>
      </c>
      <c r="AA13" s="4">
        <f>Z13-Z12</f>
        <v>8.2385258565381716E-5</v>
      </c>
      <c r="AB13" s="4">
        <f>SUM($AA$13:AA13)</f>
        <v>8.2385258565381716E-5</v>
      </c>
    </row>
    <row r="14" spans="1:28" x14ac:dyDescent="0.3">
      <c r="A14" s="7" t="s">
        <v>12</v>
      </c>
      <c r="B14" s="30">
        <f>MIN($R$5:$R$319)</f>
        <v>-62.380728288762569</v>
      </c>
      <c r="I14">
        <v>10</v>
      </c>
      <c r="J14" s="19">
        <f>$B$5*Data!F12/Data!F11</f>
        <v>192698142.81113398</v>
      </c>
      <c r="K14" s="19">
        <f>$B$6*Data!I12/Data!I11</f>
        <v>192064378.45928958</v>
      </c>
      <c r="L14" s="19">
        <f>$B$7*Data!L12/Data!L11</f>
        <v>190143520.88108903</v>
      </c>
      <c r="M14" s="19">
        <f>$B$8*Data!O12/Data!O11</f>
        <v>192244546.80063465</v>
      </c>
      <c r="N14" s="19">
        <f>$B$9*Data!R12/Data!R11</f>
        <v>192450190.79428136</v>
      </c>
      <c r="O14" s="19">
        <f t="shared" si="1"/>
        <v>959600779.74642861</v>
      </c>
      <c r="P14" s="19">
        <f t="shared" si="2"/>
        <v>-40399220.253571391</v>
      </c>
      <c r="Q14" s="19">
        <f t="shared" si="3"/>
        <v>40399220.253571391</v>
      </c>
      <c r="R14" s="19">
        <f t="shared" si="4"/>
        <v>40.399220253571393</v>
      </c>
      <c r="T14" s="44">
        <v>-60</v>
      </c>
      <c r="U14">
        <v>1</v>
      </c>
      <c r="V14" s="34">
        <f t="shared" si="5"/>
        <v>3.1746031746031746E-3</v>
      </c>
      <c r="W14" s="34">
        <f>SUM($V$13:V14)</f>
        <v>3.1746031746031746E-3</v>
      </c>
      <c r="Y14" s="44">
        <f t="shared" ref="Y14:Y34" si="6">T14</f>
        <v>-60</v>
      </c>
      <c r="Z14" s="32">
        <f t="shared" ref="Z14:Z34" si="7">_xlfn.NORM.DIST(Y14,$B$16,$B$17,TRUE)</f>
        <v>6.397421583787912E-4</v>
      </c>
      <c r="AA14" s="4">
        <f t="shared" ref="AA14:AA34" si="8">Z14-Z13</f>
        <v>5.573568998134095E-4</v>
      </c>
      <c r="AB14" s="4">
        <f>SUM($AA$13:AA14)</f>
        <v>6.397421583787912E-4</v>
      </c>
    </row>
    <row r="15" spans="1:28" x14ac:dyDescent="0.3">
      <c r="A15" s="7" t="s">
        <v>11</v>
      </c>
      <c r="B15" s="30">
        <f>MAX($R$5:$R$319)</f>
        <v>136.49908282215583</v>
      </c>
      <c r="I15">
        <v>11</v>
      </c>
      <c r="J15" s="19">
        <f>$B$5*Data!F13/Data!F12</f>
        <v>201509253.99329683</v>
      </c>
      <c r="K15" s="19">
        <f>$B$6*Data!I13/Data!I12</f>
        <v>201789345.14807037</v>
      </c>
      <c r="L15" s="19">
        <f>$B$7*Data!L13/Data!L12</f>
        <v>201022862.11129293</v>
      </c>
      <c r="M15" s="19">
        <f>$B$8*Data!O13/Data!O12</f>
        <v>201533748.0746555</v>
      </c>
      <c r="N15" s="19">
        <f>$B$9*Data!R13/Data!R12</f>
        <v>201671251.85487932</v>
      </c>
      <c r="O15" s="19">
        <f t="shared" si="1"/>
        <v>1007526461.1821949</v>
      </c>
      <c r="P15" s="19">
        <f t="shared" si="2"/>
        <v>7526461.1821949482</v>
      </c>
      <c r="Q15" s="19">
        <f t="shared" si="3"/>
        <v>-7526461.1821949482</v>
      </c>
      <c r="R15" s="19">
        <f t="shared" si="4"/>
        <v>-7.5264611821949483</v>
      </c>
      <c r="T15" s="44">
        <v>-50</v>
      </c>
      <c r="U15">
        <v>0</v>
      </c>
      <c r="V15" s="34">
        <f t="shared" si="5"/>
        <v>0</v>
      </c>
      <c r="W15" s="34">
        <f>SUM($V$13:V15)</f>
        <v>3.1746031746031746E-3</v>
      </c>
      <c r="Y15" s="44">
        <f t="shared" si="6"/>
        <v>-50</v>
      </c>
      <c r="Z15" s="32">
        <f t="shared" si="7"/>
        <v>3.7543081392690729E-3</v>
      </c>
      <c r="AA15" s="4">
        <f t="shared" si="8"/>
        <v>3.1145659808902819E-3</v>
      </c>
      <c r="AB15" s="4">
        <f>SUM($AA$13:AA15)</f>
        <v>3.7543081392690733E-3</v>
      </c>
    </row>
    <row r="16" spans="1:28" x14ac:dyDescent="0.3">
      <c r="A16" s="7" t="s">
        <v>2</v>
      </c>
      <c r="B16" s="30">
        <f>AVERAGE($R$5:$R$319)</f>
        <v>-1.1385906338585963</v>
      </c>
      <c r="I16">
        <v>12</v>
      </c>
      <c r="J16" s="19">
        <f>$B$5*Data!F14/Data!F13</f>
        <v>199004173.71615541</v>
      </c>
      <c r="K16" s="19">
        <f>$B$6*Data!I14/Data!I13</f>
        <v>198361277.7275601</v>
      </c>
      <c r="L16" s="19">
        <f>$B$7*Data!L14/Data!L13</f>
        <v>197176471.1606209</v>
      </c>
      <c r="M16" s="19">
        <f>$B$8*Data!O14/Data!O13</f>
        <v>198350919.30607668</v>
      </c>
      <c r="N16" s="19">
        <f>$B$9*Data!R14/Data!R13</f>
        <v>198611927.32617912</v>
      </c>
      <c r="O16" s="19">
        <f t="shared" si="1"/>
        <v>991504769.23659217</v>
      </c>
      <c r="P16" s="19">
        <f t="shared" si="2"/>
        <v>-8495230.7634078264</v>
      </c>
      <c r="Q16" s="19">
        <f t="shared" si="3"/>
        <v>8495230.7634078264</v>
      </c>
      <c r="R16" s="19">
        <f t="shared" si="4"/>
        <v>8.495230763407827</v>
      </c>
      <c r="T16" s="44">
        <v>-40</v>
      </c>
      <c r="U16">
        <v>6</v>
      </c>
      <c r="V16" s="34">
        <f t="shared" si="5"/>
        <v>1.9047619047619049E-2</v>
      </c>
      <c r="W16" s="34">
        <f>SUM($V$13:V16)</f>
        <v>2.2222222222222223E-2</v>
      </c>
      <c r="Y16" s="44">
        <f t="shared" si="6"/>
        <v>-40</v>
      </c>
      <c r="Z16" s="32">
        <f t="shared" si="7"/>
        <v>1.6740708123514633E-2</v>
      </c>
      <c r="AA16" s="4">
        <f t="shared" si="8"/>
        <v>1.2986399984245559E-2</v>
      </c>
      <c r="AB16" s="4">
        <f>SUM($AA$13:AA16)</f>
        <v>1.6740708123514633E-2</v>
      </c>
    </row>
    <row r="17" spans="1:28" x14ac:dyDescent="0.3">
      <c r="A17" s="7" t="s">
        <v>15</v>
      </c>
      <c r="B17" s="30">
        <f>_xlfn.STDEV.S($R$5:$R$319)</f>
        <v>18.276864235164435</v>
      </c>
      <c r="I17">
        <v>13</v>
      </c>
      <c r="J17" s="19">
        <f>$B$5*Data!F15/Data!F14</f>
        <v>195457463.98715594</v>
      </c>
      <c r="K17" s="19">
        <f>$B$6*Data!I15/Data!I14</f>
        <v>195198752.04120964</v>
      </c>
      <c r="L17" s="19">
        <f>$B$7*Data!L15/Data!L14</f>
        <v>193962220.84470883</v>
      </c>
      <c r="M17" s="19">
        <f>$B$8*Data!O15/Data!O14</f>
        <v>195110274.4091647</v>
      </c>
      <c r="N17" s="19">
        <f>$B$9*Data!R15/Data!R14</f>
        <v>192040810.89216214</v>
      </c>
      <c r="O17" s="19">
        <f t="shared" si="1"/>
        <v>971769522.17440128</v>
      </c>
      <c r="P17" s="19">
        <f t="shared" si="2"/>
        <v>-28230477.825598717</v>
      </c>
      <c r="Q17" s="19">
        <f t="shared" si="3"/>
        <v>28230477.825598717</v>
      </c>
      <c r="R17" s="19">
        <f t="shared" si="4"/>
        <v>28.230477825598715</v>
      </c>
      <c r="T17" s="44">
        <v>-30</v>
      </c>
      <c r="U17">
        <v>7</v>
      </c>
      <c r="V17" s="34">
        <f t="shared" si="5"/>
        <v>2.2222222222222223E-2</v>
      </c>
      <c r="W17" s="34">
        <f>SUM($V$13:V17)</f>
        <v>4.4444444444444446E-2</v>
      </c>
      <c r="Y17" s="44">
        <f t="shared" si="6"/>
        <v>-30</v>
      </c>
      <c r="Z17" s="32">
        <f t="shared" si="7"/>
        <v>5.7153969436477103E-2</v>
      </c>
      <c r="AA17" s="4">
        <f t="shared" si="8"/>
        <v>4.0413261312962467E-2</v>
      </c>
      <c r="AB17" s="4">
        <f>SUM($AA$13:AA17)</f>
        <v>5.7153969436477103E-2</v>
      </c>
    </row>
    <row r="18" spans="1:28" x14ac:dyDescent="0.3">
      <c r="A18" s="7" t="s">
        <v>3</v>
      </c>
      <c r="B18" s="30">
        <f>SKEW($R$5:$R$319)</f>
        <v>1.2960061161704428</v>
      </c>
      <c r="C18" s="19"/>
      <c r="I18">
        <v>14</v>
      </c>
      <c r="J18" s="19">
        <f>$B$5*Data!F16/Data!F15</f>
        <v>205138088.37575492</v>
      </c>
      <c r="K18" s="19">
        <f>$B$6*Data!I16/Data!I15</f>
        <v>205926743.16817829</v>
      </c>
      <c r="L18" s="19">
        <f>$B$7*Data!L16/Data!L15</f>
        <v>207287802.381874</v>
      </c>
      <c r="M18" s="19">
        <f>$B$8*Data!O16/Data!O15</f>
        <v>205444030.13115481</v>
      </c>
      <c r="N18" s="19">
        <f>$B$9*Data!R16/Data!R15</f>
        <v>204283151.45476651</v>
      </c>
      <c r="O18" s="19">
        <f t="shared" si="1"/>
        <v>1028079815.5117285</v>
      </c>
      <c r="P18" s="19">
        <f t="shared" si="2"/>
        <v>28079815.511728525</v>
      </c>
      <c r="Q18" s="19">
        <f t="shared" si="3"/>
        <v>-28079815.511728525</v>
      </c>
      <c r="R18" s="19">
        <f t="shared" si="4"/>
        <v>-28.079815511728526</v>
      </c>
      <c r="T18" s="44">
        <v>-20</v>
      </c>
      <c r="U18">
        <v>31</v>
      </c>
      <c r="V18" s="34">
        <f t="shared" si="5"/>
        <v>9.841269841269841E-2</v>
      </c>
      <c r="W18" s="34">
        <f>SUM($V$13:V18)</f>
        <v>0.14285714285714285</v>
      </c>
      <c r="Y18" s="44">
        <f t="shared" si="6"/>
        <v>-20</v>
      </c>
      <c r="Z18" s="32">
        <f>_xlfn.NORM.DIST(Y18,$B$16,$B$17,TRUE)</f>
        <v>0.15104008963052301</v>
      </c>
      <c r="AA18" s="4">
        <f t="shared" si="8"/>
        <v>9.3886120194045908E-2</v>
      </c>
      <c r="AB18" s="4">
        <f>SUM($AA$13:AA18)</f>
        <v>0.15104008963052301</v>
      </c>
    </row>
    <row r="19" spans="1:28" x14ac:dyDescent="0.3">
      <c r="A19" s="7" t="s">
        <v>4</v>
      </c>
      <c r="B19" s="30">
        <f>KURT($R$5:$R$319)</f>
        <v>10.835218771510595</v>
      </c>
      <c r="I19">
        <v>15</v>
      </c>
      <c r="J19" s="19">
        <f>$B$5*Data!F17/Data!F16</f>
        <v>207221998.26364964</v>
      </c>
      <c r="K19" s="19">
        <f>$B$6*Data!I17/Data!I16</f>
        <v>209057276.77847305</v>
      </c>
      <c r="L19" s="19">
        <f>$B$7*Data!L17/Data!L16</f>
        <v>208584557.41043812</v>
      </c>
      <c r="M19" s="19">
        <f>$B$8*Data!O17/Data!O16</f>
        <v>208364085.31104749</v>
      </c>
      <c r="N19" s="19">
        <f>$B$9*Data!R17/Data!R16</f>
        <v>208316304.92376176</v>
      </c>
      <c r="O19" s="19">
        <f t="shared" si="1"/>
        <v>1041544222.6873702</v>
      </c>
      <c r="P19" s="19">
        <f t="shared" si="2"/>
        <v>41544222.687370181</v>
      </c>
      <c r="Q19" s="19">
        <f t="shared" si="3"/>
        <v>-41544222.687370181</v>
      </c>
      <c r="R19" s="19">
        <f t="shared" si="4"/>
        <v>-41.54422268737018</v>
      </c>
      <c r="T19" s="44">
        <v>-10</v>
      </c>
      <c r="U19">
        <v>41</v>
      </c>
      <c r="V19" s="34">
        <f t="shared" si="5"/>
        <v>0.13015873015873017</v>
      </c>
      <c r="W19" s="34">
        <f>SUM($V$13:V19)</f>
        <v>0.27301587301587305</v>
      </c>
      <c r="Y19" s="44">
        <f t="shared" si="6"/>
        <v>-10</v>
      </c>
      <c r="Z19" s="32">
        <f t="shared" si="7"/>
        <v>0.31389386519840012</v>
      </c>
      <c r="AA19" s="4">
        <f t="shared" si="8"/>
        <v>0.16285377556787711</v>
      </c>
      <c r="AB19" s="4">
        <f>SUM($AA$13:AA19)</f>
        <v>0.31389386519840012</v>
      </c>
    </row>
    <row r="20" spans="1:28" x14ac:dyDescent="0.3">
      <c r="I20">
        <v>16</v>
      </c>
      <c r="J20" s="19">
        <f>$B$5*Data!F18/Data!F17</f>
        <v>203928301.02022004</v>
      </c>
      <c r="K20" s="19">
        <f>$B$6*Data!I18/Data!I17</f>
        <v>204284529.78128201</v>
      </c>
      <c r="L20" s="19">
        <f>$B$7*Data!L18/Data!L17</f>
        <v>201802554.53476521</v>
      </c>
      <c r="M20" s="19">
        <f>$B$8*Data!O18/Data!O17</f>
        <v>204323888.39342597</v>
      </c>
      <c r="N20" s="19">
        <f>$B$9*Data!R18/Data!R17</f>
        <v>207318914.18279141</v>
      </c>
      <c r="O20" s="19">
        <f t="shared" si="1"/>
        <v>1021658187.9124846</v>
      </c>
      <c r="P20" s="19">
        <f t="shared" si="2"/>
        <v>21658187.912484646</v>
      </c>
      <c r="Q20" s="19">
        <f t="shared" si="3"/>
        <v>-21658187.912484646</v>
      </c>
      <c r="R20" s="19">
        <f t="shared" si="4"/>
        <v>-21.658187912484646</v>
      </c>
      <c r="T20" s="44">
        <v>0</v>
      </c>
      <c r="U20">
        <v>73</v>
      </c>
      <c r="V20" s="34">
        <f t="shared" si="5"/>
        <v>0.23174603174603176</v>
      </c>
      <c r="W20" s="34">
        <f>SUM($V$13:V20)</f>
        <v>0.50476190476190474</v>
      </c>
      <c r="Y20" s="44">
        <f t="shared" si="6"/>
        <v>0</v>
      </c>
      <c r="Z20" s="32">
        <f t="shared" si="7"/>
        <v>0.52483677203320889</v>
      </c>
      <c r="AA20" s="4">
        <f t="shared" si="8"/>
        <v>0.21094290683480876</v>
      </c>
      <c r="AB20" s="4">
        <f>SUM($AA$13:AA20)</f>
        <v>0.52483677203320889</v>
      </c>
    </row>
    <row r="21" spans="1:28" x14ac:dyDescent="0.3">
      <c r="I21">
        <v>17</v>
      </c>
      <c r="J21" s="19">
        <f>$B$5*Data!F19/Data!F18</f>
        <v>196876410.31334206</v>
      </c>
      <c r="K21" s="19">
        <f>$B$6*Data!I19/Data!I18</f>
        <v>195240007.34683123</v>
      </c>
      <c r="L21" s="19">
        <f>$B$7*Data!L19/Data!L18</f>
        <v>192575859.95426139</v>
      </c>
      <c r="M21" s="19">
        <f>$B$8*Data!O19/Data!O18</f>
        <v>196113343.74925786</v>
      </c>
      <c r="N21" s="19">
        <f>$B$9*Data!R19/Data!R18</f>
        <v>198598566.93744954</v>
      </c>
      <c r="O21" s="19">
        <f t="shared" si="1"/>
        <v>979404188.3011421</v>
      </c>
      <c r="P21" s="19">
        <f t="shared" si="2"/>
        <v>-20595811.698857903</v>
      </c>
      <c r="Q21" s="19">
        <f t="shared" si="3"/>
        <v>20595811.698857903</v>
      </c>
      <c r="R21" s="19">
        <f t="shared" si="4"/>
        <v>20.595811698857904</v>
      </c>
      <c r="T21" s="44">
        <v>10</v>
      </c>
      <c r="U21">
        <v>86</v>
      </c>
      <c r="V21" s="34">
        <f t="shared" si="5"/>
        <v>0.27301587301587299</v>
      </c>
      <c r="W21" s="34">
        <f>SUM($V$13:V21)</f>
        <v>0.77777777777777768</v>
      </c>
      <c r="Y21" s="44">
        <f t="shared" si="6"/>
        <v>10</v>
      </c>
      <c r="Z21" s="32">
        <f t="shared" si="7"/>
        <v>0.72888246933099343</v>
      </c>
      <c r="AA21" s="4">
        <f t="shared" si="8"/>
        <v>0.20404569729778455</v>
      </c>
      <c r="AB21" s="4">
        <f>SUM($AA$13:AA21)</f>
        <v>0.72888246933099343</v>
      </c>
    </row>
    <row r="22" spans="1:28" x14ac:dyDescent="0.3">
      <c r="C22" s="21"/>
      <c r="I22">
        <v>18</v>
      </c>
      <c r="J22" s="19">
        <f>$B$5*Data!F20/Data!F19</f>
        <v>201587941.96934563</v>
      </c>
      <c r="K22" s="19">
        <f>$B$6*Data!I20/Data!I19</f>
        <v>201967216.3435989</v>
      </c>
      <c r="L22" s="19">
        <f>$B$7*Data!L20/Data!L19</f>
        <v>201093868.2646673</v>
      </c>
      <c r="M22" s="19">
        <f>$B$8*Data!O20/Data!O19</f>
        <v>201837372.82127139</v>
      </c>
      <c r="N22" s="19">
        <f>$B$9*Data!R20/Data!R19</f>
        <v>202994226.12803733</v>
      </c>
      <c r="O22" s="19">
        <f t="shared" si="1"/>
        <v>1009480625.5269206</v>
      </c>
      <c r="P22" s="19">
        <f t="shared" si="2"/>
        <v>9480625.526920557</v>
      </c>
      <c r="Q22" s="19">
        <f t="shared" si="3"/>
        <v>-9480625.526920557</v>
      </c>
      <c r="R22" s="19">
        <f t="shared" si="4"/>
        <v>-9.4806255269205568</v>
      </c>
      <c r="T22" s="44">
        <v>20</v>
      </c>
      <c r="U22">
        <v>48</v>
      </c>
      <c r="V22" s="34">
        <f t="shared" si="5"/>
        <v>0.15238095238095239</v>
      </c>
      <c r="W22" s="34">
        <f>SUM($V$13:V22)</f>
        <v>0.93015873015873007</v>
      </c>
      <c r="Y22" s="44">
        <f t="shared" si="6"/>
        <v>20</v>
      </c>
      <c r="Z22" s="32">
        <f t="shared" si="7"/>
        <v>0.87627727442897796</v>
      </c>
      <c r="AA22" s="4">
        <f t="shared" si="8"/>
        <v>0.14739480509798453</v>
      </c>
      <c r="AB22" s="4">
        <f>SUM($AA$13:AA22)</f>
        <v>0.87627727442897796</v>
      </c>
    </row>
    <row r="23" spans="1:28" x14ac:dyDescent="0.3">
      <c r="C23" s="1"/>
      <c r="I23">
        <v>19</v>
      </c>
      <c r="J23" s="19">
        <f>$B$5*Data!F21/Data!F20</f>
        <v>195247620.99856097</v>
      </c>
      <c r="K23" s="19">
        <f>$B$6*Data!I21/Data!I20</f>
        <v>194714304.79453191</v>
      </c>
      <c r="L23" s="19">
        <f>$B$7*Data!L21/Data!L20</f>
        <v>193360872.94320479</v>
      </c>
      <c r="M23" s="19">
        <f>$B$8*Data!O21/Data!O20</f>
        <v>194959199.96455249</v>
      </c>
      <c r="N23" s="19">
        <f>$B$9*Data!R21/Data!R20</f>
        <v>195175564.53535554</v>
      </c>
      <c r="O23" s="19">
        <f t="shared" si="1"/>
        <v>973457563.2362057</v>
      </c>
      <c r="P23" s="19">
        <f t="shared" si="2"/>
        <v>-26542436.763794303</v>
      </c>
      <c r="Q23" s="19">
        <f t="shared" si="3"/>
        <v>26542436.763794303</v>
      </c>
      <c r="R23" s="19">
        <f t="shared" si="4"/>
        <v>26.542436763794303</v>
      </c>
      <c r="T23" s="44">
        <v>30</v>
      </c>
      <c r="U23">
        <v>16</v>
      </c>
      <c r="V23" s="34">
        <f t="shared" si="5"/>
        <v>5.0793650793650794E-2</v>
      </c>
      <c r="W23" s="34">
        <f>SUM($V$13:V23)</f>
        <v>0.98095238095238091</v>
      </c>
      <c r="Y23" s="44">
        <f t="shared" si="6"/>
        <v>30</v>
      </c>
      <c r="Z23" s="32">
        <f t="shared" si="7"/>
        <v>0.95578294480074366</v>
      </c>
      <c r="AA23" s="4">
        <f t="shared" si="8"/>
        <v>7.9505670371765702E-2</v>
      </c>
      <c r="AB23" s="4">
        <f>SUM($AA$13:AA23)</f>
        <v>0.95578294480074366</v>
      </c>
    </row>
    <row r="24" spans="1:28" x14ac:dyDescent="0.3">
      <c r="C24" s="1"/>
      <c r="I24">
        <v>20</v>
      </c>
      <c r="J24" s="19">
        <f>$B$5*Data!F22/Data!F21</f>
        <v>197211132.47897357</v>
      </c>
      <c r="K24" s="19">
        <f>$B$6*Data!I22/Data!I21</f>
        <v>196972935.33346063</v>
      </c>
      <c r="L24" s="19">
        <f>$B$7*Data!L22/Data!L21</f>
        <v>193985850.22801414</v>
      </c>
      <c r="M24" s="19">
        <f>$B$8*Data!O22/Data!O21</f>
        <v>196909058.10128269</v>
      </c>
      <c r="N24" s="19">
        <f>$B$9*Data!R22/Data!R21</f>
        <v>198364376.89278233</v>
      </c>
      <c r="O24" s="19">
        <f t="shared" si="1"/>
        <v>983443353.03451335</v>
      </c>
      <c r="P24" s="19">
        <f t="shared" si="2"/>
        <v>-16556646.965486646</v>
      </c>
      <c r="Q24" s="19">
        <f t="shared" si="3"/>
        <v>16556646.965486646</v>
      </c>
      <c r="R24" s="19">
        <f t="shared" si="4"/>
        <v>16.556646965486646</v>
      </c>
      <c r="T24" s="44">
        <v>40</v>
      </c>
      <c r="U24">
        <v>3</v>
      </c>
      <c r="V24" s="34">
        <f t="shared" si="5"/>
        <v>9.5238095238095247E-3</v>
      </c>
      <c r="W24" s="34">
        <f>SUM($V$13:V24)</f>
        <v>0.9904761904761904</v>
      </c>
      <c r="Y24" s="44">
        <f t="shared" si="6"/>
        <v>40</v>
      </c>
      <c r="Z24" s="32">
        <f t="shared" si="7"/>
        <v>0.98780267225862384</v>
      </c>
      <c r="AA24" s="4">
        <f t="shared" si="8"/>
        <v>3.2019727457880176E-2</v>
      </c>
      <c r="AB24" s="4">
        <f>SUM($AA$13:AA24)</f>
        <v>0.98780267225862384</v>
      </c>
    </row>
    <row r="25" spans="1:28" x14ac:dyDescent="0.3">
      <c r="C25" s="1"/>
      <c r="I25">
        <v>21</v>
      </c>
      <c r="J25" s="19">
        <f>$B$5*Data!F23/Data!F22</f>
        <v>201006839.94039771</v>
      </c>
      <c r="K25" s="19">
        <f>$B$6*Data!I23/Data!I22</f>
        <v>201602856.26854983</v>
      </c>
      <c r="L25" s="19">
        <f>$B$7*Data!L23/Data!L22</f>
        <v>203960520.56446555</v>
      </c>
      <c r="M25" s="19">
        <f>$B$8*Data!O23/Data!O22</f>
        <v>201092452.21904564</v>
      </c>
      <c r="N25" s="19">
        <f>$B$9*Data!R23/Data!R22</f>
        <v>199215257.74874532</v>
      </c>
      <c r="O25" s="19">
        <f t="shared" si="1"/>
        <v>1006877926.741204</v>
      </c>
      <c r="P25" s="19">
        <f t="shared" si="2"/>
        <v>6877926.7412040234</v>
      </c>
      <c r="Q25" s="19">
        <f t="shared" si="3"/>
        <v>-6877926.7412040234</v>
      </c>
      <c r="R25" s="19">
        <f t="shared" si="4"/>
        <v>-6.877926741204023</v>
      </c>
      <c r="T25" s="44">
        <v>50</v>
      </c>
      <c r="U25">
        <v>1</v>
      </c>
      <c r="V25" s="34">
        <f t="shared" si="5"/>
        <v>3.1746031746031746E-3</v>
      </c>
      <c r="W25" s="34">
        <f>SUM($V$13:V25)</f>
        <v>0.99365079365079356</v>
      </c>
      <c r="Y25" s="44">
        <f t="shared" si="6"/>
        <v>50</v>
      </c>
      <c r="Z25" s="32">
        <f t="shared" si="7"/>
        <v>0.9974289614875721</v>
      </c>
      <c r="AA25" s="4">
        <f t="shared" si="8"/>
        <v>9.6262892289482593E-3</v>
      </c>
      <c r="AB25" s="4">
        <f>SUM($AA$13:AA25)</f>
        <v>0.9974289614875721</v>
      </c>
    </row>
    <row r="26" spans="1:28" x14ac:dyDescent="0.3">
      <c r="A26" s="2"/>
      <c r="B26" s="1"/>
      <c r="C26" s="1"/>
      <c r="I26">
        <v>22</v>
      </c>
      <c r="J26" s="19">
        <f>$B$5*Data!F24/Data!F23</f>
        <v>199567740.873689</v>
      </c>
      <c r="K26" s="19">
        <f>$B$6*Data!I24/Data!I23</f>
        <v>198950298.99292526</v>
      </c>
      <c r="L26" s="19">
        <f>$B$7*Data!L24/Data!L23</f>
        <v>198548924.78524452</v>
      </c>
      <c r="M26" s="19">
        <f>$B$8*Data!O24/Data!O23</f>
        <v>199815307.39102507</v>
      </c>
      <c r="N26" s="19">
        <f>$B$9*Data!R24/Data!R23</f>
        <v>200420902.83597291</v>
      </c>
      <c r="O26" s="19">
        <f t="shared" si="1"/>
        <v>997303174.87885678</v>
      </c>
      <c r="P26" s="19">
        <f t="shared" si="2"/>
        <v>-2696825.1211432219</v>
      </c>
      <c r="Q26" s="19">
        <f t="shared" si="3"/>
        <v>2696825.1211432219</v>
      </c>
      <c r="R26" s="19">
        <f t="shared" si="4"/>
        <v>2.6968251211432217</v>
      </c>
      <c r="T26" s="44">
        <v>60</v>
      </c>
      <c r="U26">
        <v>0</v>
      </c>
      <c r="V26" s="34">
        <f t="shared" si="5"/>
        <v>0</v>
      </c>
      <c r="W26" s="34">
        <f>SUM($V$13:V26)</f>
        <v>0.99365079365079356</v>
      </c>
      <c r="Y26" s="44">
        <f t="shared" si="6"/>
        <v>60</v>
      </c>
      <c r="Z26" s="32">
        <f t="shared" si="7"/>
        <v>0.9995887883604937</v>
      </c>
      <c r="AA26" s="4">
        <f t="shared" si="8"/>
        <v>2.1598268729215997E-3</v>
      </c>
      <c r="AB26" s="4">
        <f>SUM($AA$13:AA26)</f>
        <v>0.9995887883604937</v>
      </c>
    </row>
    <row r="27" spans="1:28" x14ac:dyDescent="0.3">
      <c r="A27" s="2"/>
      <c r="B27" s="2"/>
      <c r="C27" s="1"/>
      <c r="I27">
        <v>23</v>
      </c>
      <c r="J27" s="19">
        <f>$B$5*Data!F25/Data!F24</f>
        <v>199661041.05414793</v>
      </c>
      <c r="K27" s="19">
        <f>$B$6*Data!I25/Data!I24</f>
        <v>200353042.05567887</v>
      </c>
      <c r="L27" s="19">
        <f>$B$7*Data!L25/Data!L24</f>
        <v>199631792.53480148</v>
      </c>
      <c r="M27" s="19">
        <f>$B$8*Data!O25/Data!O24</f>
        <v>199901748.22761112</v>
      </c>
      <c r="N27" s="19">
        <f>$B$9*Data!R25/Data!R24</f>
        <v>198439082.97086295</v>
      </c>
      <c r="O27" s="19">
        <f t="shared" si="1"/>
        <v>997986706.84310234</v>
      </c>
      <c r="P27" s="19">
        <f t="shared" si="2"/>
        <v>-2013293.1568976641</v>
      </c>
      <c r="Q27" s="19">
        <f t="shared" si="3"/>
        <v>2013293.1568976641</v>
      </c>
      <c r="R27" s="19">
        <f t="shared" si="4"/>
        <v>2.0132931568976642</v>
      </c>
      <c r="T27" s="44">
        <v>70</v>
      </c>
      <c r="U27">
        <v>0</v>
      </c>
      <c r="V27" s="34">
        <f t="shared" si="5"/>
        <v>0</v>
      </c>
      <c r="W27" s="34">
        <f>SUM($V$13:V27)</f>
        <v>0.99365079365079356</v>
      </c>
      <c r="Y27" s="44">
        <f t="shared" si="6"/>
        <v>70</v>
      </c>
      <c r="Z27" s="32">
        <f t="shared" si="7"/>
        <v>0.99995034580674436</v>
      </c>
      <c r="AA27" s="4">
        <f t="shared" si="8"/>
        <v>3.6155744625065989E-4</v>
      </c>
      <c r="AB27" s="4">
        <f>SUM($AA$13:AA27)</f>
        <v>0.99995034580674436</v>
      </c>
    </row>
    <row r="28" spans="1:28" x14ac:dyDescent="0.3">
      <c r="A28" s="2"/>
      <c r="B28" s="1"/>
      <c r="C28" s="1"/>
      <c r="I28">
        <v>24</v>
      </c>
      <c r="J28" s="19">
        <f>$B$5*Data!F26/Data!F25</f>
        <v>208059355.02656898</v>
      </c>
      <c r="K28" s="19">
        <f>$B$6*Data!I26/Data!I25</f>
        <v>209947792.78768826</v>
      </c>
      <c r="L28" s="19">
        <f>$B$7*Data!L26/Data!L25</f>
        <v>213465453.00343218</v>
      </c>
      <c r="M28" s="19">
        <f>$B$8*Data!O26/Data!O25</f>
        <v>209804200.67063087</v>
      </c>
      <c r="N28" s="19">
        <f>$B$9*Data!R26/Data!R25</f>
        <v>206750385.98022038</v>
      </c>
      <c r="O28" s="19">
        <f t="shared" si="1"/>
        <v>1048027187.4685407</v>
      </c>
      <c r="P28" s="19">
        <f t="shared" si="2"/>
        <v>48027187.468540668</v>
      </c>
      <c r="Q28" s="19">
        <f t="shared" si="3"/>
        <v>-48027187.468540668</v>
      </c>
      <c r="R28" s="19">
        <f t="shared" si="4"/>
        <v>-48.027187468540667</v>
      </c>
      <c r="T28" s="44">
        <v>80</v>
      </c>
      <c r="U28">
        <v>0</v>
      </c>
      <c r="V28" s="34">
        <f t="shared" si="5"/>
        <v>0</v>
      </c>
      <c r="W28" s="34">
        <f>SUM($V$13:V28)</f>
        <v>0.99365079365079356</v>
      </c>
      <c r="Y28" s="44">
        <f t="shared" si="6"/>
        <v>80</v>
      </c>
      <c r="Z28" s="32">
        <f t="shared" si="7"/>
        <v>0.99999548981962572</v>
      </c>
      <c r="AA28" s="4">
        <f t="shared" si="8"/>
        <v>4.5144012881359608E-5</v>
      </c>
      <c r="AB28" s="4">
        <f>SUM($AA$13:AA28)</f>
        <v>0.99999548981962572</v>
      </c>
    </row>
    <row r="29" spans="1:28" x14ac:dyDescent="0.3">
      <c r="A29" s="2"/>
      <c r="B29" s="1"/>
      <c r="C29" s="1"/>
      <c r="I29">
        <v>25</v>
      </c>
      <c r="J29" s="19">
        <f>$B$5*Data!F27/Data!F26</f>
        <v>199407800.76274601</v>
      </c>
      <c r="K29" s="19">
        <f>$B$6*Data!I27/Data!I26</f>
        <v>199075394.54784131</v>
      </c>
      <c r="L29" s="19">
        <f>$B$7*Data!L27/Data!L26</f>
        <v>196812282.75477418</v>
      </c>
      <c r="M29" s="19">
        <f>$B$8*Data!O27/Data!O26</f>
        <v>198180657.03981552</v>
      </c>
      <c r="N29" s="19">
        <f>$B$9*Data!R27/Data!R26</f>
        <v>198657760.12123725</v>
      </c>
      <c r="O29" s="19">
        <f t="shared" si="1"/>
        <v>992133895.22641432</v>
      </c>
      <c r="P29" s="19">
        <f t="shared" si="2"/>
        <v>-7866104.7735856771</v>
      </c>
      <c r="Q29" s="19">
        <f t="shared" si="3"/>
        <v>7866104.7735856771</v>
      </c>
      <c r="R29" s="19">
        <f t="shared" si="4"/>
        <v>7.8661047735856773</v>
      </c>
      <c r="T29" s="44">
        <v>90</v>
      </c>
      <c r="U29">
        <v>1</v>
      </c>
      <c r="V29" s="34">
        <f t="shared" si="5"/>
        <v>3.1746031746031746E-3</v>
      </c>
      <c r="W29" s="34">
        <f>SUM($V$13:V29)</f>
        <v>0.99682539682539673</v>
      </c>
      <c r="Y29" s="44">
        <f t="shared" si="6"/>
        <v>90</v>
      </c>
      <c r="Z29" s="32">
        <f t="shared" si="7"/>
        <v>0.99999969267309219</v>
      </c>
      <c r="AA29" s="4">
        <f t="shared" si="8"/>
        <v>4.2028534664728667E-6</v>
      </c>
      <c r="AB29" s="4">
        <f>SUM($AA$13:AA29)</f>
        <v>0.99999969267309219</v>
      </c>
    </row>
    <row r="30" spans="1:28" x14ac:dyDescent="0.3">
      <c r="A30" s="2"/>
      <c r="B30" s="1"/>
      <c r="C30" s="1"/>
      <c r="I30">
        <v>26</v>
      </c>
      <c r="J30" s="19">
        <f>$B$5*Data!F28/Data!F27</f>
        <v>197412202.33876339</v>
      </c>
      <c r="K30" s="19">
        <f>$B$6*Data!I28/Data!I27</f>
        <v>196961209.05467719</v>
      </c>
      <c r="L30" s="19">
        <f>$B$7*Data!L28/Data!L27</f>
        <v>198559505.77364594</v>
      </c>
      <c r="M30" s="19">
        <f>$B$8*Data!O28/Data!O27</f>
        <v>197680019.34403419</v>
      </c>
      <c r="N30" s="19">
        <f>$B$9*Data!R28/Data!R27</f>
        <v>199806563.65681785</v>
      </c>
      <c r="O30" s="19">
        <f t="shared" si="1"/>
        <v>990419500.16793871</v>
      </c>
      <c r="P30" s="19">
        <f t="shared" si="2"/>
        <v>-9580499.8320612907</v>
      </c>
      <c r="Q30" s="19">
        <f t="shared" si="3"/>
        <v>9580499.8320612907</v>
      </c>
      <c r="R30" s="19">
        <f t="shared" si="4"/>
        <v>9.5804998320612906</v>
      </c>
      <c r="T30" s="44">
        <v>100</v>
      </c>
      <c r="U30">
        <v>0</v>
      </c>
      <c r="V30" s="34">
        <f t="shared" si="5"/>
        <v>0</v>
      </c>
      <c r="W30" s="34">
        <f>SUM($V$13:V30)</f>
        <v>0.99682539682539673</v>
      </c>
      <c r="Y30" s="44">
        <f t="shared" si="6"/>
        <v>100</v>
      </c>
      <c r="Z30" s="32">
        <f t="shared" si="7"/>
        <v>0.99999998432229098</v>
      </c>
      <c r="AA30" s="4">
        <f t="shared" si="8"/>
        <v>2.916491987914327E-7</v>
      </c>
      <c r="AB30" s="4">
        <f>SUM($AA$13:AA30)</f>
        <v>0.99999998432229098</v>
      </c>
    </row>
    <row r="31" spans="1:28" x14ac:dyDescent="0.3">
      <c r="A31" s="2"/>
      <c r="B31" s="1"/>
      <c r="C31" s="1"/>
      <c r="I31">
        <v>27</v>
      </c>
      <c r="J31" s="19">
        <f>$B$5*Data!F29/Data!F28</f>
        <v>198376727.37720171</v>
      </c>
      <c r="K31" s="19">
        <f>$B$6*Data!I29/Data!I28</f>
        <v>197972523.60649413</v>
      </c>
      <c r="L31" s="19">
        <f>$B$7*Data!L29/Data!L28</f>
        <v>197424051.39746067</v>
      </c>
      <c r="M31" s="19">
        <f>$B$8*Data!O29/Data!O28</f>
        <v>198044515.63359416</v>
      </c>
      <c r="N31" s="19">
        <f>$B$9*Data!R29/Data!R28</f>
        <v>197018456.23303306</v>
      </c>
      <c r="O31" s="19">
        <f t="shared" si="1"/>
        <v>988836274.24778378</v>
      </c>
      <c r="P31" s="19">
        <f t="shared" si="2"/>
        <v>-11163725.75221622</v>
      </c>
      <c r="Q31" s="19">
        <f t="shared" si="3"/>
        <v>11163725.75221622</v>
      </c>
      <c r="R31" s="19">
        <f t="shared" si="4"/>
        <v>11.163725752216219</v>
      </c>
      <c r="T31" s="44">
        <v>110</v>
      </c>
      <c r="U31">
        <v>0</v>
      </c>
      <c r="V31" s="34">
        <f t="shared" si="5"/>
        <v>0</v>
      </c>
      <c r="W31" s="34">
        <f>SUM($V$13:V31)</f>
        <v>0.99682539682539673</v>
      </c>
      <c r="Y31" s="44">
        <f t="shared" si="6"/>
        <v>110</v>
      </c>
      <c r="Z31" s="32">
        <f t="shared" si="7"/>
        <v>0.99999999940220763</v>
      </c>
      <c r="AA31" s="4">
        <f t="shared" si="8"/>
        <v>1.5079916648730318E-8</v>
      </c>
      <c r="AB31" s="4">
        <f>SUM($AA$13:AA31)</f>
        <v>0.99999999940220763</v>
      </c>
    </row>
    <row r="32" spans="1:28" x14ac:dyDescent="0.3">
      <c r="A32" s="2"/>
      <c r="B32" s="1"/>
      <c r="C32" s="1"/>
      <c r="I32">
        <v>28</v>
      </c>
      <c r="J32" s="19">
        <f>$B$5*Data!F30/Data!F29</f>
        <v>201725411.08161134</v>
      </c>
      <c r="K32" s="19">
        <f>$B$6*Data!I30/Data!I29</f>
        <v>203147341.0777573</v>
      </c>
      <c r="L32" s="19">
        <f>$B$7*Data!L30/Data!L29</f>
        <v>204557629.03785065</v>
      </c>
      <c r="M32" s="19">
        <f>$B$8*Data!O30/Data!O29</f>
        <v>203035862.26470482</v>
      </c>
      <c r="N32" s="19">
        <f>$B$9*Data!R30/Data!R29</f>
        <v>199575967.65929896</v>
      </c>
      <c r="O32" s="19">
        <f t="shared" si="1"/>
        <v>1012042211.121223</v>
      </c>
      <c r="P32" s="19">
        <f t="shared" si="2"/>
        <v>12042211.121222973</v>
      </c>
      <c r="Q32" s="19">
        <f t="shared" si="3"/>
        <v>-12042211.121222973</v>
      </c>
      <c r="R32" s="19">
        <f t="shared" si="4"/>
        <v>-12.042211121222973</v>
      </c>
      <c r="T32" s="44">
        <v>120</v>
      </c>
      <c r="U32">
        <v>0</v>
      </c>
      <c r="V32" s="34">
        <f t="shared" si="5"/>
        <v>0</v>
      </c>
      <c r="W32" s="34">
        <f>SUM($V$13:V32)</f>
        <v>0.99682539682539673</v>
      </c>
      <c r="Y32" s="44">
        <f t="shared" si="6"/>
        <v>120</v>
      </c>
      <c r="Z32" s="32">
        <f t="shared" si="7"/>
        <v>0.99999999998298383</v>
      </c>
      <c r="AA32" s="4">
        <f t="shared" si="8"/>
        <v>5.8077620490593063E-10</v>
      </c>
      <c r="AB32" s="4">
        <f>SUM($AA$13:AA32)</f>
        <v>0.99999999998298383</v>
      </c>
    </row>
    <row r="33" spans="9:28" x14ac:dyDescent="0.3">
      <c r="I33">
        <v>29</v>
      </c>
      <c r="J33" s="19">
        <f>$B$5*Data!F31/Data!F30</f>
        <v>200793569.3767398</v>
      </c>
      <c r="K33" s="19">
        <f>$B$6*Data!I31/Data!I30</f>
        <v>200892612.19914353</v>
      </c>
      <c r="L33" s="19">
        <f>$B$7*Data!L31/Data!L30</f>
        <v>201549567.8170079</v>
      </c>
      <c r="M33" s="19">
        <f>$B$8*Data!O31/Data!O30</f>
        <v>200886276.58618119</v>
      </c>
      <c r="N33" s="19">
        <f>$B$9*Data!R31/Data!R30</f>
        <v>199490361.10959893</v>
      </c>
      <c r="O33" s="19">
        <f t="shared" si="1"/>
        <v>1003612387.0886712</v>
      </c>
      <c r="P33" s="19">
        <f t="shared" si="2"/>
        <v>3612387.0886712074</v>
      </c>
      <c r="Q33" s="19">
        <f t="shared" si="3"/>
        <v>-3612387.0886712074</v>
      </c>
      <c r="R33" s="19">
        <f t="shared" si="4"/>
        <v>-3.6123870886712073</v>
      </c>
      <c r="T33" s="44">
        <v>130</v>
      </c>
      <c r="U33">
        <v>0</v>
      </c>
      <c r="V33" s="34">
        <f t="shared" si="5"/>
        <v>0</v>
      </c>
      <c r="W33" s="34">
        <f>SUM($V$13:V33)</f>
        <v>0.99682539682539673</v>
      </c>
      <c r="Y33" s="44">
        <f t="shared" si="6"/>
        <v>130</v>
      </c>
      <c r="Z33" s="32">
        <f t="shared" si="7"/>
        <v>0.99999999999963873</v>
      </c>
      <c r="AA33" s="4">
        <f t="shared" si="8"/>
        <v>1.6654899681611823E-11</v>
      </c>
      <c r="AB33" s="4">
        <f>SUM($AA$13:AA33)</f>
        <v>0.99999999999963873</v>
      </c>
    </row>
    <row r="34" spans="9:28" x14ac:dyDescent="0.3">
      <c r="I34">
        <v>30</v>
      </c>
      <c r="J34" s="19">
        <f>$B$5*Data!F32/Data!F31</f>
        <v>204880179.92625788</v>
      </c>
      <c r="K34" s="19">
        <f>$B$6*Data!I32/Data!I31</f>
        <v>205416496.82808673</v>
      </c>
      <c r="L34" s="19">
        <f>$B$7*Data!L32/Data!L31</f>
        <v>207343737.3845692</v>
      </c>
      <c r="M34" s="19">
        <f>$B$8*Data!O32/Data!O31</f>
        <v>205388641.23610389</v>
      </c>
      <c r="N34" s="19">
        <f>$B$9*Data!R32/Data!R31</f>
        <v>206379265.23124191</v>
      </c>
      <c r="O34" s="19">
        <f t="shared" si="1"/>
        <v>1029408320.6062596</v>
      </c>
      <c r="P34" s="19">
        <f t="shared" si="2"/>
        <v>29408320.606259584</v>
      </c>
      <c r="Q34" s="19">
        <f t="shared" si="3"/>
        <v>-29408320.606259584</v>
      </c>
      <c r="R34" s="19">
        <f t="shared" si="4"/>
        <v>-29.408320606259583</v>
      </c>
      <c r="T34" s="44">
        <v>140</v>
      </c>
      <c r="U34">
        <v>1</v>
      </c>
      <c r="V34" s="34">
        <f t="shared" si="5"/>
        <v>3.1746031746031746E-3</v>
      </c>
      <c r="W34" s="34">
        <f>SUM($V$13:V34)</f>
        <v>0.99999999999999989</v>
      </c>
      <c r="Y34" s="44">
        <f t="shared" si="6"/>
        <v>140</v>
      </c>
      <c r="Z34" s="32">
        <f t="shared" si="7"/>
        <v>0.99999999999999434</v>
      </c>
      <c r="AA34" s="4">
        <f t="shared" si="8"/>
        <v>3.5560443478743764E-13</v>
      </c>
      <c r="AB34" s="4">
        <f>SUM($AA$13:AA34)</f>
        <v>0.99999999999999434</v>
      </c>
    </row>
    <row r="35" spans="9:28" x14ac:dyDescent="0.3">
      <c r="I35">
        <v>31</v>
      </c>
      <c r="J35" s="19">
        <f>$B$5*Data!F33/Data!F32</f>
        <v>198909103.83105424</v>
      </c>
      <c r="K35" s="19">
        <f>$B$6*Data!I33/Data!I32</f>
        <v>198671243.43129498</v>
      </c>
      <c r="L35" s="19">
        <f>$B$7*Data!L33/Data!L32</f>
        <v>195353369.73949948</v>
      </c>
      <c r="M35" s="19">
        <f>$B$8*Data!O33/Data!O32</f>
        <v>198614793.43408033</v>
      </c>
      <c r="N35" s="19">
        <f>$B$9*Data!R33/Data!R32</f>
        <v>203955096.04440516</v>
      </c>
      <c r="O35" s="19">
        <f t="shared" si="1"/>
        <v>995503606.48033428</v>
      </c>
      <c r="P35" s="19">
        <f t="shared" si="2"/>
        <v>-4496393.5196657181</v>
      </c>
      <c r="Q35" s="19">
        <f t="shared" si="3"/>
        <v>4496393.5196657181</v>
      </c>
      <c r="R35" s="19">
        <f t="shared" si="4"/>
        <v>4.4963935196657179</v>
      </c>
      <c r="V35" s="34"/>
      <c r="Y35" s="33"/>
    </row>
    <row r="36" spans="9:28" x14ac:dyDescent="0.3">
      <c r="I36">
        <v>32</v>
      </c>
      <c r="J36" s="19">
        <f>$B$5*Data!F34/Data!F33</f>
        <v>203141010.21512741</v>
      </c>
      <c r="K36" s="19">
        <f>$B$6*Data!I34/Data!I33</f>
        <v>204555644.84475803</v>
      </c>
      <c r="L36" s="19">
        <f>$B$7*Data!L34/Data!L33</f>
        <v>205313950.55211738</v>
      </c>
      <c r="M36" s="19">
        <f>$B$8*Data!O34/Data!O33</f>
        <v>204471844.80383596</v>
      </c>
      <c r="N36" s="19">
        <f>$B$9*Data!R34/Data!R33</f>
        <v>202847092.41225824</v>
      </c>
      <c r="O36" s="19">
        <f t="shared" si="1"/>
        <v>1020329542.8280971</v>
      </c>
      <c r="P36" s="19">
        <f t="shared" si="2"/>
        <v>20329542.828097105</v>
      </c>
      <c r="Q36" s="19">
        <f t="shared" si="3"/>
        <v>-20329542.828097105</v>
      </c>
      <c r="R36" s="19">
        <f t="shared" si="4"/>
        <v>-20.329542828097104</v>
      </c>
      <c r="Y36" s="29"/>
    </row>
    <row r="37" spans="9:28" x14ac:dyDescent="0.3">
      <c r="I37">
        <v>33</v>
      </c>
      <c r="J37" s="19">
        <f>$B$5*Data!F35/Data!F34</f>
        <v>202873004.80469057</v>
      </c>
      <c r="K37" s="19">
        <f>$B$6*Data!I35/Data!I34</f>
        <v>203787969.40752903</v>
      </c>
      <c r="L37" s="19">
        <f>$B$7*Data!L35/Data!L34</f>
        <v>203475347.86233827</v>
      </c>
      <c r="M37" s="19">
        <f>$B$8*Data!O35/Data!O34</f>
        <v>204066186.54249936</v>
      </c>
      <c r="N37" s="19">
        <f>$B$9*Data!R35/Data!R34</f>
        <v>206088228.78046104</v>
      </c>
      <c r="O37" s="19">
        <f t="shared" si="1"/>
        <v>1020290737.3975184</v>
      </c>
      <c r="P37" s="19">
        <f t="shared" si="2"/>
        <v>20290737.397518396</v>
      </c>
      <c r="Q37" s="19">
        <f t="shared" si="3"/>
        <v>-20290737.397518396</v>
      </c>
      <c r="R37" s="19">
        <f t="shared" si="4"/>
        <v>-20.290737397518395</v>
      </c>
      <c r="T37" s="44"/>
      <c r="Y37" s="29"/>
    </row>
    <row r="38" spans="9:28" x14ac:dyDescent="0.3">
      <c r="I38">
        <v>34</v>
      </c>
      <c r="J38" s="19">
        <f>$B$5*Data!F36/Data!F35</f>
        <v>199754995.28214312</v>
      </c>
      <c r="K38" s="19">
        <f>$B$6*Data!I36/Data!I35</f>
        <v>200684493.64686158</v>
      </c>
      <c r="L38" s="19">
        <f>$B$7*Data!L36/Data!L35</f>
        <v>199362157.31422529</v>
      </c>
      <c r="M38" s="19">
        <f>$B$8*Data!O36/Data!O35</f>
        <v>200189669.21041653</v>
      </c>
      <c r="N38" s="19">
        <f>$B$9*Data!R36/Data!R35</f>
        <v>200777639.16621745</v>
      </c>
      <c r="O38" s="19">
        <f t="shared" si="1"/>
        <v>1000768954.619864</v>
      </c>
      <c r="P38" s="19">
        <f t="shared" si="2"/>
        <v>768954.61986398697</v>
      </c>
      <c r="Q38" s="19">
        <f t="shared" si="3"/>
        <v>-768954.61986398697</v>
      </c>
      <c r="R38" s="19">
        <f t="shared" si="4"/>
        <v>-0.76895461986398694</v>
      </c>
      <c r="T38" s="44"/>
      <c r="Y38" s="29"/>
    </row>
    <row r="39" spans="9:28" x14ac:dyDescent="0.3">
      <c r="I39">
        <v>35</v>
      </c>
      <c r="J39" s="19">
        <f>$B$5*Data!F37/Data!F36</f>
        <v>198910429.71781418</v>
      </c>
      <c r="K39" s="19">
        <f>$B$6*Data!I37/Data!I36</f>
        <v>198203816.88911065</v>
      </c>
      <c r="L39" s="19">
        <f>$B$7*Data!L37/Data!L36</f>
        <v>199614687.75001177</v>
      </c>
      <c r="M39" s="19">
        <f>$B$8*Data!O37/Data!O36</f>
        <v>198551976.54854211</v>
      </c>
      <c r="N39" s="19">
        <f>$B$9*Data!R37/Data!R36</f>
        <v>199029863.69727197</v>
      </c>
      <c r="O39" s="19">
        <f t="shared" si="1"/>
        <v>994310774.60275066</v>
      </c>
      <c r="P39" s="19">
        <f t="shared" si="2"/>
        <v>-5689225.397249341</v>
      </c>
      <c r="Q39" s="19">
        <f t="shared" si="3"/>
        <v>5689225.397249341</v>
      </c>
      <c r="R39" s="19">
        <f t="shared" si="4"/>
        <v>5.6892253972493414</v>
      </c>
      <c r="T39" s="44"/>
      <c r="Y39" s="29"/>
    </row>
    <row r="40" spans="9:28" x14ac:dyDescent="0.3">
      <c r="I40">
        <v>36</v>
      </c>
      <c r="J40" s="19">
        <f>$B$5*Data!F38/Data!F37</f>
        <v>201868573.71032262</v>
      </c>
      <c r="K40" s="19">
        <f>$B$6*Data!I38/Data!I37</f>
        <v>202510818.19279987</v>
      </c>
      <c r="L40" s="19">
        <f>$B$7*Data!L38/Data!L37</f>
        <v>206468393.66595435</v>
      </c>
      <c r="M40" s="19">
        <f>$B$8*Data!O38/Data!O37</f>
        <v>202911483.66124788</v>
      </c>
      <c r="N40" s="19">
        <f>$B$9*Data!R38/Data!R37</f>
        <v>199067245.64344993</v>
      </c>
      <c r="O40" s="19">
        <f t="shared" si="1"/>
        <v>1012826514.8737745</v>
      </c>
      <c r="P40" s="19">
        <f t="shared" si="2"/>
        <v>12826514.873774529</v>
      </c>
      <c r="Q40" s="19">
        <f t="shared" si="3"/>
        <v>-12826514.873774529</v>
      </c>
      <c r="R40" s="19">
        <f t="shared" si="4"/>
        <v>-12.826514873774528</v>
      </c>
      <c r="T40" s="44"/>
      <c r="Y40" s="29"/>
    </row>
    <row r="41" spans="9:28" x14ac:dyDescent="0.3">
      <c r="I41">
        <v>37</v>
      </c>
      <c r="J41" s="19">
        <f>$B$5*Data!F39/Data!F38</f>
        <v>196879509.02114883</v>
      </c>
      <c r="K41" s="19">
        <f>$B$6*Data!I39/Data!I38</f>
        <v>196544298.5999884</v>
      </c>
      <c r="L41" s="19">
        <f>$B$7*Data!L39/Data!L38</f>
        <v>195534134.84573734</v>
      </c>
      <c r="M41" s="19">
        <f>$B$8*Data!O39/Data!O38</f>
        <v>195825606.65326595</v>
      </c>
      <c r="N41" s="19">
        <f>$B$9*Data!R39/Data!R38</f>
        <v>196737641.28497297</v>
      </c>
      <c r="O41" s="19">
        <f t="shared" si="1"/>
        <v>981521190.40511346</v>
      </c>
      <c r="P41" s="19">
        <f t="shared" si="2"/>
        <v>-18478809.594886541</v>
      </c>
      <c r="Q41" s="19">
        <f t="shared" si="3"/>
        <v>18478809.594886541</v>
      </c>
      <c r="R41" s="19">
        <f t="shared" si="4"/>
        <v>18.478809594886542</v>
      </c>
      <c r="T41" s="44"/>
      <c r="Y41" s="29"/>
    </row>
    <row r="42" spans="9:28" x14ac:dyDescent="0.3">
      <c r="I42">
        <v>38</v>
      </c>
      <c r="J42" s="19">
        <f>$B$5*Data!F40/Data!F39</f>
        <v>199669729.63324884</v>
      </c>
      <c r="K42" s="19">
        <f>$B$6*Data!I40/Data!I39</f>
        <v>199392592.71372211</v>
      </c>
      <c r="L42" s="19">
        <f>$B$7*Data!L40/Data!L39</f>
        <v>200250716.436775</v>
      </c>
      <c r="M42" s="19">
        <f>$B$8*Data!O40/Data!O39</f>
        <v>199605069.56468728</v>
      </c>
      <c r="N42" s="19">
        <f>$B$9*Data!R40/Data!R39</f>
        <v>198300908.36515409</v>
      </c>
      <c r="O42" s="19">
        <f t="shared" si="1"/>
        <v>997219016.71358728</v>
      </c>
      <c r="P42" s="19">
        <f t="shared" si="2"/>
        <v>-2780983.2864127159</v>
      </c>
      <c r="Q42" s="19">
        <f t="shared" si="3"/>
        <v>2780983.2864127159</v>
      </c>
      <c r="R42" s="19">
        <f t="shared" si="4"/>
        <v>2.7809832864127157</v>
      </c>
      <c r="T42" s="44"/>
      <c r="Y42" s="29"/>
    </row>
    <row r="43" spans="9:28" x14ac:dyDescent="0.3">
      <c r="I43">
        <v>39</v>
      </c>
      <c r="J43" s="19">
        <f>$B$5*Data!F41/Data!F40</f>
        <v>200952499.99413508</v>
      </c>
      <c r="K43" s="19">
        <f>$B$6*Data!I41/Data!I40</f>
        <v>201609380.99470755</v>
      </c>
      <c r="L43" s="19">
        <f>$B$7*Data!L41/Data!L40</f>
        <v>203320238.41896361</v>
      </c>
      <c r="M43" s="19">
        <f>$B$8*Data!O41/Data!O40</f>
        <v>201802769.26749066</v>
      </c>
      <c r="N43" s="19">
        <f>$B$9*Data!R41/Data!R40</f>
        <v>199732777.30236828</v>
      </c>
      <c r="O43" s="19">
        <f t="shared" si="1"/>
        <v>1007417665.9776651</v>
      </c>
      <c r="P43" s="19">
        <f t="shared" si="2"/>
        <v>7417665.9776650667</v>
      </c>
      <c r="Q43" s="19">
        <f t="shared" si="3"/>
        <v>-7417665.9776650667</v>
      </c>
      <c r="R43" s="19">
        <f t="shared" si="4"/>
        <v>-7.4176659776650666</v>
      </c>
      <c r="T43" s="44"/>
      <c r="Y43" s="29"/>
    </row>
    <row r="44" spans="9:28" x14ac:dyDescent="0.3">
      <c r="I44">
        <v>40</v>
      </c>
      <c r="J44" s="19">
        <f>$B$5*Data!F42/Data!F41</f>
        <v>200175891.33557469</v>
      </c>
      <c r="K44" s="19">
        <f>$B$6*Data!I42/Data!I41</f>
        <v>199332188.93366349</v>
      </c>
      <c r="L44" s="19">
        <f>$B$7*Data!L42/Data!L41</f>
        <v>199330729.81448662</v>
      </c>
      <c r="M44" s="19">
        <f>$B$8*Data!O42/Data!O41</f>
        <v>199537930.47205564</v>
      </c>
      <c r="N44" s="19">
        <f>$B$9*Data!R42/Data!R41</f>
        <v>199239709.04542378</v>
      </c>
      <c r="O44" s="19">
        <f t="shared" si="1"/>
        <v>997616449.60120416</v>
      </c>
      <c r="P44" s="19">
        <f t="shared" si="2"/>
        <v>-2383550.3987958431</v>
      </c>
      <c r="Q44" s="19">
        <f t="shared" si="3"/>
        <v>2383550.3987958431</v>
      </c>
      <c r="R44" s="19">
        <f t="shared" si="4"/>
        <v>2.3835503987958431</v>
      </c>
      <c r="T44" s="44"/>
      <c r="Y44" s="29"/>
    </row>
    <row r="45" spans="9:28" x14ac:dyDescent="0.3">
      <c r="I45">
        <v>41</v>
      </c>
      <c r="J45" s="19">
        <f>$B$5*Data!F43/Data!F42</f>
        <v>194795315.29603004</v>
      </c>
      <c r="K45" s="19">
        <f>$B$6*Data!I43/Data!I42</f>
        <v>194197056.99549386</v>
      </c>
      <c r="L45" s="19">
        <f>$B$7*Data!L43/Data!L42</f>
        <v>191332800.89309642</v>
      </c>
      <c r="M45" s="19">
        <f>$B$8*Data!O43/Data!O42</f>
        <v>194762584.84888387</v>
      </c>
      <c r="N45" s="19">
        <f>$B$9*Data!R43/Data!R42</f>
        <v>197427893.17287135</v>
      </c>
      <c r="O45" s="19">
        <f t="shared" si="1"/>
        <v>972515651.2063756</v>
      </c>
      <c r="P45" s="19">
        <f t="shared" si="2"/>
        <v>-27484348.793624401</v>
      </c>
      <c r="Q45" s="19">
        <f t="shared" si="3"/>
        <v>27484348.793624401</v>
      </c>
      <c r="R45" s="19">
        <f t="shared" si="4"/>
        <v>27.484348793624402</v>
      </c>
      <c r="T45" s="44"/>
      <c r="Y45" s="29"/>
    </row>
    <row r="46" spans="9:28" x14ac:dyDescent="0.3">
      <c r="I46">
        <v>42</v>
      </c>
      <c r="J46" s="19">
        <f>$B$5*Data!F44/Data!F43</f>
        <v>203377284.98780909</v>
      </c>
      <c r="K46" s="19">
        <f>$B$6*Data!I44/Data!I43</f>
        <v>204217889.66262665</v>
      </c>
      <c r="L46" s="19">
        <f>$B$7*Data!L44/Data!L43</f>
        <v>205304428.2426351</v>
      </c>
      <c r="M46" s="19">
        <f>$B$8*Data!O44/Data!O43</f>
        <v>203932243.55685842</v>
      </c>
      <c r="N46" s="19">
        <f>$B$9*Data!R44/Data!R43</f>
        <v>203315213.76080671</v>
      </c>
      <c r="O46" s="19">
        <f t="shared" si="1"/>
        <v>1020147060.2107359</v>
      </c>
      <c r="P46" s="19">
        <f t="shared" si="2"/>
        <v>20147060.210735917</v>
      </c>
      <c r="Q46" s="19">
        <f t="shared" si="3"/>
        <v>-20147060.210735917</v>
      </c>
      <c r="R46" s="19">
        <f t="shared" si="4"/>
        <v>-20.147060210735916</v>
      </c>
      <c r="T46" s="44"/>
      <c r="Y46" s="29"/>
    </row>
    <row r="47" spans="9:28" x14ac:dyDescent="0.3">
      <c r="I47">
        <v>43</v>
      </c>
      <c r="J47" s="19">
        <f>$B$5*Data!F45/Data!F44</f>
        <v>197579141.51262474</v>
      </c>
      <c r="K47" s="19">
        <f>$B$6*Data!I45/Data!I44</f>
        <v>197426650.6154238</v>
      </c>
      <c r="L47" s="19">
        <f>$B$7*Data!L45/Data!L44</f>
        <v>196993641.21554223</v>
      </c>
      <c r="M47" s="19">
        <f>$B$8*Data!O45/Data!O44</f>
        <v>198028904.63681626</v>
      </c>
      <c r="N47" s="19">
        <f>$B$9*Data!R45/Data!R44</f>
        <v>199732050.52461362</v>
      </c>
      <c r="O47" s="19">
        <f t="shared" si="1"/>
        <v>989760388.50502062</v>
      </c>
      <c r="P47" s="19">
        <f t="shared" si="2"/>
        <v>-10239611.494979382</v>
      </c>
      <c r="Q47" s="19">
        <f t="shared" si="3"/>
        <v>10239611.494979382</v>
      </c>
      <c r="R47" s="19">
        <f t="shared" si="4"/>
        <v>10.239611494979382</v>
      </c>
      <c r="T47" s="44"/>
      <c r="Y47" s="29"/>
    </row>
    <row r="48" spans="9:28" x14ac:dyDescent="0.3">
      <c r="I48">
        <v>44</v>
      </c>
      <c r="J48" s="19">
        <f>$B$5*Data!F46/Data!F45</f>
        <v>201533556.93605071</v>
      </c>
      <c r="K48" s="19">
        <f>$B$6*Data!I46/Data!I45</f>
        <v>201282233.1617533</v>
      </c>
      <c r="L48" s="19">
        <f>$B$7*Data!L46/Data!L45</f>
        <v>201572521.3169412</v>
      </c>
      <c r="M48" s="19">
        <f>$B$8*Data!O46/Data!O45</f>
        <v>201538320.01295888</v>
      </c>
      <c r="N48" s="19">
        <f>$B$9*Data!R46/Data!R45</f>
        <v>202155577.43960008</v>
      </c>
      <c r="O48" s="19">
        <f t="shared" si="1"/>
        <v>1008082208.8673042</v>
      </c>
      <c r="P48" s="19">
        <f t="shared" si="2"/>
        <v>8082208.8673042059</v>
      </c>
      <c r="Q48" s="19">
        <f t="shared" si="3"/>
        <v>-8082208.8673042059</v>
      </c>
      <c r="R48" s="19">
        <f t="shared" si="4"/>
        <v>-8.0822088673042067</v>
      </c>
      <c r="T48" s="44"/>
      <c r="Y48" s="29"/>
    </row>
    <row r="49" spans="9:25" x14ac:dyDescent="0.3">
      <c r="I49">
        <v>45</v>
      </c>
      <c r="J49" s="19">
        <f>$B$5*Data!F47/Data!F46</f>
        <v>202830276.04257467</v>
      </c>
      <c r="K49" s="19">
        <f>$B$6*Data!I47/Data!I46</f>
        <v>203585161.63832098</v>
      </c>
      <c r="L49" s="19">
        <f>$B$7*Data!L47/Data!L46</f>
        <v>205678862.77126259</v>
      </c>
      <c r="M49" s="19">
        <f>$B$8*Data!O47/Data!O46</f>
        <v>203224996.02855045</v>
      </c>
      <c r="N49" s="19">
        <f>$B$9*Data!R47/Data!R46</f>
        <v>199748700.74905777</v>
      </c>
      <c r="O49" s="19">
        <f t="shared" si="1"/>
        <v>1015067997.2297664</v>
      </c>
      <c r="P49" s="19">
        <f t="shared" si="2"/>
        <v>15067997.229766369</v>
      </c>
      <c r="Q49" s="19">
        <f t="shared" si="3"/>
        <v>-15067997.229766369</v>
      </c>
      <c r="R49" s="19">
        <f t="shared" si="4"/>
        <v>-15.06799722976637</v>
      </c>
      <c r="T49" s="44"/>
      <c r="Y49" s="29"/>
    </row>
    <row r="50" spans="9:25" x14ac:dyDescent="0.3">
      <c r="I50">
        <v>46</v>
      </c>
      <c r="J50" s="19">
        <f>$B$5*Data!F48/Data!F47</f>
        <v>206050056.82956824</v>
      </c>
      <c r="K50" s="19">
        <f>$B$6*Data!I48/Data!I47</f>
        <v>206732673.05880272</v>
      </c>
      <c r="L50" s="19">
        <f>$B$7*Data!L48/Data!L47</f>
        <v>209231571.58660999</v>
      </c>
      <c r="M50" s="19">
        <f>$B$8*Data!O48/Data!O47</f>
        <v>206929515.47653601</v>
      </c>
      <c r="N50" s="19">
        <f>$B$9*Data!R48/Data!R47</f>
        <v>206159220.89806575</v>
      </c>
      <c r="O50" s="19">
        <f t="shared" si="1"/>
        <v>1035103037.8495827</v>
      </c>
      <c r="P50" s="19">
        <f t="shared" si="2"/>
        <v>35103037.849582672</v>
      </c>
      <c r="Q50" s="19">
        <f t="shared" si="3"/>
        <v>-35103037.849582672</v>
      </c>
      <c r="R50" s="19">
        <f t="shared" si="4"/>
        <v>-35.10303784958267</v>
      </c>
      <c r="T50" s="44"/>
      <c r="Y50" s="29"/>
    </row>
    <row r="51" spans="9:25" x14ac:dyDescent="0.3">
      <c r="I51">
        <v>47</v>
      </c>
      <c r="J51" s="19">
        <f>$B$5*Data!F49/Data!F48</f>
        <v>199871842.49362901</v>
      </c>
      <c r="K51" s="19">
        <f>$B$6*Data!I49/Data!I48</f>
        <v>199543464.31520054</v>
      </c>
      <c r="L51" s="19">
        <f>$B$7*Data!L49/Data!L48</f>
        <v>200685169.06642696</v>
      </c>
      <c r="M51" s="19">
        <f>$B$8*Data!O49/Data!O48</f>
        <v>199431606.62774116</v>
      </c>
      <c r="N51" s="19">
        <f>$B$9*Data!R49/Data!R48</f>
        <v>200289545.77417693</v>
      </c>
      <c r="O51" s="19">
        <f t="shared" si="1"/>
        <v>999821628.27717459</v>
      </c>
      <c r="P51" s="19">
        <f t="shared" si="2"/>
        <v>-178371.72282540798</v>
      </c>
      <c r="Q51" s="19">
        <f t="shared" si="3"/>
        <v>178371.72282540798</v>
      </c>
      <c r="R51" s="19">
        <f t="shared" si="4"/>
        <v>0.17837172282540797</v>
      </c>
      <c r="T51" s="44"/>
      <c r="Y51" s="29"/>
    </row>
    <row r="52" spans="9:25" x14ac:dyDescent="0.3">
      <c r="I52">
        <v>48</v>
      </c>
      <c r="J52" s="19">
        <f>$B$5*Data!F50/Data!F49</f>
        <v>198617679.43437612</v>
      </c>
      <c r="K52" s="19">
        <f>$B$6*Data!I50/Data!I49</f>
        <v>199080101.83331767</v>
      </c>
      <c r="L52" s="19">
        <f>$B$7*Data!L50/Data!L49</f>
        <v>197157606.8721655</v>
      </c>
      <c r="M52" s="19">
        <f>$B$8*Data!O50/Data!O49</f>
        <v>199165629.68346423</v>
      </c>
      <c r="N52" s="19">
        <f>$B$9*Data!R50/Data!R49</f>
        <v>200749335.36109251</v>
      </c>
      <c r="O52" s="19">
        <f t="shared" si="1"/>
        <v>994770353.18441606</v>
      </c>
      <c r="P52" s="19">
        <f t="shared" si="2"/>
        <v>-5229646.8155839443</v>
      </c>
      <c r="Q52" s="19">
        <f t="shared" si="3"/>
        <v>5229646.8155839443</v>
      </c>
      <c r="R52" s="19">
        <f t="shared" si="4"/>
        <v>5.2296468155839442</v>
      </c>
      <c r="T52" s="44"/>
      <c r="Y52" s="29"/>
    </row>
    <row r="53" spans="9:25" x14ac:dyDescent="0.3">
      <c r="I53">
        <v>49</v>
      </c>
      <c r="J53" s="19">
        <f>$B$5*Data!F51/Data!F50</f>
        <v>197178654.30403715</v>
      </c>
      <c r="K53" s="19">
        <f>$B$6*Data!I51/Data!I50</f>
        <v>196740483.25416651</v>
      </c>
      <c r="L53" s="19">
        <f>$B$7*Data!L51/Data!L50</f>
        <v>197021374.46405494</v>
      </c>
      <c r="M53" s="19">
        <f>$B$8*Data!O51/Data!O50</f>
        <v>197092912.55972549</v>
      </c>
      <c r="N53" s="19">
        <f>$B$9*Data!R51/Data!R50</f>
        <v>198727049.4720363</v>
      </c>
      <c r="O53" s="19">
        <f t="shared" si="1"/>
        <v>986760474.0540204</v>
      </c>
      <c r="P53" s="19">
        <f t="shared" si="2"/>
        <v>-13239525.945979595</v>
      </c>
      <c r="Q53" s="19">
        <f t="shared" si="3"/>
        <v>13239525.945979595</v>
      </c>
      <c r="R53" s="19">
        <f t="shared" si="4"/>
        <v>13.239525945979596</v>
      </c>
      <c r="T53" s="44"/>
      <c r="Y53" s="29"/>
    </row>
    <row r="54" spans="9:25" x14ac:dyDescent="0.3">
      <c r="I54">
        <v>50</v>
      </c>
      <c r="J54" s="19">
        <f>$B$5*Data!F52/Data!F51</f>
        <v>200253015.07280633</v>
      </c>
      <c r="K54" s="19">
        <f>$B$6*Data!I52/Data!I51</f>
        <v>200748664.5042938</v>
      </c>
      <c r="L54" s="19">
        <f>$B$7*Data!L52/Data!L51</f>
        <v>202559959.41710642</v>
      </c>
      <c r="M54" s="19">
        <f>$B$8*Data!O52/Data!O51</f>
        <v>201009199.21310002</v>
      </c>
      <c r="N54" s="19">
        <f>$B$9*Data!R52/Data!R51</f>
        <v>201178049.32778257</v>
      </c>
      <c r="O54" s="19">
        <f t="shared" si="1"/>
        <v>1005748887.5350893</v>
      </c>
      <c r="P54" s="19">
        <f t="shared" si="2"/>
        <v>5748887.5350892544</v>
      </c>
      <c r="Q54" s="19">
        <f t="shared" si="3"/>
        <v>-5748887.5350892544</v>
      </c>
      <c r="R54" s="19">
        <f t="shared" si="4"/>
        <v>-5.7488875350892545</v>
      </c>
      <c r="T54" s="44"/>
      <c r="Y54" s="29"/>
    </row>
    <row r="55" spans="9:25" x14ac:dyDescent="0.3">
      <c r="I55">
        <v>51</v>
      </c>
      <c r="J55" s="19">
        <f>$B$5*Data!F53/Data!F52</f>
        <v>197422864.2932927</v>
      </c>
      <c r="K55" s="19">
        <f>$B$6*Data!I53/Data!I52</f>
        <v>197142709.273752</v>
      </c>
      <c r="L55" s="19">
        <f>$B$7*Data!L53/Data!L52</f>
        <v>196245975.80187607</v>
      </c>
      <c r="M55" s="19">
        <f>$B$8*Data!O53/Data!O52</f>
        <v>197580509.37244913</v>
      </c>
      <c r="N55" s="19">
        <f>$B$9*Data!R53/Data!R52</f>
        <v>197192609.9397718</v>
      </c>
      <c r="O55" s="19">
        <f t="shared" si="1"/>
        <v>985584668.68114173</v>
      </c>
      <c r="P55" s="19">
        <f t="shared" si="2"/>
        <v>-14415331.318858266</v>
      </c>
      <c r="Q55" s="19">
        <f t="shared" si="3"/>
        <v>14415331.318858266</v>
      </c>
      <c r="R55" s="19">
        <f t="shared" si="4"/>
        <v>14.415331318858266</v>
      </c>
      <c r="T55" s="44"/>
      <c r="Y55" s="29"/>
    </row>
    <row r="56" spans="9:25" x14ac:dyDescent="0.3">
      <c r="I56">
        <v>52</v>
      </c>
      <c r="J56" s="19">
        <f>$B$5*Data!F54/Data!F53</f>
        <v>200169550.9475354</v>
      </c>
      <c r="K56" s="19">
        <f>$B$6*Data!I54/Data!I53</f>
        <v>200398148.61507887</v>
      </c>
      <c r="L56" s="19">
        <f>$B$7*Data!L54/Data!L53</f>
        <v>201305993.62588897</v>
      </c>
      <c r="M56" s="19">
        <f>$B$8*Data!O54/Data!O53</f>
        <v>200827941.77067003</v>
      </c>
      <c r="N56" s="19">
        <f>$B$9*Data!R54/Data!R53</f>
        <v>199777567.02709952</v>
      </c>
      <c r="O56" s="19">
        <f t="shared" si="1"/>
        <v>1002479201.9862728</v>
      </c>
      <c r="P56" s="19">
        <f t="shared" si="2"/>
        <v>2479201.9862728119</v>
      </c>
      <c r="Q56" s="19">
        <f t="shared" si="3"/>
        <v>-2479201.9862728119</v>
      </c>
      <c r="R56" s="19">
        <f t="shared" si="4"/>
        <v>-2.4792019862728121</v>
      </c>
      <c r="T56" s="44"/>
      <c r="Y56" s="29"/>
    </row>
    <row r="57" spans="9:25" x14ac:dyDescent="0.3">
      <c r="I57">
        <v>53</v>
      </c>
      <c r="J57" s="19">
        <f>$B$5*Data!F55/Data!F54</f>
        <v>203900329.97064775</v>
      </c>
      <c r="K57" s="19">
        <f>$B$6*Data!I55/Data!I54</f>
        <v>203783298.90462714</v>
      </c>
      <c r="L57" s="19">
        <f>$B$7*Data!L55/Data!L54</f>
        <v>201803768.24804786</v>
      </c>
      <c r="M57" s="19">
        <f>$B$8*Data!O55/Data!O54</f>
        <v>203521232.60618958</v>
      </c>
      <c r="N57" s="19">
        <f>$B$9*Data!R55/Data!R54</f>
        <v>204270013.43976039</v>
      </c>
      <c r="O57" s="19">
        <f t="shared" si="1"/>
        <v>1017278643.1692727</v>
      </c>
      <c r="P57" s="19">
        <f t="shared" si="2"/>
        <v>17278643.169272661</v>
      </c>
      <c r="Q57" s="19">
        <f t="shared" si="3"/>
        <v>-17278643.169272661</v>
      </c>
      <c r="R57" s="19">
        <f t="shared" si="4"/>
        <v>-17.278643169272662</v>
      </c>
      <c r="T57" s="44"/>
      <c r="Y57" s="29"/>
    </row>
    <row r="58" spans="9:25" x14ac:dyDescent="0.3">
      <c r="I58">
        <v>54</v>
      </c>
      <c r="J58" s="19">
        <f>$B$5*Data!F56/Data!F55</f>
        <v>195687269.83769298</v>
      </c>
      <c r="K58" s="19">
        <f>$B$6*Data!I56/Data!I55</f>
        <v>195175564.21124983</v>
      </c>
      <c r="L58" s="19">
        <f>$B$7*Data!L56/Data!L55</f>
        <v>192909654.19073936</v>
      </c>
      <c r="M58" s="19">
        <f>$B$8*Data!O56/Data!O55</f>
        <v>195001075.31069705</v>
      </c>
      <c r="N58" s="19">
        <f>$B$9*Data!R56/Data!R55</f>
        <v>195845355.52440163</v>
      </c>
      <c r="O58" s="19">
        <f t="shared" si="1"/>
        <v>974618919.07478094</v>
      </c>
      <c r="P58" s="19">
        <f t="shared" si="2"/>
        <v>-25381080.925219059</v>
      </c>
      <c r="Q58" s="19">
        <f t="shared" si="3"/>
        <v>25381080.925219059</v>
      </c>
      <c r="R58" s="19">
        <f t="shared" si="4"/>
        <v>25.381080925219059</v>
      </c>
      <c r="T58" s="44"/>
      <c r="Y58" s="29"/>
    </row>
    <row r="59" spans="9:25" x14ac:dyDescent="0.3">
      <c r="I59">
        <v>55</v>
      </c>
      <c r="J59" s="19">
        <f>$B$5*Data!F57/Data!F56</f>
        <v>199686899.03372651</v>
      </c>
      <c r="K59" s="19">
        <f>$B$6*Data!I57/Data!I56</f>
        <v>200167467.62537143</v>
      </c>
      <c r="L59" s="19">
        <f>$B$7*Data!L57/Data!L56</f>
        <v>198918943.94481286</v>
      </c>
      <c r="M59" s="19">
        <f>$B$8*Data!O57/Data!O56</f>
        <v>199895096.45394745</v>
      </c>
      <c r="N59" s="19">
        <f>$B$9*Data!R57/Data!R56</f>
        <v>200115910.42763489</v>
      </c>
      <c r="O59" s="19">
        <f t="shared" si="1"/>
        <v>998784317.48549318</v>
      </c>
      <c r="P59" s="19">
        <f t="shared" si="2"/>
        <v>-1215682.5145068169</v>
      </c>
      <c r="Q59" s="19">
        <f t="shared" si="3"/>
        <v>1215682.5145068169</v>
      </c>
      <c r="R59" s="19">
        <f t="shared" si="4"/>
        <v>1.2156825145068169</v>
      </c>
      <c r="T59" s="44"/>
      <c r="Y59" s="29"/>
    </row>
    <row r="60" spans="9:25" x14ac:dyDescent="0.3">
      <c r="I60">
        <v>56</v>
      </c>
      <c r="J60" s="19">
        <f>$B$5*Data!F58/Data!F57</f>
        <v>201702348.60436487</v>
      </c>
      <c r="K60" s="19">
        <f>$B$6*Data!I58/Data!I57</f>
        <v>202425690.64661142</v>
      </c>
      <c r="L60" s="19">
        <f>$B$7*Data!L58/Data!L57</f>
        <v>201941010.08480498</v>
      </c>
      <c r="M60" s="19">
        <f>$B$8*Data!O58/Data!O57</f>
        <v>202405232.94121438</v>
      </c>
      <c r="N60" s="19">
        <f>$B$9*Data!R58/Data!R57</f>
        <v>198540517.42858097</v>
      </c>
      <c r="O60" s="19">
        <f t="shared" si="1"/>
        <v>1007014799.7055767</v>
      </c>
      <c r="P60" s="19">
        <f t="shared" si="2"/>
        <v>7014799.7055766582</v>
      </c>
      <c r="Q60" s="19">
        <f t="shared" si="3"/>
        <v>-7014799.7055766582</v>
      </c>
      <c r="R60" s="19">
        <f t="shared" si="4"/>
        <v>-7.0147997055766584</v>
      </c>
      <c r="T60" s="44"/>
      <c r="Y60" s="29"/>
    </row>
    <row r="61" spans="9:25" x14ac:dyDescent="0.3">
      <c r="I61">
        <v>57</v>
      </c>
      <c r="J61" s="19">
        <f>$B$5*Data!F59/Data!F58</f>
        <v>197281325.12512463</v>
      </c>
      <c r="K61" s="19">
        <f>$B$6*Data!I59/Data!I58</f>
        <v>197053629.11014396</v>
      </c>
      <c r="L61" s="19">
        <f>$B$7*Data!L59/Data!L58</f>
        <v>195497798.05044168</v>
      </c>
      <c r="M61" s="19">
        <f>$B$8*Data!O59/Data!O58</f>
        <v>196654784.4975124</v>
      </c>
      <c r="N61" s="19">
        <f>$B$9*Data!R59/Data!R58</f>
        <v>196179163.23246524</v>
      </c>
      <c r="O61" s="19">
        <f t="shared" si="1"/>
        <v>982666700.01568794</v>
      </c>
      <c r="P61" s="19">
        <f t="shared" si="2"/>
        <v>-17333299.984312057</v>
      </c>
      <c r="Q61" s="19">
        <f t="shared" si="3"/>
        <v>17333299.984312057</v>
      </c>
      <c r="R61" s="19">
        <f t="shared" si="4"/>
        <v>17.333299984312056</v>
      </c>
      <c r="T61" s="44"/>
      <c r="Y61" s="29"/>
    </row>
    <row r="62" spans="9:25" x14ac:dyDescent="0.3">
      <c r="I62">
        <v>58</v>
      </c>
      <c r="J62" s="19">
        <f>$B$5*Data!F60/Data!F59</f>
        <v>201745699.49697578</v>
      </c>
      <c r="K62" s="19">
        <f>$B$6*Data!I60/Data!I59</f>
        <v>202785562.49892804</v>
      </c>
      <c r="L62" s="19">
        <f>$B$7*Data!L60/Data!L59</f>
        <v>204889727.59615394</v>
      </c>
      <c r="M62" s="19">
        <f>$B$8*Data!O60/Data!O59</f>
        <v>202818707.96626687</v>
      </c>
      <c r="N62" s="19">
        <f>$B$9*Data!R60/Data!R59</f>
        <v>200754628.14582476</v>
      </c>
      <c r="O62" s="19">
        <f t="shared" si="1"/>
        <v>1012994325.7041495</v>
      </c>
      <c r="P62" s="19">
        <f t="shared" si="2"/>
        <v>12994325.704149485</v>
      </c>
      <c r="Q62" s="19">
        <f t="shared" si="3"/>
        <v>-12994325.704149485</v>
      </c>
      <c r="R62" s="19">
        <f t="shared" si="4"/>
        <v>-12.994325704149485</v>
      </c>
      <c r="T62" s="44"/>
      <c r="Y62" s="29"/>
    </row>
    <row r="63" spans="9:25" x14ac:dyDescent="0.3">
      <c r="I63">
        <v>59</v>
      </c>
      <c r="J63" s="19">
        <f>$B$5*Data!F61/Data!F60</f>
        <v>204648659.39685985</v>
      </c>
      <c r="K63" s="19">
        <f>$B$6*Data!I61/Data!I60</f>
        <v>204856385.44255167</v>
      </c>
      <c r="L63" s="19">
        <f>$B$7*Data!L61/Data!L60</f>
        <v>203703374.49125516</v>
      </c>
      <c r="M63" s="19">
        <f>$B$8*Data!O61/Data!O60</f>
        <v>205092267.26387784</v>
      </c>
      <c r="N63" s="19">
        <f>$B$9*Data!R61/Data!R60</f>
        <v>205315819.88368294</v>
      </c>
      <c r="O63" s="19">
        <f t="shared" si="1"/>
        <v>1023616506.4782275</v>
      </c>
      <c r="P63" s="19">
        <f t="shared" si="2"/>
        <v>23616506.478227496</v>
      </c>
      <c r="Q63" s="19">
        <f t="shared" si="3"/>
        <v>-23616506.478227496</v>
      </c>
      <c r="R63" s="19">
        <f t="shared" si="4"/>
        <v>-23.616506478227496</v>
      </c>
      <c r="T63" s="44"/>
      <c r="Y63" s="29"/>
    </row>
    <row r="64" spans="9:25" x14ac:dyDescent="0.3">
      <c r="I64">
        <v>60</v>
      </c>
      <c r="J64" s="19">
        <f>$B$5*Data!F62/Data!F61</f>
        <v>197571801.623465</v>
      </c>
      <c r="K64" s="19">
        <f>$B$6*Data!I62/Data!I61</f>
        <v>197589806.44584152</v>
      </c>
      <c r="L64" s="19">
        <f>$B$7*Data!L62/Data!L61</f>
        <v>195367180.89534548</v>
      </c>
      <c r="M64" s="19">
        <f>$B$8*Data!O62/Data!O61</f>
        <v>197133573.69716704</v>
      </c>
      <c r="N64" s="19">
        <f>$B$9*Data!R62/Data!R61</f>
        <v>198289148.19375846</v>
      </c>
      <c r="O64" s="19">
        <f t="shared" si="1"/>
        <v>985951510.85557747</v>
      </c>
      <c r="P64" s="19">
        <f t="shared" si="2"/>
        <v>-14048489.144422531</v>
      </c>
      <c r="Q64" s="19">
        <f t="shared" si="3"/>
        <v>14048489.144422531</v>
      </c>
      <c r="R64" s="19">
        <f t="shared" si="4"/>
        <v>14.048489144422531</v>
      </c>
      <c r="T64" s="44"/>
      <c r="Y64" s="29"/>
    </row>
    <row r="65" spans="9:25" x14ac:dyDescent="0.3">
      <c r="I65">
        <v>61</v>
      </c>
      <c r="J65" s="19">
        <f>$B$5*Data!F63/Data!F62</f>
        <v>199996108.08293411</v>
      </c>
      <c r="K65" s="19">
        <f>$B$6*Data!I63/Data!I62</f>
        <v>199397972.36993513</v>
      </c>
      <c r="L65" s="19">
        <f>$B$7*Data!L63/Data!L62</f>
        <v>199433456.2673727</v>
      </c>
      <c r="M65" s="19">
        <f>$B$8*Data!O63/Data!O62</f>
        <v>199621432.84856835</v>
      </c>
      <c r="N65" s="19">
        <f>$B$9*Data!R63/Data!R62</f>
        <v>198353119.99787915</v>
      </c>
      <c r="O65" s="19">
        <f t="shared" si="1"/>
        <v>996802089.56668937</v>
      </c>
      <c r="P65" s="19">
        <f t="shared" si="2"/>
        <v>-3197910.4333106279</v>
      </c>
      <c r="Q65" s="19">
        <f t="shared" si="3"/>
        <v>3197910.4333106279</v>
      </c>
      <c r="R65" s="19">
        <f t="shared" si="4"/>
        <v>3.1979104333106281</v>
      </c>
      <c r="T65" s="44"/>
      <c r="Y65" s="29"/>
    </row>
    <row r="66" spans="9:25" x14ac:dyDescent="0.3">
      <c r="I66">
        <v>62</v>
      </c>
      <c r="J66" s="19">
        <f>$B$5*Data!F64/Data!F63</f>
        <v>200022474.17777604</v>
      </c>
      <c r="K66" s="19">
        <f>$B$6*Data!I64/Data!I63</f>
        <v>200334520.21278483</v>
      </c>
      <c r="L66" s="19">
        <f>$B$7*Data!L64/Data!L63</f>
        <v>199551915.31764656</v>
      </c>
      <c r="M66" s="19">
        <f>$B$8*Data!O64/Data!O63</f>
        <v>200099836.55279359</v>
      </c>
      <c r="N66" s="19">
        <f>$B$9*Data!R64/Data!R63</f>
        <v>200572293.27135551</v>
      </c>
      <c r="O66" s="19">
        <f t="shared" si="1"/>
        <v>1000581039.5323565</v>
      </c>
      <c r="P66" s="19">
        <f t="shared" si="2"/>
        <v>581039.53235650063</v>
      </c>
      <c r="Q66" s="19">
        <f t="shared" si="3"/>
        <v>-581039.53235650063</v>
      </c>
      <c r="R66" s="19">
        <f t="shared" si="4"/>
        <v>-0.58103953235650063</v>
      </c>
      <c r="T66" s="44"/>
      <c r="Y66" s="29"/>
    </row>
    <row r="67" spans="9:25" x14ac:dyDescent="0.3">
      <c r="I67">
        <v>63</v>
      </c>
      <c r="J67" s="19">
        <f>$B$5*Data!F65/Data!F64</f>
        <v>201168944.71432772</v>
      </c>
      <c r="K67" s="19">
        <f>$B$6*Data!I65/Data!I64</f>
        <v>200863563.63211101</v>
      </c>
      <c r="L67" s="19">
        <f>$B$7*Data!L65/Data!L64</f>
        <v>201983564.83730036</v>
      </c>
      <c r="M67" s="19">
        <f>$B$8*Data!O65/Data!O64</f>
        <v>200928730.29389113</v>
      </c>
      <c r="N67" s="19">
        <f>$B$9*Data!R65/Data!R64</f>
        <v>200907182.39780107</v>
      </c>
      <c r="O67" s="19">
        <f t="shared" si="1"/>
        <v>1005851985.8754314</v>
      </c>
      <c r="P67" s="19">
        <f t="shared" si="2"/>
        <v>5851985.8754314184</v>
      </c>
      <c r="Q67" s="19">
        <f t="shared" si="3"/>
        <v>-5851985.8754314184</v>
      </c>
      <c r="R67" s="19">
        <f t="shared" si="4"/>
        <v>-5.851985875431418</v>
      </c>
      <c r="T67" s="44"/>
      <c r="Y67" s="29"/>
    </row>
    <row r="68" spans="9:25" x14ac:dyDescent="0.3">
      <c r="I68">
        <v>64</v>
      </c>
      <c r="J68" s="19">
        <f>$B$5*Data!F66/Data!F65</f>
        <v>203567408.38093022</v>
      </c>
      <c r="K68" s="19">
        <f>$B$6*Data!I66/Data!I65</f>
        <v>204121218.83915338</v>
      </c>
      <c r="L68" s="19">
        <f>$B$7*Data!L66/Data!L65</f>
        <v>204111467.72978607</v>
      </c>
      <c r="M68" s="19">
        <f>$B$8*Data!O66/Data!O65</f>
        <v>203991996.47149494</v>
      </c>
      <c r="N68" s="19">
        <f>$B$9*Data!R66/Data!R65</f>
        <v>202884694.7957046</v>
      </c>
      <c r="O68" s="19">
        <f t="shared" si="1"/>
        <v>1018676786.2170691</v>
      </c>
      <c r="P68" s="19">
        <f t="shared" si="2"/>
        <v>18676786.217069149</v>
      </c>
      <c r="Q68" s="19">
        <f t="shared" si="3"/>
        <v>-18676786.217069149</v>
      </c>
      <c r="R68" s="19">
        <f t="shared" si="4"/>
        <v>-18.67678621706915</v>
      </c>
      <c r="T68" s="44"/>
      <c r="Y68" s="29"/>
    </row>
    <row r="69" spans="9:25" x14ac:dyDescent="0.3">
      <c r="I69">
        <v>65</v>
      </c>
      <c r="J69" s="19">
        <f>$B$5*Data!F67/Data!F66</f>
        <v>199421294.24189386</v>
      </c>
      <c r="K69" s="19">
        <f>$B$6*Data!I67/Data!I66</f>
        <v>199384930.20712221</v>
      </c>
      <c r="L69" s="19">
        <f>$B$7*Data!L67/Data!L66</f>
        <v>199169562.2790778</v>
      </c>
      <c r="M69" s="19">
        <f>$B$8*Data!O67/Data!O66</f>
        <v>199508876.1288496</v>
      </c>
      <c r="N69" s="19">
        <f>$B$9*Data!R67/Data!R66</f>
        <v>200510617.66878569</v>
      </c>
      <c r="O69" s="19">
        <f t="shared" si="1"/>
        <v>997995280.52572918</v>
      </c>
      <c r="P69" s="19">
        <f t="shared" si="2"/>
        <v>-2004719.4742708206</v>
      </c>
      <c r="Q69" s="19">
        <f t="shared" si="3"/>
        <v>2004719.4742708206</v>
      </c>
      <c r="R69" s="19">
        <f t="shared" si="4"/>
        <v>2.0047194742708205</v>
      </c>
      <c r="T69" s="44"/>
      <c r="Y69" s="29"/>
    </row>
    <row r="70" spans="9:25" x14ac:dyDescent="0.3">
      <c r="I70">
        <v>66</v>
      </c>
      <c r="J70" s="19">
        <f>$B$5*Data!F68/Data!F67</f>
        <v>195647157.82359675</v>
      </c>
      <c r="K70" s="19">
        <f>$B$6*Data!I68/Data!I67</f>
        <v>196137513.92834204</v>
      </c>
      <c r="L70" s="19">
        <f>$B$7*Data!L68/Data!L67</f>
        <v>196402092.19004804</v>
      </c>
      <c r="M70" s="19">
        <f>$B$8*Data!O68/Data!O67</f>
        <v>195871402.51779899</v>
      </c>
      <c r="N70" s="19">
        <f>$B$9*Data!R68/Data!R67</f>
        <v>195993048.0487068</v>
      </c>
      <c r="O70" s="19">
        <f t="shared" ref="O70:O133" si="9">SUM(J70:N70)</f>
        <v>980051214.50849259</v>
      </c>
      <c r="P70" s="19">
        <f t="shared" ref="P70:P133" si="10">O70-$B$10</f>
        <v>-19948785.491507411</v>
      </c>
      <c r="Q70" s="19">
        <f t="shared" ref="Q70:Q133" si="11">-P70</f>
        <v>19948785.491507411</v>
      </c>
      <c r="R70" s="19">
        <f t="shared" ref="R70:R133" si="12">Q70/1000000</f>
        <v>19.948785491507412</v>
      </c>
      <c r="T70" s="44"/>
      <c r="Y70" s="29"/>
    </row>
    <row r="71" spans="9:25" x14ac:dyDescent="0.3">
      <c r="I71">
        <v>67</v>
      </c>
      <c r="J71" s="19">
        <f>$B$5*Data!F69/Data!F68</f>
        <v>198770677.53431579</v>
      </c>
      <c r="K71" s="19">
        <f>$B$6*Data!I69/Data!I68</f>
        <v>199293287.86108887</v>
      </c>
      <c r="L71" s="19">
        <f>$B$7*Data!L69/Data!L68</f>
        <v>198379359.89761043</v>
      </c>
      <c r="M71" s="19">
        <f>$B$8*Data!O69/Data!O68</f>
        <v>199434256.16250518</v>
      </c>
      <c r="N71" s="19">
        <f>$B$9*Data!R69/Data!R68</f>
        <v>200200860.62242556</v>
      </c>
      <c r="O71" s="19">
        <f t="shared" si="9"/>
        <v>996078442.07794583</v>
      </c>
      <c r="P71" s="19">
        <f t="shared" si="10"/>
        <v>-3921557.9220541716</v>
      </c>
      <c r="Q71" s="19">
        <f t="shared" si="11"/>
        <v>3921557.9220541716</v>
      </c>
      <c r="R71" s="19">
        <f t="shared" si="12"/>
        <v>3.9215579220541716</v>
      </c>
      <c r="T71" s="44"/>
      <c r="Y71" s="29"/>
    </row>
    <row r="72" spans="9:25" x14ac:dyDescent="0.3">
      <c r="I72">
        <v>68</v>
      </c>
      <c r="J72" s="19">
        <f>$B$5*Data!F70/Data!F69</f>
        <v>195690307.53246087</v>
      </c>
      <c r="K72" s="19">
        <f>$B$6*Data!I70/Data!I69</f>
        <v>196336201.84153879</v>
      </c>
      <c r="L72" s="19">
        <f>$B$7*Data!L70/Data!L69</f>
        <v>193846395.57657152</v>
      </c>
      <c r="M72" s="19">
        <f>$B$8*Data!O70/Data!O69</f>
        <v>196077472.58089048</v>
      </c>
      <c r="N72" s="19">
        <f>$B$9*Data!R70/Data!R69</f>
        <v>196996044.97390515</v>
      </c>
      <c r="O72" s="19">
        <f t="shared" si="9"/>
        <v>978946422.5053668</v>
      </c>
      <c r="P72" s="19">
        <f t="shared" si="10"/>
        <v>-21053577.494633198</v>
      </c>
      <c r="Q72" s="19">
        <f t="shared" si="11"/>
        <v>21053577.494633198</v>
      </c>
      <c r="R72" s="19">
        <f t="shared" si="12"/>
        <v>21.053577494633199</v>
      </c>
      <c r="T72" s="44"/>
      <c r="Y72" s="29"/>
    </row>
    <row r="73" spans="9:25" x14ac:dyDescent="0.3">
      <c r="I73">
        <v>69</v>
      </c>
      <c r="J73" s="19">
        <f>$B$5*Data!F71/Data!F70</f>
        <v>200071090.61643663</v>
      </c>
      <c r="K73" s="19">
        <f>$B$6*Data!I71/Data!I70</f>
        <v>200148343.055673</v>
      </c>
      <c r="L73" s="19">
        <f>$B$7*Data!L71/Data!L70</f>
        <v>200177791.95440847</v>
      </c>
      <c r="M73" s="19">
        <f>$B$8*Data!O71/Data!O70</f>
        <v>200241583.60439864</v>
      </c>
      <c r="N73" s="19">
        <f>$B$9*Data!R71/Data!R70</f>
        <v>201282126.07169822</v>
      </c>
      <c r="O73" s="19">
        <f t="shared" si="9"/>
        <v>1001920935.3026148</v>
      </c>
      <c r="P73" s="19">
        <f t="shared" si="10"/>
        <v>1920935.3026148081</v>
      </c>
      <c r="Q73" s="19">
        <f t="shared" si="11"/>
        <v>-1920935.3026148081</v>
      </c>
      <c r="R73" s="19">
        <f t="shared" si="12"/>
        <v>-1.9209353026148082</v>
      </c>
      <c r="T73" s="44"/>
      <c r="Y73" s="29"/>
    </row>
    <row r="74" spans="9:25" x14ac:dyDescent="0.3">
      <c r="I74">
        <v>70</v>
      </c>
      <c r="J74" s="19">
        <f>$B$5*Data!F72/Data!F71</f>
        <v>201623663.7447578</v>
      </c>
      <c r="K74" s="19">
        <f>$B$6*Data!I72/Data!I71</f>
        <v>202181638.80839679</v>
      </c>
      <c r="L74" s="19">
        <f>$B$7*Data!L72/Data!L71</f>
        <v>200968280.71500331</v>
      </c>
      <c r="M74" s="19">
        <f>$B$8*Data!O72/Data!O71</f>
        <v>201858496.01857331</v>
      </c>
      <c r="N74" s="19">
        <f>$B$9*Data!R72/Data!R71</f>
        <v>200633512.04390976</v>
      </c>
      <c r="O74" s="19">
        <f t="shared" si="9"/>
        <v>1007265591.330641</v>
      </c>
      <c r="P74" s="19">
        <f t="shared" si="10"/>
        <v>7265591.3306410313</v>
      </c>
      <c r="Q74" s="19">
        <f t="shared" si="11"/>
        <v>-7265591.3306410313</v>
      </c>
      <c r="R74" s="19">
        <f t="shared" si="12"/>
        <v>-7.2655913306410316</v>
      </c>
      <c r="T74" s="44"/>
      <c r="Y74" s="29"/>
    </row>
    <row r="75" spans="9:25" x14ac:dyDescent="0.3">
      <c r="I75">
        <v>71</v>
      </c>
      <c r="J75" s="19">
        <f>$B$5*Data!F73/Data!F72</f>
        <v>198003226.63779688</v>
      </c>
      <c r="K75" s="19">
        <f>$B$6*Data!I73/Data!I72</f>
        <v>198205712.76050889</v>
      </c>
      <c r="L75" s="19">
        <f>$B$7*Data!L73/Data!L72</f>
        <v>195285020.4968718</v>
      </c>
      <c r="M75" s="19">
        <f>$B$8*Data!O73/Data!O72</f>
        <v>198004419.37679589</v>
      </c>
      <c r="N75" s="19">
        <f>$B$9*Data!R73/Data!R72</f>
        <v>200126285.44606286</v>
      </c>
      <c r="O75" s="19">
        <f t="shared" si="9"/>
        <v>989624664.71803641</v>
      </c>
      <c r="P75" s="19">
        <f t="shared" si="10"/>
        <v>-10375335.281963587</v>
      </c>
      <c r="Q75" s="19">
        <f t="shared" si="11"/>
        <v>10375335.281963587</v>
      </c>
      <c r="R75" s="19">
        <f t="shared" si="12"/>
        <v>10.375335281963586</v>
      </c>
      <c r="T75" s="44"/>
      <c r="Y75" s="29"/>
    </row>
    <row r="76" spans="9:25" x14ac:dyDescent="0.3">
      <c r="I76">
        <v>72</v>
      </c>
      <c r="J76" s="19">
        <f>$B$5*Data!F74/Data!F73</f>
        <v>203456395.29326689</v>
      </c>
      <c r="K76" s="19">
        <f>$B$6*Data!I74/Data!I73</f>
        <v>202773685.89338303</v>
      </c>
      <c r="L76" s="19">
        <f>$B$7*Data!L74/Data!L73</f>
        <v>203468044.06021506</v>
      </c>
      <c r="M76" s="19">
        <f>$B$8*Data!O74/Data!O73</f>
        <v>202858021.85621324</v>
      </c>
      <c r="N76" s="19">
        <f>$B$9*Data!R74/Data!R73</f>
        <v>200961619.07606596</v>
      </c>
      <c r="O76" s="19">
        <f t="shared" si="9"/>
        <v>1013517766.1791441</v>
      </c>
      <c r="P76" s="19">
        <f t="shared" si="10"/>
        <v>13517766.179144144</v>
      </c>
      <c r="Q76" s="19">
        <f t="shared" si="11"/>
        <v>-13517766.179144144</v>
      </c>
      <c r="R76" s="19">
        <f t="shared" si="12"/>
        <v>-13.517766179144145</v>
      </c>
      <c r="T76" s="44"/>
      <c r="Y76" s="29"/>
    </row>
    <row r="77" spans="9:25" x14ac:dyDescent="0.3">
      <c r="I77">
        <v>73</v>
      </c>
      <c r="J77" s="19">
        <f>$B$5*Data!F75/Data!F74</f>
        <v>203868629.4875885</v>
      </c>
      <c r="K77" s="19">
        <f>$B$6*Data!I75/Data!I74</f>
        <v>204212797.23964745</v>
      </c>
      <c r="L77" s="19">
        <f>$B$7*Data!L75/Data!L74</f>
        <v>206785274.03119475</v>
      </c>
      <c r="M77" s="19">
        <f>$B$8*Data!O75/Data!O74</f>
        <v>204257057.68757436</v>
      </c>
      <c r="N77" s="19">
        <f>$B$9*Data!R75/Data!R74</f>
        <v>201602069.20665255</v>
      </c>
      <c r="O77" s="19">
        <f t="shared" si="9"/>
        <v>1020725827.6526576</v>
      </c>
      <c r="P77" s="19">
        <f t="shared" si="10"/>
        <v>20725827.652657628</v>
      </c>
      <c r="Q77" s="19">
        <f t="shared" si="11"/>
        <v>-20725827.652657628</v>
      </c>
      <c r="R77" s="19">
        <f t="shared" si="12"/>
        <v>-20.725827652657628</v>
      </c>
      <c r="T77" s="44"/>
      <c r="Y77" s="29"/>
    </row>
    <row r="78" spans="9:25" x14ac:dyDescent="0.3">
      <c r="I78">
        <v>74</v>
      </c>
      <c r="J78" s="19">
        <f>$B$5*Data!F76/Data!F75</f>
        <v>204500696.58825159</v>
      </c>
      <c r="K78" s="19">
        <f>$B$6*Data!I76/Data!I75</f>
        <v>205044272.18115842</v>
      </c>
      <c r="L78" s="19">
        <f>$B$7*Data!L76/Data!L75</f>
        <v>207295426.71708634</v>
      </c>
      <c r="M78" s="19">
        <f>$B$8*Data!O76/Data!O75</f>
        <v>204966190.25752234</v>
      </c>
      <c r="N78" s="19">
        <f>$B$9*Data!R76/Data!R75</f>
        <v>203606139.60839075</v>
      </c>
      <c r="O78" s="19">
        <f t="shared" si="9"/>
        <v>1025412725.3524094</v>
      </c>
      <c r="P78" s="19">
        <f t="shared" si="10"/>
        <v>25412725.352409363</v>
      </c>
      <c r="Q78" s="19">
        <f t="shared" si="11"/>
        <v>-25412725.352409363</v>
      </c>
      <c r="R78" s="19">
        <f t="shared" si="12"/>
        <v>-25.412725352409364</v>
      </c>
      <c r="T78" s="44"/>
      <c r="Y78" s="29"/>
    </row>
    <row r="79" spans="9:25" x14ac:dyDescent="0.3">
      <c r="I79">
        <v>75</v>
      </c>
      <c r="J79" s="19">
        <f>$B$5*Data!F77/Data!F76</f>
        <v>201068312.83351591</v>
      </c>
      <c r="K79" s="19">
        <f>$B$6*Data!I77/Data!I76</f>
        <v>200558050.3914102</v>
      </c>
      <c r="L79" s="19">
        <f>$B$7*Data!L77/Data!L76</f>
        <v>199019521.61118105</v>
      </c>
      <c r="M79" s="19">
        <f>$B$8*Data!O77/Data!O76</f>
        <v>200760607.18719012</v>
      </c>
      <c r="N79" s="19">
        <f>$B$9*Data!R77/Data!R76</f>
        <v>203063981.02659455</v>
      </c>
      <c r="O79" s="19">
        <f t="shared" si="9"/>
        <v>1004470473.0498918</v>
      </c>
      <c r="P79" s="19">
        <f t="shared" si="10"/>
        <v>4470473.0498918295</v>
      </c>
      <c r="Q79" s="19">
        <f t="shared" si="11"/>
        <v>-4470473.0498918295</v>
      </c>
      <c r="R79" s="19">
        <f t="shared" si="12"/>
        <v>-4.4704730498918295</v>
      </c>
      <c r="T79" s="44"/>
      <c r="Y79" s="29"/>
    </row>
    <row r="80" spans="9:25" x14ac:dyDescent="0.3">
      <c r="I80">
        <v>76</v>
      </c>
      <c r="J80" s="19">
        <f>$B$5*Data!F78/Data!F77</f>
        <v>204226402.64338976</v>
      </c>
      <c r="K80" s="19">
        <f>$B$6*Data!I78/Data!I77</f>
        <v>204438593.59790492</v>
      </c>
      <c r="L80" s="19">
        <f>$B$7*Data!L78/Data!L77</f>
        <v>209210534.46367845</v>
      </c>
      <c r="M80" s="19">
        <f>$B$8*Data!O78/Data!O77</f>
        <v>204866027.84758604</v>
      </c>
      <c r="N80" s="19">
        <f>$B$9*Data!R78/Data!R77</f>
        <v>203723345.06426683</v>
      </c>
      <c r="O80" s="19">
        <f t="shared" si="9"/>
        <v>1026464903.6168259</v>
      </c>
      <c r="P80" s="19">
        <f t="shared" si="10"/>
        <v>26464903.616825938</v>
      </c>
      <c r="Q80" s="19">
        <f t="shared" si="11"/>
        <v>-26464903.616825938</v>
      </c>
      <c r="R80" s="19">
        <f t="shared" si="12"/>
        <v>-26.464903616825939</v>
      </c>
      <c r="Y80" s="29"/>
    </row>
    <row r="81" spans="9:25" x14ac:dyDescent="0.3">
      <c r="I81">
        <v>77</v>
      </c>
      <c r="J81" s="19">
        <f>$B$5*Data!F79/Data!F78</f>
        <v>201180115.0535875</v>
      </c>
      <c r="K81" s="19">
        <f>$B$6*Data!I79/Data!I78</f>
        <v>200640049.86808768</v>
      </c>
      <c r="L81" s="19">
        <f>$B$7*Data!L79/Data!L78</f>
        <v>199828194.76802114</v>
      </c>
      <c r="M81" s="19">
        <f>$B$8*Data!O79/Data!O78</f>
        <v>200512649.96017364</v>
      </c>
      <c r="N81" s="19">
        <f>$B$9*Data!R79/Data!R78</f>
        <v>201034931.06698284</v>
      </c>
      <c r="O81" s="19">
        <f t="shared" si="9"/>
        <v>1003195940.7168528</v>
      </c>
      <c r="P81" s="19">
        <f t="shared" si="10"/>
        <v>3195940.7168527842</v>
      </c>
      <c r="Q81" s="19">
        <f t="shared" si="11"/>
        <v>-3195940.7168527842</v>
      </c>
      <c r="R81" s="19">
        <f t="shared" si="12"/>
        <v>-3.195940716852784</v>
      </c>
      <c r="Y81" s="29"/>
    </row>
    <row r="82" spans="9:25" x14ac:dyDescent="0.3">
      <c r="I82">
        <v>78</v>
      </c>
      <c r="J82" s="19">
        <f>$B$5*Data!F80/Data!F79</f>
        <v>200209811.37694943</v>
      </c>
      <c r="K82" s="19">
        <f>$B$6*Data!I80/Data!I79</f>
        <v>199185570.13898841</v>
      </c>
      <c r="L82" s="19">
        <f>$B$7*Data!L80/Data!L79</f>
        <v>199346693.61773366</v>
      </c>
      <c r="M82" s="19">
        <f>$B$8*Data!O80/Data!O79</f>
        <v>199738084.31193385</v>
      </c>
      <c r="N82" s="19">
        <f>$B$9*Data!R80/Data!R79</f>
        <v>200433604.05678189</v>
      </c>
      <c r="O82" s="19">
        <f t="shared" si="9"/>
        <v>998913763.50238729</v>
      </c>
      <c r="P82" s="19">
        <f t="shared" si="10"/>
        <v>-1086236.4976127148</v>
      </c>
      <c r="Q82" s="19">
        <f t="shared" si="11"/>
        <v>1086236.4976127148</v>
      </c>
      <c r="R82" s="19">
        <f t="shared" si="12"/>
        <v>1.0862364976127148</v>
      </c>
      <c r="Y82" s="29"/>
    </row>
    <row r="83" spans="9:25" x14ac:dyDescent="0.3">
      <c r="I83">
        <v>79</v>
      </c>
      <c r="J83" s="19">
        <f>$B$5*Data!F81/Data!F80</f>
        <v>205283658.16179287</v>
      </c>
      <c r="K83" s="19">
        <f>$B$6*Data!I81/Data!I80</f>
        <v>204646767.32192156</v>
      </c>
      <c r="L83" s="19">
        <f>$B$7*Data!L81/Data!L80</f>
        <v>209195821.44629645</v>
      </c>
      <c r="M83" s="19">
        <f>$B$8*Data!O81/Data!O80</f>
        <v>205490764.06987277</v>
      </c>
      <c r="N83" s="19">
        <f>$B$9*Data!R81/Data!R80</f>
        <v>201929635.92611429</v>
      </c>
      <c r="O83" s="19">
        <f t="shared" si="9"/>
        <v>1026546646.925998</v>
      </c>
      <c r="P83" s="19">
        <f t="shared" si="10"/>
        <v>26546646.925997972</v>
      </c>
      <c r="Q83" s="19">
        <f t="shared" si="11"/>
        <v>-26546646.925997972</v>
      </c>
      <c r="R83" s="19">
        <f t="shared" si="12"/>
        <v>-26.546646925997972</v>
      </c>
      <c r="Y83" s="29"/>
    </row>
    <row r="84" spans="9:25" x14ac:dyDescent="0.3">
      <c r="I84">
        <v>80</v>
      </c>
      <c r="J84" s="19">
        <f>$B$5*Data!F82/Data!F81</f>
        <v>203009745.64727926</v>
      </c>
      <c r="K84" s="19">
        <f>$B$6*Data!I82/Data!I81</f>
        <v>204266322.25255027</v>
      </c>
      <c r="L84" s="19">
        <f>$B$7*Data!L82/Data!L81</f>
        <v>205532487.64065608</v>
      </c>
      <c r="M84" s="19">
        <f>$B$8*Data!O82/Data!O81</f>
        <v>203481206.22754622</v>
      </c>
      <c r="N84" s="19">
        <f>$B$9*Data!R82/Data!R81</f>
        <v>202028488.02118549</v>
      </c>
      <c r="O84" s="19">
        <f t="shared" si="9"/>
        <v>1018318249.7892174</v>
      </c>
      <c r="P84" s="19">
        <f t="shared" si="10"/>
        <v>18318249.789217353</v>
      </c>
      <c r="Q84" s="19">
        <f t="shared" si="11"/>
        <v>-18318249.789217353</v>
      </c>
      <c r="R84" s="19">
        <f t="shared" si="12"/>
        <v>-18.318249789217354</v>
      </c>
      <c r="Y84" s="29"/>
    </row>
    <row r="85" spans="9:25" x14ac:dyDescent="0.3">
      <c r="I85">
        <v>81</v>
      </c>
      <c r="J85" s="19">
        <f>$B$5*Data!F83/Data!F82</f>
        <v>200910185.55308303</v>
      </c>
      <c r="K85" s="19">
        <f>$B$6*Data!I83/Data!I82</f>
        <v>201303253.71907529</v>
      </c>
      <c r="L85" s="19">
        <f>$B$7*Data!L83/Data!L82</f>
        <v>201638903.82724193</v>
      </c>
      <c r="M85" s="19">
        <f>$B$8*Data!O83/Data!O82</f>
        <v>200570829.03131086</v>
      </c>
      <c r="N85" s="19">
        <f>$B$9*Data!R83/Data!R82</f>
        <v>199977633.56172612</v>
      </c>
      <c r="O85" s="19">
        <f t="shared" si="9"/>
        <v>1004400805.6924372</v>
      </c>
      <c r="P85" s="19">
        <f t="shared" si="10"/>
        <v>4400805.6924371719</v>
      </c>
      <c r="Q85" s="19">
        <f t="shared" si="11"/>
        <v>-4400805.6924371719</v>
      </c>
      <c r="R85" s="19">
        <f t="shared" si="12"/>
        <v>-4.4008056924371717</v>
      </c>
      <c r="Y85" s="29"/>
    </row>
    <row r="86" spans="9:25" x14ac:dyDescent="0.3">
      <c r="I86">
        <v>82</v>
      </c>
      <c r="J86" s="19">
        <f>$B$5*Data!F84/Data!F83</f>
        <v>198856145.46161321</v>
      </c>
      <c r="K86" s="19">
        <f>$B$6*Data!I84/Data!I83</f>
        <v>198054569.85903198</v>
      </c>
      <c r="L86" s="19">
        <f>$B$7*Data!L84/Data!L83</f>
        <v>195668688.76816198</v>
      </c>
      <c r="M86" s="19">
        <f>$B$8*Data!O84/Data!O83</f>
        <v>198528193.63229918</v>
      </c>
      <c r="N86" s="19">
        <f>$B$9*Data!R84/Data!R83</f>
        <v>201823912.57697007</v>
      </c>
      <c r="O86" s="19">
        <f t="shared" si="9"/>
        <v>992931510.29807651</v>
      </c>
      <c r="P86" s="19">
        <f t="shared" si="10"/>
        <v>-7068489.7019234896</v>
      </c>
      <c r="Q86" s="19">
        <f t="shared" si="11"/>
        <v>7068489.7019234896</v>
      </c>
      <c r="R86" s="19">
        <f t="shared" si="12"/>
        <v>7.0684897019234896</v>
      </c>
      <c r="Y86" s="29"/>
    </row>
    <row r="87" spans="9:25" x14ac:dyDescent="0.3">
      <c r="I87">
        <v>83</v>
      </c>
      <c r="J87" s="19">
        <f>$B$5*Data!F85/Data!F84</f>
        <v>198317736.43620971</v>
      </c>
      <c r="K87" s="19">
        <f>$B$6*Data!I85/Data!I84</f>
        <v>198072725.18801826</v>
      </c>
      <c r="L87" s="19">
        <f>$B$7*Data!L85/Data!L84</f>
        <v>197532207.57293898</v>
      </c>
      <c r="M87" s="19">
        <f>$B$8*Data!O85/Data!O84</f>
        <v>197965324.82536593</v>
      </c>
      <c r="N87" s="19">
        <f>$B$9*Data!R85/Data!R84</f>
        <v>196987777.4551076</v>
      </c>
      <c r="O87" s="19">
        <f t="shared" si="9"/>
        <v>988875771.47764039</v>
      </c>
      <c r="P87" s="19">
        <f t="shared" si="10"/>
        <v>-11124228.52235961</v>
      </c>
      <c r="Q87" s="19">
        <f t="shared" si="11"/>
        <v>11124228.52235961</v>
      </c>
      <c r="R87" s="19">
        <f t="shared" si="12"/>
        <v>11.12422852235961</v>
      </c>
      <c r="Y87" s="29"/>
    </row>
    <row r="88" spans="9:25" x14ac:dyDescent="0.3">
      <c r="I88">
        <v>84</v>
      </c>
      <c r="J88" s="19">
        <f>$B$5*Data!F86/Data!F85</f>
        <v>202533780.63549796</v>
      </c>
      <c r="K88" s="19">
        <f>$B$6*Data!I86/Data!I85</f>
        <v>203111155.04350987</v>
      </c>
      <c r="L88" s="19">
        <f>$B$7*Data!L86/Data!L85</f>
        <v>203983340.48641014</v>
      </c>
      <c r="M88" s="19">
        <f>$B$8*Data!O86/Data!O85</f>
        <v>203308329.97645649</v>
      </c>
      <c r="N88" s="19">
        <f>$B$9*Data!R86/Data!R85</f>
        <v>203925257.47089723</v>
      </c>
      <c r="O88" s="19">
        <f t="shared" si="9"/>
        <v>1016861863.6127716</v>
      </c>
      <c r="P88" s="19">
        <f t="shared" si="10"/>
        <v>16861863.61277163</v>
      </c>
      <c r="Q88" s="19">
        <f t="shared" si="11"/>
        <v>-16861863.61277163</v>
      </c>
      <c r="R88" s="19">
        <f t="shared" si="12"/>
        <v>-16.861863612771629</v>
      </c>
      <c r="Y88" s="29"/>
    </row>
    <row r="89" spans="9:25" x14ac:dyDescent="0.3">
      <c r="I89">
        <v>85</v>
      </c>
      <c r="J89" s="19">
        <f>$B$5*Data!F87/Data!F86</f>
        <v>204605083.91689774</v>
      </c>
      <c r="K89" s="19">
        <f>$B$6*Data!I87/Data!I86</f>
        <v>204741569.21339205</v>
      </c>
      <c r="L89" s="19">
        <f>$B$7*Data!L87/Data!L86</f>
        <v>200765709.80001605</v>
      </c>
      <c r="M89" s="19">
        <f>$B$8*Data!O87/Data!O86</f>
        <v>204832859.29064733</v>
      </c>
      <c r="N89" s="19">
        <f>$B$9*Data!R87/Data!R86</f>
        <v>207859018.77537391</v>
      </c>
      <c r="O89" s="19">
        <f t="shared" si="9"/>
        <v>1022804240.9963272</v>
      </c>
      <c r="P89" s="19">
        <f t="shared" si="10"/>
        <v>22804240.996327162</v>
      </c>
      <c r="Q89" s="19">
        <f t="shared" si="11"/>
        <v>-22804240.996327162</v>
      </c>
      <c r="R89" s="19">
        <f t="shared" si="12"/>
        <v>-22.804240996327163</v>
      </c>
      <c r="Y89" s="29"/>
    </row>
    <row r="90" spans="9:25" x14ac:dyDescent="0.3">
      <c r="I90">
        <v>86</v>
      </c>
      <c r="J90" s="19">
        <f>$B$5*Data!F88/Data!F87</f>
        <v>201635236.06574106</v>
      </c>
      <c r="K90" s="19">
        <f>$B$6*Data!I88/Data!I87</f>
        <v>202092895.70163316</v>
      </c>
      <c r="L90" s="19">
        <f>$B$7*Data!L88/Data!L87</f>
        <v>202884253.03856084</v>
      </c>
      <c r="M90" s="19">
        <f>$B$8*Data!O88/Data!O87</f>
        <v>201312078.77029338</v>
      </c>
      <c r="N90" s="19">
        <f>$B$9*Data!R88/Data!R87</f>
        <v>200816649.65383464</v>
      </c>
      <c r="O90" s="19">
        <f t="shared" si="9"/>
        <v>1008741113.230063</v>
      </c>
      <c r="P90" s="19">
        <f t="shared" si="10"/>
        <v>8741113.2300629616</v>
      </c>
      <c r="Q90" s="19">
        <f t="shared" si="11"/>
        <v>-8741113.2300629616</v>
      </c>
      <c r="R90" s="19">
        <f t="shared" si="12"/>
        <v>-8.741113230062961</v>
      </c>
      <c r="Y90" s="29"/>
    </row>
    <row r="91" spans="9:25" x14ac:dyDescent="0.3">
      <c r="I91">
        <v>87</v>
      </c>
      <c r="J91" s="19">
        <f>$B$5*Data!F89/Data!F88</f>
        <v>199580131.2745153</v>
      </c>
      <c r="K91" s="19">
        <f>$B$6*Data!I89/Data!I88</f>
        <v>199782893.08531553</v>
      </c>
      <c r="L91" s="19">
        <f>$B$7*Data!L89/Data!L88</f>
        <v>201145582.06017324</v>
      </c>
      <c r="M91" s="19">
        <f>$B$8*Data!O89/Data!O88</f>
        <v>199414388.28583801</v>
      </c>
      <c r="N91" s="19">
        <f>$B$9*Data!R89/Data!R88</f>
        <v>198714219.94681999</v>
      </c>
      <c r="O91" s="19">
        <f t="shared" si="9"/>
        <v>998637214.65266216</v>
      </c>
      <c r="P91" s="19">
        <f t="shared" si="10"/>
        <v>-1362785.347337842</v>
      </c>
      <c r="Q91" s="19">
        <f t="shared" si="11"/>
        <v>1362785.347337842</v>
      </c>
      <c r="R91" s="19">
        <f t="shared" si="12"/>
        <v>1.362785347337842</v>
      </c>
      <c r="Y91" s="29"/>
    </row>
    <row r="92" spans="9:25" x14ac:dyDescent="0.3">
      <c r="I92">
        <v>88</v>
      </c>
      <c r="J92" s="19">
        <f>$B$5*Data!F90/Data!F89</f>
        <v>203435701.64289272</v>
      </c>
      <c r="K92" s="19">
        <f>$B$6*Data!I90/Data!I89</f>
        <v>204616179.56585729</v>
      </c>
      <c r="L92" s="19">
        <f>$B$7*Data!L90/Data!L89</f>
        <v>201777574.98256069</v>
      </c>
      <c r="M92" s="19">
        <f>$B$8*Data!O90/Data!O89</f>
        <v>204117183.39175817</v>
      </c>
      <c r="N92" s="19">
        <f>$B$9*Data!R90/Data!R89</f>
        <v>202362883.13493538</v>
      </c>
      <c r="O92" s="19">
        <f t="shared" si="9"/>
        <v>1016309522.7180042</v>
      </c>
      <c r="P92" s="19">
        <f t="shared" si="10"/>
        <v>16309522.718004227</v>
      </c>
      <c r="Q92" s="19">
        <f t="shared" si="11"/>
        <v>-16309522.718004227</v>
      </c>
      <c r="R92" s="19">
        <f t="shared" si="12"/>
        <v>-16.309522718004228</v>
      </c>
      <c r="Y92" s="29"/>
    </row>
    <row r="93" spans="9:25" x14ac:dyDescent="0.3">
      <c r="I93">
        <v>89</v>
      </c>
      <c r="J93" s="19">
        <f>$B$5*Data!F91/Data!F90</f>
        <v>201804496.6926679</v>
      </c>
      <c r="K93" s="19">
        <f>$B$6*Data!I91/Data!I90</f>
        <v>202576179.67119205</v>
      </c>
      <c r="L93" s="19">
        <f>$B$7*Data!L91/Data!L90</f>
        <v>201962874.55561319</v>
      </c>
      <c r="M93" s="19">
        <f>$B$8*Data!O91/Data!O90</f>
        <v>201819723.48136121</v>
      </c>
      <c r="N93" s="19">
        <f>$B$9*Data!R91/Data!R90</f>
        <v>202414305.70296159</v>
      </c>
      <c r="O93" s="19">
        <f t="shared" si="9"/>
        <v>1010577580.1037959</v>
      </c>
      <c r="P93" s="19">
        <f t="shared" si="10"/>
        <v>10577580.103795886</v>
      </c>
      <c r="Q93" s="19">
        <f t="shared" si="11"/>
        <v>-10577580.103795886</v>
      </c>
      <c r="R93" s="19">
        <f t="shared" si="12"/>
        <v>-10.577580103795887</v>
      </c>
      <c r="Y93" s="29"/>
    </row>
    <row r="94" spans="9:25" x14ac:dyDescent="0.3">
      <c r="I94">
        <v>90</v>
      </c>
      <c r="J94" s="19">
        <f>$B$5*Data!F92/Data!F91</f>
        <v>200942827.93838009</v>
      </c>
      <c r="K94" s="19">
        <f>$B$6*Data!I92/Data!I91</f>
        <v>200615209.64244872</v>
      </c>
      <c r="L94" s="19">
        <f>$B$7*Data!L92/Data!L91</f>
        <v>201206301.21158004</v>
      </c>
      <c r="M94" s="19">
        <f>$B$8*Data!O92/Data!O91</f>
        <v>200971460.62443289</v>
      </c>
      <c r="N94" s="19">
        <f>$B$9*Data!R92/Data!R91</f>
        <v>201147894.60463229</v>
      </c>
      <c r="O94" s="19">
        <f t="shared" si="9"/>
        <v>1004883694.021474</v>
      </c>
      <c r="P94" s="19">
        <f t="shared" si="10"/>
        <v>4883694.0214740038</v>
      </c>
      <c r="Q94" s="19">
        <f t="shared" si="11"/>
        <v>-4883694.0214740038</v>
      </c>
      <c r="R94" s="19">
        <f t="shared" si="12"/>
        <v>-4.8836940214740041</v>
      </c>
      <c r="Y94" s="29"/>
    </row>
    <row r="95" spans="9:25" x14ac:dyDescent="0.3">
      <c r="I95">
        <v>91</v>
      </c>
      <c r="J95" s="19">
        <f>$B$5*Data!F93/Data!F92</f>
        <v>195613992.55070773</v>
      </c>
      <c r="K95" s="19">
        <f>$B$6*Data!I93/Data!I92</f>
        <v>195638929.67651203</v>
      </c>
      <c r="L95" s="19">
        <f>$B$7*Data!L93/Data!L92</f>
        <v>192365330.31055894</v>
      </c>
      <c r="M95" s="19">
        <f>$B$8*Data!O93/Data!O92</f>
        <v>195711369.55228204</v>
      </c>
      <c r="N95" s="19">
        <f>$B$9*Data!R93/Data!R92</f>
        <v>196966334.62138525</v>
      </c>
      <c r="O95" s="19">
        <f t="shared" si="9"/>
        <v>976295956.71144593</v>
      </c>
      <c r="P95" s="19">
        <f t="shared" si="10"/>
        <v>-23704043.288554072</v>
      </c>
      <c r="Q95" s="19">
        <f t="shared" si="11"/>
        <v>23704043.288554072</v>
      </c>
      <c r="R95" s="19">
        <f t="shared" si="12"/>
        <v>23.704043288554072</v>
      </c>
      <c r="Y95" s="29"/>
    </row>
    <row r="96" spans="9:25" x14ac:dyDescent="0.3">
      <c r="I96">
        <v>92</v>
      </c>
      <c r="J96" s="19">
        <f>$B$5*Data!F94/Data!F93</f>
        <v>199652675.57584879</v>
      </c>
      <c r="K96" s="19">
        <f>$B$6*Data!I94/Data!I93</f>
        <v>199043745.63228565</v>
      </c>
      <c r="L96" s="19">
        <f>$B$7*Data!L94/Data!L93</f>
        <v>200513555.83802226</v>
      </c>
      <c r="M96" s="19">
        <f>$B$8*Data!O94/Data!O93</f>
        <v>199816482.39501482</v>
      </c>
      <c r="N96" s="19">
        <f>$B$9*Data!R94/Data!R93</f>
        <v>199351870.00416988</v>
      </c>
      <c r="O96" s="19">
        <f t="shared" si="9"/>
        <v>998378329.44534135</v>
      </c>
      <c r="P96" s="19">
        <f t="shared" si="10"/>
        <v>-1621670.5546586514</v>
      </c>
      <c r="Q96" s="19">
        <f t="shared" si="11"/>
        <v>1621670.5546586514</v>
      </c>
      <c r="R96" s="19">
        <f t="shared" si="12"/>
        <v>1.6216705546586514</v>
      </c>
      <c r="Y96" s="29"/>
    </row>
    <row r="97" spans="9:25" x14ac:dyDescent="0.3">
      <c r="I97">
        <v>93</v>
      </c>
      <c r="J97" s="19">
        <f>$B$5*Data!F95/Data!F94</f>
        <v>196558870.76532963</v>
      </c>
      <c r="K97" s="19">
        <f>$B$6*Data!I95/Data!I94</f>
        <v>195835570.36834115</v>
      </c>
      <c r="L97" s="19">
        <f>$B$7*Data!L95/Data!L94</f>
        <v>195136064.94575483</v>
      </c>
      <c r="M97" s="19">
        <f>$B$8*Data!O95/Data!O94</f>
        <v>196564770.81718594</v>
      </c>
      <c r="N97" s="19">
        <f>$B$9*Data!R95/Data!R94</f>
        <v>197863171.45840424</v>
      </c>
      <c r="O97" s="19">
        <f t="shared" si="9"/>
        <v>981958448.35501575</v>
      </c>
      <c r="P97" s="19">
        <f t="shared" si="10"/>
        <v>-18041551.644984245</v>
      </c>
      <c r="Q97" s="19">
        <f t="shared" si="11"/>
        <v>18041551.644984245</v>
      </c>
      <c r="R97" s="19">
        <f t="shared" si="12"/>
        <v>18.041551644984246</v>
      </c>
      <c r="Y97" s="29"/>
    </row>
    <row r="98" spans="9:25" x14ac:dyDescent="0.3">
      <c r="I98">
        <v>94</v>
      </c>
      <c r="J98" s="19">
        <f>$B$5*Data!F96/Data!F95</f>
        <v>197168283.19023466</v>
      </c>
      <c r="K98" s="19">
        <f>$B$6*Data!I96/Data!I95</f>
        <v>196967655.80469781</v>
      </c>
      <c r="L98" s="19">
        <f>$B$7*Data!L96/Data!L95</f>
        <v>194957757.79454759</v>
      </c>
      <c r="M98" s="19">
        <f>$B$8*Data!O96/Data!O95</f>
        <v>197040755.55060673</v>
      </c>
      <c r="N98" s="19">
        <f>$B$9*Data!R96/Data!R95</f>
        <v>198579217.76074913</v>
      </c>
      <c r="O98" s="19">
        <f t="shared" si="9"/>
        <v>984713670.10083592</v>
      </c>
      <c r="P98" s="19">
        <f t="shared" si="10"/>
        <v>-15286329.899164081</v>
      </c>
      <c r="Q98" s="19">
        <f t="shared" si="11"/>
        <v>15286329.899164081</v>
      </c>
      <c r="R98" s="19">
        <f t="shared" si="12"/>
        <v>15.28632989916408</v>
      </c>
      <c r="Y98" s="29"/>
    </row>
    <row r="99" spans="9:25" x14ac:dyDescent="0.3">
      <c r="I99">
        <v>95</v>
      </c>
      <c r="J99" s="19">
        <f>$B$5*Data!F97/Data!F96</f>
        <v>202304145.24370778</v>
      </c>
      <c r="K99" s="19">
        <f>$B$6*Data!I97/Data!I96</f>
        <v>201751687.74338096</v>
      </c>
      <c r="L99" s="19">
        <f>$B$7*Data!L97/Data!L96</f>
        <v>202923781.94824788</v>
      </c>
      <c r="M99" s="19">
        <f>$B$8*Data!O97/Data!O96</f>
        <v>202472592.99106073</v>
      </c>
      <c r="N99" s="19">
        <f>$B$9*Data!R97/Data!R96</f>
        <v>203614802.16390339</v>
      </c>
      <c r="O99" s="19">
        <f t="shared" si="9"/>
        <v>1013067010.0903007</v>
      </c>
      <c r="P99" s="19">
        <f t="shared" si="10"/>
        <v>13067010.090300679</v>
      </c>
      <c r="Q99" s="19">
        <f t="shared" si="11"/>
        <v>-13067010.090300679</v>
      </c>
      <c r="R99" s="19">
        <f t="shared" si="12"/>
        <v>-13.067010090300679</v>
      </c>
      <c r="Y99" s="29"/>
    </row>
    <row r="100" spans="9:25" x14ac:dyDescent="0.3">
      <c r="I100">
        <v>96</v>
      </c>
      <c r="J100" s="19">
        <f>$B$5*Data!F98/Data!F97</f>
        <v>196290175.68904394</v>
      </c>
      <c r="K100" s="19">
        <f>$B$6*Data!I98/Data!I97</f>
        <v>195693907.02918491</v>
      </c>
      <c r="L100" s="19">
        <f>$B$7*Data!L98/Data!L97</f>
        <v>195312474.95932221</v>
      </c>
      <c r="M100" s="19">
        <f>$B$8*Data!O98/Data!O97</f>
        <v>196099016.17128003</v>
      </c>
      <c r="N100" s="19">
        <f>$B$9*Data!R98/Data!R97</f>
        <v>197946004.51204655</v>
      </c>
      <c r="O100" s="19">
        <f t="shared" si="9"/>
        <v>981341578.36087763</v>
      </c>
      <c r="P100" s="19">
        <f t="shared" si="10"/>
        <v>-18658421.639122367</v>
      </c>
      <c r="Q100" s="19">
        <f t="shared" si="11"/>
        <v>18658421.639122367</v>
      </c>
      <c r="R100" s="19">
        <f t="shared" si="12"/>
        <v>18.658421639122366</v>
      </c>
      <c r="Y100" s="29"/>
    </row>
    <row r="101" spans="9:25" x14ac:dyDescent="0.3">
      <c r="I101">
        <v>97</v>
      </c>
      <c r="J101" s="19">
        <f>$B$5*Data!F99/Data!F98</f>
        <v>197232434.03802487</v>
      </c>
      <c r="K101" s="19">
        <f>$B$6*Data!I99/Data!I98</f>
        <v>196830817.54372555</v>
      </c>
      <c r="L101" s="19">
        <f>$B$7*Data!L99/Data!L98</f>
        <v>199240196.02138454</v>
      </c>
      <c r="M101" s="19">
        <f>$B$8*Data!O99/Data!O98</f>
        <v>197021061.48547712</v>
      </c>
      <c r="N101" s="19">
        <f>$B$9*Data!R99/Data!R98</f>
        <v>196823530.81603539</v>
      </c>
      <c r="O101" s="19">
        <f t="shared" si="9"/>
        <v>987148039.90464735</v>
      </c>
      <c r="P101" s="19">
        <f t="shared" si="10"/>
        <v>-12851960.09535265</v>
      </c>
      <c r="Q101" s="19">
        <f t="shared" si="11"/>
        <v>12851960.09535265</v>
      </c>
      <c r="R101" s="19">
        <f t="shared" si="12"/>
        <v>12.85196009535265</v>
      </c>
      <c r="Y101" s="29"/>
    </row>
    <row r="102" spans="9:25" x14ac:dyDescent="0.3">
      <c r="I102">
        <v>98</v>
      </c>
      <c r="J102" s="19">
        <f>$B$5*Data!F100/Data!F99</f>
        <v>198312499.24446094</v>
      </c>
      <c r="K102" s="19">
        <f>$B$6*Data!I100/Data!I99</f>
        <v>197294094.95440304</v>
      </c>
      <c r="L102" s="19">
        <f>$B$7*Data!L100/Data!L99</f>
        <v>196660545.31951338</v>
      </c>
      <c r="M102" s="19">
        <f>$B$8*Data!O100/Data!O99</f>
        <v>197786935.00806445</v>
      </c>
      <c r="N102" s="19">
        <f>$B$9*Data!R100/Data!R99</f>
        <v>198435132.57804015</v>
      </c>
      <c r="O102" s="19">
        <f t="shared" si="9"/>
        <v>988489207.10448194</v>
      </c>
      <c r="P102" s="19">
        <f t="shared" si="10"/>
        <v>-11510792.895518064</v>
      </c>
      <c r="Q102" s="19">
        <f t="shared" si="11"/>
        <v>11510792.895518064</v>
      </c>
      <c r="R102" s="19">
        <f t="shared" si="12"/>
        <v>11.510792895518064</v>
      </c>
      <c r="Y102" s="29"/>
    </row>
    <row r="103" spans="9:25" x14ac:dyDescent="0.3">
      <c r="I103">
        <v>99</v>
      </c>
      <c r="J103" s="19">
        <f>$B$5*Data!F101/Data!F100</f>
        <v>203557014.95418042</v>
      </c>
      <c r="K103" s="19">
        <f>$B$6*Data!I101/Data!I100</f>
        <v>204611821.19531825</v>
      </c>
      <c r="L103" s="19">
        <f>$B$7*Data!L101/Data!L100</f>
        <v>205033806.65122533</v>
      </c>
      <c r="M103" s="19">
        <f>$B$8*Data!O101/Data!O100</f>
        <v>204340711.35598433</v>
      </c>
      <c r="N103" s="19">
        <f>$B$9*Data!R101/Data!R100</f>
        <v>203035087.84624591</v>
      </c>
      <c r="O103" s="19">
        <f t="shared" si="9"/>
        <v>1020578442.0029542</v>
      </c>
      <c r="P103" s="19">
        <f t="shared" si="10"/>
        <v>20578442.002954245</v>
      </c>
      <c r="Q103" s="19">
        <f t="shared" si="11"/>
        <v>-20578442.002954245</v>
      </c>
      <c r="R103" s="19">
        <f t="shared" si="12"/>
        <v>-20.578442002954244</v>
      </c>
      <c r="Y103" s="29"/>
    </row>
    <row r="104" spans="9:25" x14ac:dyDescent="0.3">
      <c r="I104">
        <v>100</v>
      </c>
      <c r="J104" s="19">
        <f>$B$5*Data!F102/Data!F101</f>
        <v>200605397.22780049</v>
      </c>
      <c r="K104" s="19">
        <f>$B$6*Data!I102/Data!I101</f>
        <v>200720085.67086244</v>
      </c>
      <c r="L104" s="19">
        <f>$B$7*Data!L102/Data!L101</f>
        <v>200800326.21479678</v>
      </c>
      <c r="M104" s="19">
        <f>$B$8*Data!O102/Data!O101</f>
        <v>200842958.29516214</v>
      </c>
      <c r="N104" s="19">
        <f>$B$9*Data!R102/Data!R101</f>
        <v>202531414.07236785</v>
      </c>
      <c r="O104" s="19">
        <f t="shared" si="9"/>
        <v>1005500181.4809897</v>
      </c>
      <c r="P104" s="19">
        <f t="shared" si="10"/>
        <v>5500181.4809896946</v>
      </c>
      <c r="Q104" s="19">
        <f t="shared" si="11"/>
        <v>-5500181.4809896946</v>
      </c>
      <c r="R104" s="19">
        <f t="shared" si="12"/>
        <v>-5.5001814809896947</v>
      </c>
      <c r="Y104" s="29"/>
    </row>
    <row r="105" spans="9:25" x14ac:dyDescent="0.3">
      <c r="I105">
        <v>101</v>
      </c>
      <c r="J105" s="19">
        <f>$B$5*Data!F103/Data!F102</f>
        <v>199835825.45557645</v>
      </c>
      <c r="K105" s="19">
        <f>$B$6*Data!I103/Data!I102</f>
        <v>200046436.4955579</v>
      </c>
      <c r="L105" s="19">
        <f>$B$7*Data!L103/Data!L102</f>
        <v>200652692.45104119</v>
      </c>
      <c r="M105" s="19">
        <f>$B$8*Data!O103/Data!O102</f>
        <v>199681852.7473298</v>
      </c>
      <c r="N105" s="19">
        <f>$B$9*Data!R103/Data!R102</f>
        <v>197346111.00268221</v>
      </c>
      <c r="O105" s="19">
        <f t="shared" si="9"/>
        <v>997562918.15218759</v>
      </c>
      <c r="P105" s="19">
        <f t="shared" si="10"/>
        <v>-2437081.8478124142</v>
      </c>
      <c r="Q105" s="19">
        <f t="shared" si="11"/>
        <v>2437081.8478124142</v>
      </c>
      <c r="R105" s="19">
        <f t="shared" si="12"/>
        <v>2.4370818478124141</v>
      </c>
      <c r="Y105" s="29"/>
    </row>
    <row r="106" spans="9:25" x14ac:dyDescent="0.3">
      <c r="I106">
        <v>102</v>
      </c>
      <c r="J106" s="19">
        <f>$B$5*Data!F104/Data!F103</f>
        <v>200619215.80591208</v>
      </c>
      <c r="K106" s="19">
        <f>$B$6*Data!I104/Data!I103</f>
        <v>200427898.14053375</v>
      </c>
      <c r="L106" s="19">
        <f>$B$7*Data!L104/Data!L103</f>
        <v>201786469.0604324</v>
      </c>
      <c r="M106" s="19">
        <f>$B$8*Data!O104/Data!O103</f>
        <v>200441320.71348637</v>
      </c>
      <c r="N106" s="19">
        <f>$B$9*Data!R104/Data!R103</f>
        <v>200807438.29577288</v>
      </c>
      <c r="O106" s="19">
        <f t="shared" si="9"/>
        <v>1004082342.0161375</v>
      </c>
      <c r="P106" s="19">
        <f t="shared" si="10"/>
        <v>4082342.0161374807</v>
      </c>
      <c r="Q106" s="19">
        <f t="shared" si="11"/>
        <v>-4082342.0161374807</v>
      </c>
      <c r="R106" s="19">
        <f t="shared" si="12"/>
        <v>-4.0823420161374804</v>
      </c>
      <c r="Y106" s="29"/>
    </row>
    <row r="107" spans="9:25" x14ac:dyDescent="0.3">
      <c r="I107">
        <v>103</v>
      </c>
      <c r="J107" s="19">
        <f>$B$5*Data!F105/Data!F104</f>
        <v>198749861.09458563</v>
      </c>
      <c r="K107" s="19">
        <f>$B$6*Data!I105/Data!I104</f>
        <v>198759643.34583175</v>
      </c>
      <c r="L107" s="19">
        <f>$B$7*Data!L105/Data!L104</f>
        <v>196388693.26464754</v>
      </c>
      <c r="M107" s="19">
        <f>$B$8*Data!O105/Data!O104</f>
        <v>198575446.60525537</v>
      </c>
      <c r="N107" s="19">
        <f>$B$9*Data!R105/Data!R104</f>
        <v>201983445.8579177</v>
      </c>
      <c r="O107" s="19">
        <f t="shared" si="9"/>
        <v>994457090.16823804</v>
      </c>
      <c r="P107" s="19">
        <f t="shared" si="10"/>
        <v>-5542909.8317619562</v>
      </c>
      <c r="Q107" s="19">
        <f t="shared" si="11"/>
        <v>5542909.8317619562</v>
      </c>
      <c r="R107" s="19">
        <f t="shared" si="12"/>
        <v>5.5429098317619561</v>
      </c>
      <c r="Y107" s="29"/>
    </row>
    <row r="108" spans="9:25" x14ac:dyDescent="0.3">
      <c r="I108">
        <v>104</v>
      </c>
      <c r="J108" s="19">
        <f>$B$5*Data!F106/Data!F105</f>
        <v>197916823.34634802</v>
      </c>
      <c r="K108" s="19">
        <f>$B$6*Data!I106/Data!I105</f>
        <v>198185059.3490656</v>
      </c>
      <c r="L108" s="19">
        <f>$B$7*Data!L106/Data!L105</f>
        <v>199088437.25666025</v>
      </c>
      <c r="M108" s="19">
        <f>$B$8*Data!O106/Data!O105</f>
        <v>198201092.35604382</v>
      </c>
      <c r="N108" s="19">
        <f>$B$9*Data!R106/Data!R105</f>
        <v>195764274.47663558</v>
      </c>
      <c r="O108" s="19">
        <f t="shared" si="9"/>
        <v>989155686.7847532</v>
      </c>
      <c r="P108" s="19">
        <f t="shared" si="10"/>
        <v>-10844313.215246797</v>
      </c>
      <c r="Q108" s="19">
        <f t="shared" si="11"/>
        <v>10844313.215246797</v>
      </c>
      <c r="R108" s="19">
        <f t="shared" si="12"/>
        <v>10.844313215246796</v>
      </c>
      <c r="Y108" s="29"/>
    </row>
    <row r="109" spans="9:25" x14ac:dyDescent="0.3">
      <c r="I109">
        <v>105</v>
      </c>
      <c r="J109" s="19">
        <f>$B$5*Data!F107/Data!F106</f>
        <v>197446477.74217939</v>
      </c>
      <c r="K109" s="19">
        <f>$B$6*Data!I107/Data!I106</f>
        <v>197265760.979285</v>
      </c>
      <c r="L109" s="19">
        <f>$B$7*Data!L107/Data!L106</f>
        <v>196654621.68579343</v>
      </c>
      <c r="M109" s="19">
        <f>$B$8*Data!O107/Data!O106</f>
        <v>197197178.22105369</v>
      </c>
      <c r="N109" s="19">
        <f>$B$9*Data!R107/Data!R106</f>
        <v>197887265.59635717</v>
      </c>
      <c r="O109" s="19">
        <f t="shared" si="9"/>
        <v>986451304.22466874</v>
      </c>
      <c r="P109" s="19">
        <f t="shared" si="10"/>
        <v>-13548695.775331259</v>
      </c>
      <c r="Q109" s="19">
        <f t="shared" si="11"/>
        <v>13548695.775331259</v>
      </c>
      <c r="R109" s="19">
        <f t="shared" si="12"/>
        <v>13.548695775331259</v>
      </c>
      <c r="Y109" s="29"/>
    </row>
    <row r="110" spans="9:25" x14ac:dyDescent="0.3">
      <c r="I110">
        <v>106</v>
      </c>
      <c r="J110" s="19">
        <f>$B$5*Data!F108/Data!F107</f>
        <v>201928155.19303149</v>
      </c>
      <c r="K110" s="19">
        <f>$B$6*Data!I108/Data!I107</f>
        <v>202085799.57309556</v>
      </c>
      <c r="L110" s="19">
        <f>$B$7*Data!L108/Data!L107</f>
        <v>202572386.51116586</v>
      </c>
      <c r="M110" s="19">
        <f>$B$8*Data!O108/Data!O107</f>
        <v>201943346.64435568</v>
      </c>
      <c r="N110" s="19">
        <f>$B$9*Data!R108/Data!R107</f>
        <v>201856623.8741338</v>
      </c>
      <c r="O110" s="19">
        <f t="shared" si="9"/>
        <v>1010386311.7957824</v>
      </c>
      <c r="P110" s="19">
        <f t="shared" si="10"/>
        <v>10386311.795782447</v>
      </c>
      <c r="Q110" s="19">
        <f t="shared" si="11"/>
        <v>-10386311.795782447</v>
      </c>
      <c r="R110" s="19">
        <f t="shared" si="12"/>
        <v>-10.386311795782447</v>
      </c>
      <c r="Y110" s="29"/>
    </row>
    <row r="111" spans="9:25" x14ac:dyDescent="0.3">
      <c r="I111">
        <v>107</v>
      </c>
      <c r="J111" s="19">
        <f>$B$5*Data!F109/Data!F108</f>
        <v>198100788.75074297</v>
      </c>
      <c r="K111" s="19">
        <f>$B$6*Data!I109/Data!I108</f>
        <v>198816893.54482594</v>
      </c>
      <c r="L111" s="19">
        <f>$B$7*Data!L109/Data!L108</f>
        <v>198301355.63779896</v>
      </c>
      <c r="M111" s="19">
        <f>$B$8*Data!O109/Data!O108</f>
        <v>198518857.5344196</v>
      </c>
      <c r="N111" s="19">
        <f>$B$9*Data!R109/Data!R108</f>
        <v>200370672.06736481</v>
      </c>
      <c r="O111" s="19">
        <f t="shared" si="9"/>
        <v>994108567.53515232</v>
      </c>
      <c r="P111" s="19">
        <f t="shared" si="10"/>
        <v>-5891432.4648476839</v>
      </c>
      <c r="Q111" s="19">
        <f t="shared" si="11"/>
        <v>5891432.4648476839</v>
      </c>
      <c r="R111" s="19">
        <f t="shared" si="12"/>
        <v>5.8914324648476839</v>
      </c>
      <c r="Y111" s="29"/>
    </row>
    <row r="112" spans="9:25" x14ac:dyDescent="0.3">
      <c r="I112">
        <v>108</v>
      </c>
      <c r="J112" s="19">
        <f>$B$5*Data!F110/Data!F109</f>
        <v>199949706.93461668</v>
      </c>
      <c r="K112" s="19">
        <f>$B$6*Data!I110/Data!I109</f>
        <v>200019586.43411583</v>
      </c>
      <c r="L112" s="19">
        <f>$B$7*Data!L110/Data!L109</f>
        <v>200106131.22980234</v>
      </c>
      <c r="M112" s="19">
        <f>$B$8*Data!O110/Data!O109</f>
        <v>199975779.98093143</v>
      </c>
      <c r="N112" s="19">
        <f>$B$9*Data!R110/Data!R109</f>
        <v>197720686.54925966</v>
      </c>
      <c r="O112" s="19">
        <f t="shared" si="9"/>
        <v>997771891.12872589</v>
      </c>
      <c r="P112" s="19">
        <f t="shared" si="10"/>
        <v>-2228108.8712741137</v>
      </c>
      <c r="Q112" s="19">
        <f t="shared" si="11"/>
        <v>2228108.8712741137</v>
      </c>
      <c r="R112" s="19">
        <f t="shared" si="12"/>
        <v>2.2281088712741135</v>
      </c>
      <c r="Y112" s="29"/>
    </row>
    <row r="113" spans="9:25" x14ac:dyDescent="0.3">
      <c r="I113">
        <v>109</v>
      </c>
      <c r="J113" s="19">
        <f>$B$5*Data!F111/Data!F110</f>
        <v>199847395.41939563</v>
      </c>
      <c r="K113" s="19">
        <f>$B$6*Data!I111/Data!I110</f>
        <v>199290519.67448807</v>
      </c>
      <c r="L113" s="19">
        <f>$B$7*Data!L111/Data!L110</f>
        <v>199422039.47512054</v>
      </c>
      <c r="M113" s="19">
        <f>$B$8*Data!O111/Data!O110</f>
        <v>199907963.68060434</v>
      </c>
      <c r="N113" s="19">
        <f>$B$9*Data!R111/Data!R110</f>
        <v>200242192.57139295</v>
      </c>
      <c r="O113" s="19">
        <f t="shared" si="9"/>
        <v>998710110.82100153</v>
      </c>
      <c r="P113" s="19">
        <f t="shared" si="10"/>
        <v>-1289889.1789984703</v>
      </c>
      <c r="Q113" s="19">
        <f t="shared" si="11"/>
        <v>1289889.1789984703</v>
      </c>
      <c r="R113" s="19">
        <f t="shared" si="12"/>
        <v>1.2898891789984703</v>
      </c>
      <c r="Y113" s="29"/>
    </row>
    <row r="114" spans="9:25" x14ac:dyDescent="0.3">
      <c r="I114">
        <v>110</v>
      </c>
      <c r="J114" s="19">
        <f>$B$5*Data!F112/Data!F111</f>
        <v>204759533.29095796</v>
      </c>
      <c r="K114" s="19">
        <f>$B$6*Data!I112/Data!I111</f>
        <v>205478058.41723025</v>
      </c>
      <c r="L114" s="19">
        <f>$B$7*Data!L112/Data!L111</f>
        <v>203896009.5352816</v>
      </c>
      <c r="M114" s="19">
        <f>$B$8*Data!O112/Data!O111</f>
        <v>205978303.57824051</v>
      </c>
      <c r="N114" s="19">
        <f>$B$9*Data!R112/Data!R111</f>
        <v>204914986.9972581</v>
      </c>
      <c r="O114" s="19">
        <f t="shared" si="9"/>
        <v>1025026891.8189683</v>
      </c>
      <c r="P114" s="19">
        <f t="shared" si="10"/>
        <v>25026891.818968296</v>
      </c>
      <c r="Q114" s="19">
        <f t="shared" si="11"/>
        <v>-25026891.818968296</v>
      </c>
      <c r="R114" s="19">
        <f t="shared" si="12"/>
        <v>-25.026891818968295</v>
      </c>
      <c r="Y114" s="29"/>
    </row>
    <row r="115" spans="9:25" x14ac:dyDescent="0.3">
      <c r="I115">
        <v>111</v>
      </c>
      <c r="J115" s="19">
        <f>$B$5*Data!F113/Data!F112</f>
        <v>196618182.55427915</v>
      </c>
      <c r="K115" s="19">
        <f>$B$6*Data!I113/Data!I112</f>
        <v>196288027.54082906</v>
      </c>
      <c r="L115" s="19">
        <f>$B$7*Data!L113/Data!L112</f>
        <v>196435986.88326985</v>
      </c>
      <c r="M115" s="19">
        <f>$B$8*Data!O113/Data!O112</f>
        <v>196417534.17201251</v>
      </c>
      <c r="N115" s="19">
        <f>$B$9*Data!R113/Data!R112</f>
        <v>197572378.29962453</v>
      </c>
      <c r="O115" s="19">
        <f t="shared" si="9"/>
        <v>983332109.45001519</v>
      </c>
      <c r="P115" s="19">
        <f t="shared" si="10"/>
        <v>-16667890.549984813</v>
      </c>
      <c r="Q115" s="19">
        <f t="shared" si="11"/>
        <v>16667890.549984813</v>
      </c>
      <c r="R115" s="19">
        <f t="shared" si="12"/>
        <v>16.667890549984811</v>
      </c>
      <c r="Y115" s="29"/>
    </row>
    <row r="116" spans="9:25" x14ac:dyDescent="0.3">
      <c r="I116">
        <v>112</v>
      </c>
      <c r="J116" s="19">
        <f>$B$5*Data!F114/Data!F113</f>
        <v>199944906.79900065</v>
      </c>
      <c r="K116" s="19">
        <f>$B$6*Data!I114/Data!I113</f>
        <v>200104741.29164869</v>
      </c>
      <c r="L116" s="19">
        <f>$B$7*Data!L114/Data!L113</f>
        <v>198663325.17846271</v>
      </c>
      <c r="M116" s="19">
        <f>$B$8*Data!O114/Data!O113</f>
        <v>199995496.96544495</v>
      </c>
      <c r="N116" s="19">
        <f>$B$9*Data!R114/Data!R113</f>
        <v>199599884.46416765</v>
      </c>
      <c r="O116" s="19">
        <f t="shared" si="9"/>
        <v>998308354.69872475</v>
      </c>
      <c r="P116" s="19">
        <f t="shared" si="10"/>
        <v>-1691645.3012752533</v>
      </c>
      <c r="Q116" s="19">
        <f t="shared" si="11"/>
        <v>1691645.3012752533</v>
      </c>
      <c r="R116" s="19">
        <f t="shared" si="12"/>
        <v>1.6916453012752533</v>
      </c>
      <c r="Y116" s="29"/>
    </row>
    <row r="117" spans="9:25" x14ac:dyDescent="0.3">
      <c r="I117">
        <v>113</v>
      </c>
      <c r="J117" s="19">
        <f>$B$5*Data!F115/Data!F114</f>
        <v>200475662.00884852</v>
      </c>
      <c r="K117" s="19">
        <f>$B$6*Data!I115/Data!I114</f>
        <v>200802373.77784345</v>
      </c>
      <c r="L117" s="19">
        <f>$B$7*Data!L115/Data!L114</f>
        <v>198775359.49232244</v>
      </c>
      <c r="M117" s="19">
        <f>$B$8*Data!O115/Data!O114</f>
        <v>200698697.7937564</v>
      </c>
      <c r="N117" s="19">
        <f>$B$9*Data!R115/Data!R114</f>
        <v>201740027.83917508</v>
      </c>
      <c r="O117" s="19">
        <f t="shared" si="9"/>
        <v>1002492120.9119458</v>
      </c>
      <c r="P117" s="19">
        <f t="shared" si="10"/>
        <v>2492120.9119458199</v>
      </c>
      <c r="Q117" s="19">
        <f t="shared" si="11"/>
        <v>-2492120.9119458199</v>
      </c>
      <c r="R117" s="19">
        <f t="shared" si="12"/>
        <v>-2.4921209119458196</v>
      </c>
      <c r="Y117" s="29"/>
    </row>
    <row r="118" spans="9:25" x14ac:dyDescent="0.3">
      <c r="I118">
        <v>114</v>
      </c>
      <c r="J118" s="19">
        <f>$B$5*Data!F116/Data!F115</f>
        <v>200173077.79588783</v>
      </c>
      <c r="K118" s="19">
        <f>$B$6*Data!I116/Data!I115</f>
        <v>200118381.24767509</v>
      </c>
      <c r="L118" s="19">
        <f>$B$7*Data!L116/Data!L115</f>
        <v>201856757.24537018</v>
      </c>
      <c r="M118" s="19">
        <f>$B$8*Data!O116/Data!O115</f>
        <v>200379065.67672369</v>
      </c>
      <c r="N118" s="19">
        <f>$B$9*Data!R116/Data!R115</f>
        <v>199366558.5613915</v>
      </c>
      <c r="O118" s="19">
        <f t="shared" si="9"/>
        <v>1001893840.5270482</v>
      </c>
      <c r="P118" s="19">
        <f t="shared" si="10"/>
        <v>1893840.5270482302</v>
      </c>
      <c r="Q118" s="19">
        <f t="shared" si="11"/>
        <v>-1893840.5270482302</v>
      </c>
      <c r="R118" s="19">
        <f t="shared" si="12"/>
        <v>-1.8938405270482301</v>
      </c>
      <c r="Y118" s="29"/>
    </row>
    <row r="119" spans="9:25" x14ac:dyDescent="0.3">
      <c r="I119">
        <v>115</v>
      </c>
      <c r="J119" s="19">
        <f>$B$5*Data!F117/Data!F116</f>
        <v>195881106.50161728</v>
      </c>
      <c r="K119" s="19">
        <f>$B$6*Data!I117/Data!I116</f>
        <v>195274424.22041363</v>
      </c>
      <c r="L119" s="19">
        <f>$B$7*Data!L117/Data!L116</f>
        <v>194544992.46825278</v>
      </c>
      <c r="M119" s="19">
        <f>$B$8*Data!O117/Data!O116</f>
        <v>195279901.59168905</v>
      </c>
      <c r="N119" s="19">
        <f>$B$9*Data!R117/Data!R116</f>
        <v>194955624.07975015</v>
      </c>
      <c r="O119" s="19">
        <f t="shared" si="9"/>
        <v>975936048.86172283</v>
      </c>
      <c r="P119" s="19">
        <f t="shared" si="10"/>
        <v>-24063951.138277173</v>
      </c>
      <c r="Q119" s="19">
        <f t="shared" si="11"/>
        <v>24063951.138277173</v>
      </c>
      <c r="R119" s="19">
        <f t="shared" si="12"/>
        <v>24.063951138277172</v>
      </c>
      <c r="Y119" s="29"/>
    </row>
    <row r="120" spans="9:25" x14ac:dyDescent="0.3">
      <c r="I120">
        <v>116</v>
      </c>
      <c r="J120" s="19">
        <f>$B$5*Data!F118/Data!F117</f>
        <v>200042090.80514801</v>
      </c>
      <c r="K120" s="19">
        <f>$B$6*Data!I118/Data!I117</f>
        <v>199819761.35932288</v>
      </c>
      <c r="L120" s="19">
        <f>$B$7*Data!L118/Data!L117</f>
        <v>198100157.83672071</v>
      </c>
      <c r="M120" s="19">
        <f>$B$8*Data!O118/Data!O117</f>
        <v>200264946.09084681</v>
      </c>
      <c r="N120" s="19">
        <f>$B$9*Data!R118/Data!R117</f>
        <v>202813832.52091059</v>
      </c>
      <c r="O120" s="19">
        <f t="shared" si="9"/>
        <v>1001040788.612949</v>
      </c>
      <c r="P120" s="19">
        <f t="shared" si="10"/>
        <v>1040788.6129490137</v>
      </c>
      <c r="Q120" s="19">
        <f t="shared" si="11"/>
        <v>-1040788.6129490137</v>
      </c>
      <c r="R120" s="19">
        <f t="shared" si="12"/>
        <v>-1.0407886129490138</v>
      </c>
      <c r="Y120" s="29"/>
    </row>
    <row r="121" spans="9:25" x14ac:dyDescent="0.3">
      <c r="I121">
        <v>117</v>
      </c>
      <c r="J121" s="19">
        <f>$B$5*Data!F119/Data!F118</f>
        <v>200431742.50303867</v>
      </c>
      <c r="K121" s="19">
        <f>$B$6*Data!I119/Data!I118</f>
        <v>200952689.66944975</v>
      </c>
      <c r="L121" s="19">
        <f>$B$7*Data!L119/Data!L118</f>
        <v>199000353.64791483</v>
      </c>
      <c r="M121" s="19">
        <f>$B$8*Data!O119/Data!O118</f>
        <v>201220626.15912682</v>
      </c>
      <c r="N121" s="19">
        <f>$B$9*Data!R119/Data!R118</f>
        <v>203248028.52123317</v>
      </c>
      <c r="O121" s="19">
        <f t="shared" si="9"/>
        <v>1004853440.5007633</v>
      </c>
      <c r="P121" s="19">
        <f t="shared" si="10"/>
        <v>4853440.5007632971</v>
      </c>
      <c r="Q121" s="19">
        <f t="shared" si="11"/>
        <v>-4853440.5007632971</v>
      </c>
      <c r="R121" s="19">
        <f t="shared" si="12"/>
        <v>-4.8534405007632975</v>
      </c>
      <c r="Y121" s="29"/>
    </row>
    <row r="122" spans="9:25" x14ac:dyDescent="0.3">
      <c r="I122">
        <v>118</v>
      </c>
      <c r="J122" s="19">
        <f>$B$5*Data!F120/Data!F119</f>
        <v>202453103.56603563</v>
      </c>
      <c r="K122" s="19">
        <f>$B$6*Data!I120/Data!I119</f>
        <v>202487024.4823741</v>
      </c>
      <c r="L122" s="19">
        <f>$B$7*Data!L120/Data!L119</f>
        <v>205058776.02108058</v>
      </c>
      <c r="M122" s="19">
        <f>$B$8*Data!O120/Data!O119</f>
        <v>202630578.80635253</v>
      </c>
      <c r="N122" s="19">
        <f>$B$9*Data!R120/Data!R119</f>
        <v>199868333.93466508</v>
      </c>
      <c r="O122" s="19">
        <f t="shared" si="9"/>
        <v>1012497816.8105079</v>
      </c>
      <c r="P122" s="19">
        <f t="shared" si="10"/>
        <v>12497816.810507894</v>
      </c>
      <c r="Q122" s="19">
        <f t="shared" si="11"/>
        <v>-12497816.810507894</v>
      </c>
      <c r="R122" s="19">
        <f t="shared" si="12"/>
        <v>-12.497816810507894</v>
      </c>
      <c r="Y122" s="29"/>
    </row>
    <row r="123" spans="9:25" x14ac:dyDescent="0.3">
      <c r="I123">
        <v>119</v>
      </c>
      <c r="J123" s="19">
        <f>$B$5*Data!F121/Data!F120</f>
        <v>197928084.97015911</v>
      </c>
      <c r="K123" s="19">
        <f>$B$6*Data!I121/Data!I120</f>
        <v>198058907.5381498</v>
      </c>
      <c r="L123" s="19">
        <f>$B$7*Data!L121/Data!L120</f>
        <v>198257304.45012733</v>
      </c>
      <c r="M123" s="19">
        <f>$B$8*Data!O121/Data!O120</f>
        <v>197644127.08295155</v>
      </c>
      <c r="N123" s="19">
        <f>$B$9*Data!R121/Data!R120</f>
        <v>197520488.13222227</v>
      </c>
      <c r="O123" s="19">
        <f t="shared" si="9"/>
        <v>989408912.17361009</v>
      </c>
      <c r="P123" s="19">
        <f t="shared" si="10"/>
        <v>-10591087.826389909</v>
      </c>
      <c r="Q123" s="19">
        <f t="shared" si="11"/>
        <v>10591087.826389909</v>
      </c>
      <c r="R123" s="19">
        <f t="shared" si="12"/>
        <v>10.591087826389909</v>
      </c>
      <c r="Y123" s="29"/>
    </row>
    <row r="124" spans="9:25" x14ac:dyDescent="0.3">
      <c r="I124">
        <v>120</v>
      </c>
      <c r="J124" s="19">
        <f>$B$5*Data!F122/Data!F121</f>
        <v>196987067.82505015</v>
      </c>
      <c r="K124" s="19">
        <f>$B$6*Data!I122/Data!I121</f>
        <v>196908855.13480219</v>
      </c>
      <c r="L124" s="19">
        <f>$B$7*Data!L122/Data!L121</f>
        <v>198406200.17509931</v>
      </c>
      <c r="M124" s="19">
        <f>$B$8*Data!O122/Data!O121</f>
        <v>197026627.06940967</v>
      </c>
      <c r="N124" s="19">
        <f>$B$9*Data!R122/Data!R121</f>
        <v>197527421.98399016</v>
      </c>
      <c r="O124" s="19">
        <f t="shared" si="9"/>
        <v>986856172.18835139</v>
      </c>
      <c r="P124" s="19">
        <f t="shared" si="10"/>
        <v>-13143827.811648607</v>
      </c>
      <c r="Q124" s="19">
        <f t="shared" si="11"/>
        <v>13143827.811648607</v>
      </c>
      <c r="R124" s="19">
        <f t="shared" si="12"/>
        <v>13.143827811648608</v>
      </c>
      <c r="Y124" s="29"/>
    </row>
    <row r="125" spans="9:25" x14ac:dyDescent="0.3">
      <c r="I125">
        <v>121</v>
      </c>
      <c r="J125" s="19">
        <f>$B$5*Data!F123/Data!F122</f>
        <v>199934204.93033522</v>
      </c>
      <c r="K125" s="19">
        <f>$B$6*Data!I123/Data!I122</f>
        <v>199803195.30002716</v>
      </c>
      <c r="L125" s="19">
        <f>$B$7*Data!L123/Data!L122</f>
        <v>201864835.75230703</v>
      </c>
      <c r="M125" s="19">
        <f>$B$8*Data!O123/Data!O122</f>
        <v>199654483.84954897</v>
      </c>
      <c r="N125" s="19">
        <f>$B$9*Data!R123/Data!R122</f>
        <v>198955293.73895356</v>
      </c>
      <c r="O125" s="19">
        <f t="shared" si="9"/>
        <v>1000212013.571172</v>
      </c>
      <c r="P125" s="19">
        <f t="shared" si="10"/>
        <v>212013.57117199898</v>
      </c>
      <c r="Q125" s="19">
        <f t="shared" si="11"/>
        <v>-212013.57117199898</v>
      </c>
      <c r="R125" s="19">
        <f t="shared" si="12"/>
        <v>-0.21201357117199898</v>
      </c>
      <c r="Y125" s="29"/>
    </row>
    <row r="126" spans="9:25" x14ac:dyDescent="0.3">
      <c r="I126">
        <v>122</v>
      </c>
      <c r="J126" s="19">
        <f>$B$5*Data!F124/Data!F123</f>
        <v>199437054.24742863</v>
      </c>
      <c r="K126" s="19">
        <f>$B$6*Data!I124/Data!I123</f>
        <v>199901744.20278561</v>
      </c>
      <c r="L126" s="19">
        <f>$B$7*Data!L124/Data!L123</f>
        <v>200002830.57155457</v>
      </c>
      <c r="M126" s="19">
        <f>$B$8*Data!O124/Data!O123</f>
        <v>199245983.68264467</v>
      </c>
      <c r="N126" s="19">
        <f>$B$9*Data!R124/Data!R123</f>
        <v>196155218.62904185</v>
      </c>
      <c r="O126" s="19">
        <f t="shared" si="9"/>
        <v>994742831.33345532</v>
      </c>
      <c r="P126" s="19">
        <f t="shared" si="10"/>
        <v>-5257168.6665446758</v>
      </c>
      <c r="Q126" s="19">
        <f t="shared" si="11"/>
        <v>5257168.6665446758</v>
      </c>
      <c r="R126" s="19">
        <f t="shared" si="12"/>
        <v>5.2571686665446755</v>
      </c>
      <c r="Y126" s="29"/>
    </row>
    <row r="127" spans="9:25" x14ac:dyDescent="0.3">
      <c r="I127">
        <v>123</v>
      </c>
      <c r="J127" s="19">
        <f>$B$5*Data!F125/Data!F124</f>
        <v>204217406.80157778</v>
      </c>
      <c r="K127" s="19">
        <f>$B$6*Data!I125/Data!I124</f>
        <v>203478550.18496782</v>
      </c>
      <c r="L127" s="19">
        <f>$B$7*Data!L125/Data!L124</f>
        <v>205422026.62979114</v>
      </c>
      <c r="M127" s="19">
        <f>$B$8*Data!O125/Data!O124</f>
        <v>203947248.68111303</v>
      </c>
      <c r="N127" s="19">
        <f>$B$9*Data!R125/Data!R124</f>
        <v>203333453.46235174</v>
      </c>
      <c r="O127" s="19">
        <f t="shared" si="9"/>
        <v>1020398685.7598014</v>
      </c>
      <c r="P127" s="19">
        <f t="shared" si="10"/>
        <v>20398685.759801388</v>
      </c>
      <c r="Q127" s="19">
        <f t="shared" si="11"/>
        <v>-20398685.759801388</v>
      </c>
      <c r="R127" s="19">
        <f t="shared" si="12"/>
        <v>-20.398685759801388</v>
      </c>
      <c r="Y127" s="29"/>
    </row>
    <row r="128" spans="9:25" x14ac:dyDescent="0.3">
      <c r="I128">
        <v>124</v>
      </c>
      <c r="J128" s="19">
        <f>$B$5*Data!F126/Data!F125</f>
        <v>205173573.06893212</v>
      </c>
      <c r="K128" s="19">
        <f>$B$6*Data!I126/Data!I125</f>
        <v>205156953.26538026</v>
      </c>
      <c r="L128" s="19">
        <f>$B$7*Data!L126/Data!L125</f>
        <v>204633500.58393627</v>
      </c>
      <c r="M128" s="19">
        <f>$B$8*Data!O126/Data!O125</f>
        <v>205051451.03431025</v>
      </c>
      <c r="N128" s="19">
        <f>$B$9*Data!R126/Data!R125</f>
        <v>202152928.77504307</v>
      </c>
      <c r="O128" s="19">
        <f t="shared" si="9"/>
        <v>1022168406.727602</v>
      </c>
      <c r="P128" s="19">
        <f t="shared" si="10"/>
        <v>22168406.727602005</v>
      </c>
      <c r="Q128" s="19">
        <f t="shared" si="11"/>
        <v>-22168406.727602005</v>
      </c>
      <c r="R128" s="19">
        <f t="shared" si="12"/>
        <v>-22.168406727602004</v>
      </c>
      <c r="Y128" s="29"/>
    </row>
    <row r="129" spans="9:25" x14ac:dyDescent="0.3">
      <c r="I129">
        <v>125</v>
      </c>
      <c r="J129" s="19">
        <f>$B$5*Data!F127/Data!F126</f>
        <v>196989479.8889536</v>
      </c>
      <c r="K129" s="19">
        <f>$B$6*Data!I127/Data!I126</f>
        <v>196688768.80881903</v>
      </c>
      <c r="L129" s="19">
        <f>$B$7*Data!L127/Data!L126</f>
        <v>194231925.91462615</v>
      </c>
      <c r="M129" s="19">
        <f>$B$8*Data!O127/Data!O126</f>
        <v>196625565.9497861</v>
      </c>
      <c r="N129" s="19">
        <f>$B$9*Data!R127/Data!R126</f>
        <v>198228697.12920791</v>
      </c>
      <c r="O129" s="19">
        <f t="shared" si="9"/>
        <v>982764437.69139266</v>
      </c>
      <c r="P129" s="19">
        <f t="shared" si="10"/>
        <v>-17235562.30860734</v>
      </c>
      <c r="Q129" s="19">
        <f t="shared" si="11"/>
        <v>17235562.30860734</v>
      </c>
      <c r="R129" s="19">
        <f t="shared" si="12"/>
        <v>17.235562308607339</v>
      </c>
      <c r="Y129" s="29"/>
    </row>
    <row r="130" spans="9:25" x14ac:dyDescent="0.3">
      <c r="I130">
        <v>126</v>
      </c>
      <c r="J130" s="19">
        <f>$B$5*Data!F128/Data!F127</f>
        <v>196773027.3671363</v>
      </c>
      <c r="K130" s="19">
        <f>$B$6*Data!I128/Data!I127</f>
        <v>196315471.84942773</v>
      </c>
      <c r="L130" s="19">
        <f>$B$7*Data!L128/Data!L127</f>
        <v>197260954.56273732</v>
      </c>
      <c r="M130" s="19">
        <f>$B$8*Data!O128/Data!O127</f>
        <v>196695226.38468608</v>
      </c>
      <c r="N130" s="19">
        <f>$B$9*Data!R128/Data!R127</f>
        <v>197831274.16855806</v>
      </c>
      <c r="O130" s="19">
        <f t="shared" si="9"/>
        <v>984875954.33254552</v>
      </c>
      <c r="P130" s="19">
        <f t="shared" si="10"/>
        <v>-15124045.667454481</v>
      </c>
      <c r="Q130" s="19">
        <f t="shared" si="11"/>
        <v>15124045.667454481</v>
      </c>
      <c r="R130" s="19">
        <f t="shared" si="12"/>
        <v>15.124045667454482</v>
      </c>
      <c r="Y130" s="29"/>
    </row>
    <row r="131" spans="9:25" x14ac:dyDescent="0.3">
      <c r="I131">
        <v>127</v>
      </c>
      <c r="J131" s="19">
        <f>$B$5*Data!F129/Data!F128</f>
        <v>200141765.81333593</v>
      </c>
      <c r="K131" s="19">
        <f>$B$6*Data!I129/Data!I128</f>
        <v>199906241.9335677</v>
      </c>
      <c r="L131" s="19">
        <f>$B$7*Data!L129/Data!L128</f>
        <v>201008776.40151277</v>
      </c>
      <c r="M131" s="19">
        <f>$B$8*Data!O129/Data!O128</f>
        <v>199409907.59589499</v>
      </c>
      <c r="N131" s="19">
        <f>$B$9*Data!R129/Data!R128</f>
        <v>197653629.74817237</v>
      </c>
      <c r="O131" s="19">
        <f t="shared" si="9"/>
        <v>998120321.49248374</v>
      </c>
      <c r="P131" s="19">
        <f t="shared" si="10"/>
        <v>-1879678.5075162649</v>
      </c>
      <c r="Q131" s="19">
        <f t="shared" si="11"/>
        <v>1879678.5075162649</v>
      </c>
      <c r="R131" s="19">
        <f t="shared" si="12"/>
        <v>1.879678507516265</v>
      </c>
      <c r="Y131" s="29"/>
    </row>
    <row r="132" spans="9:25" x14ac:dyDescent="0.3">
      <c r="I132">
        <v>128</v>
      </c>
      <c r="J132" s="19">
        <f>$B$5*Data!F130/Data!F129</f>
        <v>200362706.45629087</v>
      </c>
      <c r="K132" s="19">
        <f>$B$6*Data!I130/Data!I129</f>
        <v>199915263.17778617</v>
      </c>
      <c r="L132" s="19">
        <f>$B$7*Data!L130/Data!L129</f>
        <v>198399405.18373942</v>
      </c>
      <c r="M132" s="19">
        <f>$B$8*Data!O130/Data!O129</f>
        <v>200218736.1819067</v>
      </c>
      <c r="N132" s="19">
        <f>$B$9*Data!R130/Data!R129</f>
        <v>202180486.21798423</v>
      </c>
      <c r="O132" s="19">
        <f t="shared" si="9"/>
        <v>1001076597.2177074</v>
      </c>
      <c r="P132" s="19">
        <f t="shared" si="10"/>
        <v>1076597.2177073956</v>
      </c>
      <c r="Q132" s="19">
        <f t="shared" si="11"/>
        <v>-1076597.2177073956</v>
      </c>
      <c r="R132" s="19">
        <f t="shared" si="12"/>
        <v>-1.0765972177073955</v>
      </c>
      <c r="Y132" s="29"/>
    </row>
    <row r="133" spans="9:25" x14ac:dyDescent="0.3">
      <c r="I133">
        <v>129</v>
      </c>
      <c r="J133" s="19">
        <f>$B$5*Data!F131/Data!F130</f>
        <v>195941931.81504986</v>
      </c>
      <c r="K133" s="19">
        <f>$B$6*Data!I131/Data!I130</f>
        <v>195619606.83251053</v>
      </c>
      <c r="L133" s="19">
        <f>$B$7*Data!L131/Data!L130</f>
        <v>195760462.53525338</v>
      </c>
      <c r="M133" s="19">
        <f>$B$8*Data!O131/Data!O130</f>
        <v>195504534.78784803</v>
      </c>
      <c r="N133" s="19">
        <f>$B$9*Data!R131/Data!R130</f>
        <v>194687871.24173799</v>
      </c>
      <c r="O133" s="19">
        <f t="shared" si="9"/>
        <v>977514407.21239972</v>
      </c>
      <c r="P133" s="19">
        <f t="shared" si="10"/>
        <v>-22485592.787600279</v>
      </c>
      <c r="Q133" s="19">
        <f t="shared" si="11"/>
        <v>22485592.787600279</v>
      </c>
      <c r="R133" s="19">
        <f t="shared" si="12"/>
        <v>22.485592787600279</v>
      </c>
      <c r="Y133" s="29"/>
    </row>
    <row r="134" spans="9:25" x14ac:dyDescent="0.3">
      <c r="I134">
        <v>130</v>
      </c>
      <c r="J134" s="19">
        <f>$B$5*Data!F132/Data!F131</f>
        <v>202583316.05686951</v>
      </c>
      <c r="K134" s="19">
        <f>$B$6*Data!I132/Data!I131</f>
        <v>203221401.31200165</v>
      </c>
      <c r="L134" s="19">
        <f>$B$7*Data!L132/Data!L131</f>
        <v>204272960.10566327</v>
      </c>
      <c r="M134" s="19">
        <f>$B$8*Data!O132/Data!O131</f>
        <v>202961965.34114593</v>
      </c>
      <c r="N134" s="19">
        <f>$B$9*Data!R132/Data!R131</f>
        <v>202306077.55371431</v>
      </c>
      <c r="O134" s="19">
        <f t="shared" ref="O134:O197" si="13">SUM(J134:N134)</f>
        <v>1015345720.3693945</v>
      </c>
      <c r="P134" s="19">
        <f t="shared" ref="P134:P197" si="14">O134-$B$10</f>
        <v>15345720.369394541</v>
      </c>
      <c r="Q134" s="19">
        <f t="shared" ref="Q134:Q197" si="15">-P134</f>
        <v>-15345720.369394541</v>
      </c>
      <c r="R134" s="19">
        <f t="shared" ref="R134:R197" si="16">Q134/1000000</f>
        <v>-15.345720369394542</v>
      </c>
      <c r="Y134" s="29"/>
    </row>
    <row r="135" spans="9:25" x14ac:dyDescent="0.3">
      <c r="I135">
        <v>131</v>
      </c>
      <c r="J135" s="19">
        <f>$B$5*Data!F133/Data!F132</f>
        <v>198055766.00003684</v>
      </c>
      <c r="K135" s="19">
        <f>$B$6*Data!I133/Data!I132</f>
        <v>198016475.25780815</v>
      </c>
      <c r="L135" s="19">
        <f>$B$7*Data!L133/Data!L132</f>
        <v>196309938.68717524</v>
      </c>
      <c r="M135" s="19">
        <f>$B$8*Data!O133/Data!O132</f>
        <v>198049385.20314726</v>
      </c>
      <c r="N135" s="19">
        <f>$B$9*Data!R133/Data!R132</f>
        <v>198189632.59584695</v>
      </c>
      <c r="O135" s="19">
        <f t="shared" si="13"/>
        <v>988621197.7440145</v>
      </c>
      <c r="P135" s="19">
        <f t="shared" si="14"/>
        <v>-11378802.255985498</v>
      </c>
      <c r="Q135" s="19">
        <f t="shared" si="15"/>
        <v>11378802.255985498</v>
      </c>
      <c r="R135" s="19">
        <f t="shared" si="16"/>
        <v>11.378802255985498</v>
      </c>
      <c r="Y135" s="29"/>
    </row>
    <row r="136" spans="9:25" x14ac:dyDescent="0.3">
      <c r="I136">
        <v>132</v>
      </c>
      <c r="J136" s="19">
        <f>$B$5*Data!F134/Data!F133</f>
        <v>198210412.74646565</v>
      </c>
      <c r="K136" s="19">
        <f>$B$6*Data!I134/Data!I133</f>
        <v>198922141.91858673</v>
      </c>
      <c r="L136" s="19">
        <f>$B$7*Data!L134/Data!L133</f>
        <v>196982440.3565588</v>
      </c>
      <c r="M136" s="19">
        <f>$B$8*Data!O134/Data!O133</f>
        <v>198332054.28536311</v>
      </c>
      <c r="N136" s="19">
        <f>$B$9*Data!R134/Data!R133</f>
        <v>200072089.50812528</v>
      </c>
      <c r="O136" s="19">
        <f t="shared" si="13"/>
        <v>992519138.8150996</v>
      </c>
      <c r="P136" s="19">
        <f t="shared" si="14"/>
        <v>-7480861.184900403</v>
      </c>
      <c r="Q136" s="19">
        <f t="shared" si="15"/>
        <v>7480861.184900403</v>
      </c>
      <c r="R136" s="19">
        <f t="shared" si="16"/>
        <v>7.4808611849004034</v>
      </c>
      <c r="Y136" s="29"/>
    </row>
    <row r="137" spans="9:25" x14ac:dyDescent="0.3">
      <c r="I137">
        <v>133</v>
      </c>
      <c r="J137" s="19">
        <f>$B$5*Data!F135/Data!F134</f>
        <v>196514095.60957965</v>
      </c>
      <c r="K137" s="19">
        <f>$B$6*Data!I135/Data!I134</f>
        <v>195968354.31411225</v>
      </c>
      <c r="L137" s="19">
        <f>$B$7*Data!L135/Data!L134</f>
        <v>196043568.22595352</v>
      </c>
      <c r="M137" s="19">
        <f>$B$8*Data!O135/Data!O134</f>
        <v>195953692.74504191</v>
      </c>
      <c r="N137" s="19">
        <f>$B$9*Data!R135/Data!R134</f>
        <v>195739666.41070795</v>
      </c>
      <c r="O137" s="19">
        <f t="shared" si="13"/>
        <v>980219377.30539513</v>
      </c>
      <c r="P137" s="19">
        <f t="shared" si="14"/>
        <v>-19780622.694604874</v>
      </c>
      <c r="Q137" s="19">
        <f t="shared" si="15"/>
        <v>19780622.694604874</v>
      </c>
      <c r="R137" s="19">
        <f t="shared" si="16"/>
        <v>19.780622694604872</v>
      </c>
      <c r="Y137" s="29"/>
    </row>
    <row r="138" spans="9:25" x14ac:dyDescent="0.3">
      <c r="I138">
        <v>134</v>
      </c>
      <c r="J138" s="19">
        <f>$B$5*Data!F136/Data!F135</f>
        <v>200187050.31693986</v>
      </c>
      <c r="K138" s="19">
        <f>$B$6*Data!I136/Data!I135</f>
        <v>200139497.27490139</v>
      </c>
      <c r="L138" s="19">
        <f>$B$7*Data!L136/Data!L135</f>
        <v>201308393.62595281</v>
      </c>
      <c r="M138" s="19">
        <f>$B$8*Data!O136/Data!O135</f>
        <v>199799751.39487019</v>
      </c>
      <c r="N138" s="19">
        <f>$B$9*Data!R136/Data!R135</f>
        <v>198954503.10211182</v>
      </c>
      <c r="O138" s="19">
        <f t="shared" si="13"/>
        <v>1000389195.714776</v>
      </c>
      <c r="P138" s="19">
        <f t="shared" si="14"/>
        <v>389195.71477603912</v>
      </c>
      <c r="Q138" s="19">
        <f t="shared" si="15"/>
        <v>-389195.71477603912</v>
      </c>
      <c r="R138" s="19">
        <f t="shared" si="16"/>
        <v>-0.38919571477603915</v>
      </c>
      <c r="Y138" s="29"/>
    </row>
    <row r="139" spans="9:25" x14ac:dyDescent="0.3">
      <c r="I139">
        <v>135</v>
      </c>
      <c r="J139" s="19">
        <f>$B$5*Data!F137/Data!F136</f>
        <v>202467104.29304874</v>
      </c>
      <c r="K139" s="19">
        <f>$B$6*Data!I137/Data!I136</f>
        <v>202150616.78244165</v>
      </c>
      <c r="L139" s="19">
        <f>$B$7*Data!L137/Data!L136</f>
        <v>201245718.43589458</v>
      </c>
      <c r="M139" s="19">
        <f>$B$8*Data!O137/Data!O136</f>
        <v>202243639.33211666</v>
      </c>
      <c r="N139" s="19">
        <f>$B$9*Data!R137/Data!R136</f>
        <v>200222893.48251024</v>
      </c>
      <c r="O139" s="19">
        <f t="shared" si="13"/>
        <v>1008329972.3260118</v>
      </c>
      <c r="P139" s="19">
        <f t="shared" si="14"/>
        <v>8329972.3260117769</v>
      </c>
      <c r="Q139" s="19">
        <f t="shared" si="15"/>
        <v>-8329972.3260117769</v>
      </c>
      <c r="R139" s="19">
        <f t="shared" si="16"/>
        <v>-8.3299723260117773</v>
      </c>
      <c r="Y139" s="29"/>
    </row>
    <row r="140" spans="9:25" x14ac:dyDescent="0.3">
      <c r="I140">
        <v>136</v>
      </c>
      <c r="J140" s="19">
        <f>$B$5*Data!F138/Data!F137</f>
        <v>197182686.923668</v>
      </c>
      <c r="K140" s="19">
        <f>$B$6*Data!I138/Data!I137</f>
        <v>197414878.06876239</v>
      </c>
      <c r="L140" s="19">
        <f>$B$7*Data!L138/Data!L137</f>
        <v>196881921.35849971</v>
      </c>
      <c r="M140" s="19">
        <f>$B$8*Data!O138/Data!O137</f>
        <v>196826766.80883327</v>
      </c>
      <c r="N140" s="19">
        <f>$B$9*Data!R138/Data!R137</f>
        <v>196734675.4708795</v>
      </c>
      <c r="O140" s="19">
        <f t="shared" si="13"/>
        <v>985040928.63064289</v>
      </c>
      <c r="P140" s="19">
        <f t="shared" si="14"/>
        <v>-14959071.369357109</v>
      </c>
      <c r="Q140" s="19">
        <f t="shared" si="15"/>
        <v>14959071.369357109</v>
      </c>
      <c r="R140" s="19">
        <f t="shared" si="16"/>
        <v>14.959071369357108</v>
      </c>
      <c r="Y140" s="29"/>
    </row>
    <row r="141" spans="9:25" x14ac:dyDescent="0.3">
      <c r="I141">
        <v>137</v>
      </c>
      <c r="J141" s="19">
        <f>$B$5*Data!F139/Data!F138</f>
        <v>204050533.71540833</v>
      </c>
      <c r="K141" s="19">
        <f>$B$6*Data!I139/Data!I138</f>
        <v>204122558.46896666</v>
      </c>
      <c r="L141" s="19">
        <f>$B$7*Data!L139/Data!L138</f>
        <v>206055595.47084695</v>
      </c>
      <c r="M141" s="19">
        <f>$B$8*Data!O139/Data!O138</f>
        <v>204055934.74242592</v>
      </c>
      <c r="N141" s="19">
        <f>$B$9*Data!R139/Data!R138</f>
        <v>202705785.78425109</v>
      </c>
      <c r="O141" s="19">
        <f t="shared" si="13"/>
        <v>1020990408.181899</v>
      </c>
      <c r="P141" s="19">
        <f t="shared" si="14"/>
        <v>20990408.181898952</v>
      </c>
      <c r="Q141" s="19">
        <f t="shared" si="15"/>
        <v>-20990408.181898952</v>
      </c>
      <c r="R141" s="19">
        <f t="shared" si="16"/>
        <v>-20.990408181898953</v>
      </c>
      <c r="Y141" s="29"/>
    </row>
    <row r="142" spans="9:25" x14ac:dyDescent="0.3">
      <c r="I142">
        <v>138</v>
      </c>
      <c r="J142" s="19">
        <f>$B$5*Data!F140/Data!F139</f>
        <v>199473969.87517965</v>
      </c>
      <c r="K142" s="19">
        <f>$B$6*Data!I140/Data!I139</f>
        <v>198843153.75313747</v>
      </c>
      <c r="L142" s="19">
        <f>$B$7*Data!L140/Data!L139</f>
        <v>197640449.16080791</v>
      </c>
      <c r="M142" s="19">
        <f>$B$8*Data!O140/Data!O139</f>
        <v>199251276.61065161</v>
      </c>
      <c r="N142" s="19">
        <f>$B$9*Data!R140/Data!R139</f>
        <v>199575261.1441907</v>
      </c>
      <c r="O142" s="19">
        <f t="shared" si="13"/>
        <v>994784110.54396725</v>
      </c>
      <c r="P142" s="19">
        <f t="shared" si="14"/>
        <v>-5215889.456032753</v>
      </c>
      <c r="Q142" s="19">
        <f t="shared" si="15"/>
        <v>5215889.456032753</v>
      </c>
      <c r="R142" s="19">
        <f t="shared" si="16"/>
        <v>5.2158894560327527</v>
      </c>
      <c r="Y142" s="29"/>
    </row>
    <row r="143" spans="9:25" x14ac:dyDescent="0.3">
      <c r="I143">
        <v>139</v>
      </c>
      <c r="J143" s="19">
        <f>$B$5*Data!F141/Data!F140</f>
        <v>196058951.81780946</v>
      </c>
      <c r="K143" s="19">
        <f>$B$6*Data!I141/Data!I140</f>
        <v>196406029.99830791</v>
      </c>
      <c r="L143" s="19">
        <f>$B$7*Data!L141/Data!L140</f>
        <v>194978197.28572991</v>
      </c>
      <c r="M143" s="19">
        <f>$B$8*Data!O141/Data!O140</f>
        <v>196548234.85620958</v>
      </c>
      <c r="N143" s="19">
        <f>$B$9*Data!R141/Data!R140</f>
        <v>199151358.87851015</v>
      </c>
      <c r="O143" s="19">
        <f t="shared" si="13"/>
        <v>983142772.83656704</v>
      </c>
      <c r="P143" s="19">
        <f t="shared" si="14"/>
        <v>-16857227.163432956</v>
      </c>
      <c r="Q143" s="19">
        <f t="shared" si="15"/>
        <v>16857227.163432956</v>
      </c>
      <c r="R143" s="19">
        <f t="shared" si="16"/>
        <v>16.857227163432956</v>
      </c>
      <c r="Y143" s="29"/>
    </row>
    <row r="144" spans="9:25" x14ac:dyDescent="0.3">
      <c r="I144">
        <v>140</v>
      </c>
      <c r="J144" s="19">
        <f>$B$5*Data!F142/Data!F141</f>
        <v>197530890.26939917</v>
      </c>
      <c r="K144" s="19">
        <f>$B$6*Data!I142/Data!I141</f>
        <v>197735862.3867543</v>
      </c>
      <c r="L144" s="19">
        <f>$B$7*Data!L142/Data!L141</f>
        <v>197720292.04149929</v>
      </c>
      <c r="M144" s="19">
        <f>$B$8*Data!O142/Data!O141</f>
        <v>197159598.73744151</v>
      </c>
      <c r="N144" s="19">
        <f>$B$9*Data!R142/Data!R141</f>
        <v>195883256.58274791</v>
      </c>
      <c r="O144" s="19">
        <f t="shared" si="13"/>
        <v>986029900.01784217</v>
      </c>
      <c r="P144" s="19">
        <f t="shared" si="14"/>
        <v>-13970099.982157826</v>
      </c>
      <c r="Q144" s="19">
        <f t="shared" si="15"/>
        <v>13970099.982157826</v>
      </c>
      <c r="R144" s="19">
        <f t="shared" si="16"/>
        <v>13.970099982157826</v>
      </c>
      <c r="Y144" s="29"/>
    </row>
    <row r="145" spans="9:25" x14ac:dyDescent="0.3">
      <c r="I145">
        <v>141</v>
      </c>
      <c r="J145" s="19">
        <f>$B$5*Data!F143/Data!F142</f>
        <v>199237993.84154415</v>
      </c>
      <c r="K145" s="19">
        <f>$B$6*Data!I143/Data!I142</f>
        <v>198766419.82730371</v>
      </c>
      <c r="L145" s="19">
        <f>$B$7*Data!L143/Data!L142</f>
        <v>200034129.70420372</v>
      </c>
      <c r="M145" s="19">
        <f>$B$8*Data!O143/Data!O142</f>
        <v>199031414.04425764</v>
      </c>
      <c r="N145" s="19">
        <f>$B$9*Data!R143/Data!R142</f>
        <v>200026321.70477369</v>
      </c>
      <c r="O145" s="19">
        <f t="shared" si="13"/>
        <v>997096279.12208295</v>
      </c>
      <c r="P145" s="19">
        <f t="shared" si="14"/>
        <v>-2903720.8779170513</v>
      </c>
      <c r="Q145" s="19">
        <f t="shared" si="15"/>
        <v>2903720.8779170513</v>
      </c>
      <c r="R145" s="19">
        <f t="shared" si="16"/>
        <v>2.9037208779170514</v>
      </c>
      <c r="Y145" s="29"/>
    </row>
    <row r="146" spans="9:25" x14ac:dyDescent="0.3">
      <c r="I146">
        <v>142</v>
      </c>
      <c r="J146" s="19">
        <f>$B$5*Data!F144/Data!F143</f>
        <v>202665445.78733221</v>
      </c>
      <c r="K146" s="19">
        <f>$B$6*Data!I144/Data!I143</f>
        <v>202936617.11520809</v>
      </c>
      <c r="L146" s="19">
        <f>$B$7*Data!L144/Data!L143</f>
        <v>202283610.55478498</v>
      </c>
      <c r="M146" s="19">
        <f>$B$8*Data!O144/Data!O143</f>
        <v>202648962.58101255</v>
      </c>
      <c r="N146" s="19">
        <f>$B$9*Data!R144/Data!R143</f>
        <v>203209500.74196172</v>
      </c>
      <c r="O146" s="19">
        <f t="shared" si="13"/>
        <v>1013744136.7802997</v>
      </c>
      <c r="P146" s="19">
        <f t="shared" si="14"/>
        <v>13744136.780299664</v>
      </c>
      <c r="Q146" s="19">
        <f t="shared" si="15"/>
        <v>-13744136.780299664</v>
      </c>
      <c r="R146" s="19">
        <f t="shared" si="16"/>
        <v>-13.744136780299664</v>
      </c>
      <c r="Y146" s="29"/>
    </row>
    <row r="147" spans="9:25" x14ac:dyDescent="0.3">
      <c r="I147">
        <v>143</v>
      </c>
      <c r="J147" s="19">
        <f>$B$5*Data!F145/Data!F144</f>
        <v>200263126.41849551</v>
      </c>
      <c r="K147" s="19">
        <f>$B$6*Data!I145/Data!I144</f>
        <v>199905519.7772361</v>
      </c>
      <c r="L147" s="19">
        <f>$B$7*Data!L145/Data!L144</f>
        <v>199166355.07890907</v>
      </c>
      <c r="M147" s="19">
        <f>$B$8*Data!O145/Data!O144</f>
        <v>200377422.78153974</v>
      </c>
      <c r="N147" s="19">
        <f>$B$9*Data!R145/Data!R144</f>
        <v>200041292.56763172</v>
      </c>
      <c r="O147" s="19">
        <f t="shared" si="13"/>
        <v>999753716.6238122</v>
      </c>
      <c r="P147" s="19">
        <f t="shared" si="14"/>
        <v>-246283.37618780136</v>
      </c>
      <c r="Q147" s="19">
        <f t="shared" si="15"/>
        <v>246283.37618780136</v>
      </c>
      <c r="R147" s="19">
        <f t="shared" si="16"/>
        <v>0.24628337618780136</v>
      </c>
      <c r="Y147" s="29"/>
    </row>
    <row r="148" spans="9:25" x14ac:dyDescent="0.3">
      <c r="I148">
        <v>144</v>
      </c>
      <c r="J148" s="19">
        <f>$B$5*Data!F146/Data!F145</f>
        <v>202273808.14177743</v>
      </c>
      <c r="K148" s="19">
        <f>$B$6*Data!I146/Data!I145</f>
        <v>202985064.87880388</v>
      </c>
      <c r="L148" s="19">
        <f>$B$7*Data!L146/Data!L145</f>
        <v>204089596.02379543</v>
      </c>
      <c r="M148" s="19">
        <f>$B$8*Data!O146/Data!O145</f>
        <v>202495741.85794482</v>
      </c>
      <c r="N148" s="19">
        <f>$B$9*Data!R146/Data!R145</f>
        <v>201706299.93957067</v>
      </c>
      <c r="O148" s="19">
        <f t="shared" si="13"/>
        <v>1013550510.8418922</v>
      </c>
      <c r="P148" s="19">
        <f t="shared" si="14"/>
        <v>13550510.841892242</v>
      </c>
      <c r="Q148" s="19">
        <f t="shared" si="15"/>
        <v>-13550510.841892242</v>
      </c>
      <c r="R148" s="19">
        <f t="shared" si="16"/>
        <v>-13.550510841892242</v>
      </c>
      <c r="Y148" s="29"/>
    </row>
    <row r="149" spans="9:25" x14ac:dyDescent="0.3">
      <c r="I149">
        <v>145</v>
      </c>
      <c r="J149" s="19">
        <f>$B$5*Data!F147/Data!F146</f>
        <v>200422882.84847561</v>
      </c>
      <c r="K149" s="19">
        <f>$B$6*Data!I147/Data!I146</f>
        <v>201027886.81481257</v>
      </c>
      <c r="L149" s="19">
        <f>$B$7*Data!L147/Data!L146</f>
        <v>199766621.4885169</v>
      </c>
      <c r="M149" s="19">
        <f>$B$8*Data!O147/Data!O146</f>
        <v>200564834.26781109</v>
      </c>
      <c r="N149" s="19">
        <f>$B$9*Data!R147/Data!R146</f>
        <v>199221415.01848787</v>
      </c>
      <c r="O149" s="19">
        <f t="shared" si="13"/>
        <v>1001003640.4381039</v>
      </c>
      <c r="P149" s="19">
        <f t="shared" si="14"/>
        <v>1003640.4381039143</v>
      </c>
      <c r="Q149" s="19">
        <f t="shared" si="15"/>
        <v>-1003640.4381039143</v>
      </c>
      <c r="R149" s="19">
        <f t="shared" si="16"/>
        <v>-1.0036404381039143</v>
      </c>
      <c r="Y149" s="29"/>
    </row>
    <row r="150" spans="9:25" x14ac:dyDescent="0.3">
      <c r="I150">
        <v>146</v>
      </c>
      <c r="J150" s="19">
        <f>$B$5*Data!F148/Data!F147</f>
        <v>200799033.99747244</v>
      </c>
      <c r="K150" s="19">
        <f>$B$6*Data!I148/Data!I147</f>
        <v>200581710.11387974</v>
      </c>
      <c r="L150" s="19">
        <f>$B$7*Data!L148/Data!L147</f>
        <v>200060586.75586933</v>
      </c>
      <c r="M150" s="19">
        <f>$B$8*Data!O148/Data!O147</f>
        <v>200724658.64253438</v>
      </c>
      <c r="N150" s="19">
        <f>$B$9*Data!R148/Data!R147</f>
        <v>201145555.84664968</v>
      </c>
      <c r="O150" s="19">
        <f t="shared" si="13"/>
        <v>1003311545.3564056</v>
      </c>
      <c r="P150" s="19">
        <f t="shared" si="14"/>
        <v>3311545.3564056158</v>
      </c>
      <c r="Q150" s="19">
        <f t="shared" si="15"/>
        <v>-3311545.3564056158</v>
      </c>
      <c r="R150" s="19">
        <f t="shared" si="16"/>
        <v>-3.3115453564056159</v>
      </c>
      <c r="Y150" s="29"/>
    </row>
    <row r="151" spans="9:25" x14ac:dyDescent="0.3">
      <c r="I151">
        <v>147</v>
      </c>
      <c r="J151" s="19">
        <f>$B$5*Data!F149/Data!F148</f>
        <v>199193371.10628</v>
      </c>
      <c r="K151" s="19">
        <f>$B$6*Data!I149/Data!I148</f>
        <v>198537575.81857318</v>
      </c>
      <c r="L151" s="19">
        <f>$B$7*Data!L149/Data!L148</f>
        <v>197918786.06098598</v>
      </c>
      <c r="M151" s="19">
        <f>$B$8*Data!O149/Data!O148</f>
        <v>199098567.52979395</v>
      </c>
      <c r="N151" s="19">
        <f>$B$9*Data!R149/Data!R148</f>
        <v>199334489.13955775</v>
      </c>
      <c r="O151" s="19">
        <f t="shared" si="13"/>
        <v>994082789.65519083</v>
      </c>
      <c r="P151" s="19">
        <f t="shared" si="14"/>
        <v>-5917210.3448091745</v>
      </c>
      <c r="Q151" s="19">
        <f t="shared" si="15"/>
        <v>5917210.3448091745</v>
      </c>
      <c r="R151" s="19">
        <f t="shared" si="16"/>
        <v>5.9172103448091748</v>
      </c>
      <c r="Y151" s="29"/>
    </row>
    <row r="152" spans="9:25" x14ac:dyDescent="0.3">
      <c r="I152">
        <v>148</v>
      </c>
      <c r="J152" s="19">
        <f>$B$5*Data!F150/Data!F149</f>
        <v>199827584.73171163</v>
      </c>
      <c r="K152" s="19">
        <f>$B$6*Data!I150/Data!I149</f>
        <v>200282786.83931914</v>
      </c>
      <c r="L152" s="19">
        <f>$B$7*Data!L150/Data!L149</f>
        <v>199210557.45946756</v>
      </c>
      <c r="M152" s="19">
        <f>$B$8*Data!O150/Data!O149</f>
        <v>200212258.70747292</v>
      </c>
      <c r="N152" s="19">
        <f>$B$9*Data!R150/Data!R149</f>
        <v>200553714.43909359</v>
      </c>
      <c r="O152" s="19">
        <f t="shared" si="13"/>
        <v>1000086902.1770648</v>
      </c>
      <c r="P152" s="19">
        <f t="shared" si="14"/>
        <v>86902.177064776421</v>
      </c>
      <c r="Q152" s="19">
        <f t="shared" si="15"/>
        <v>-86902.177064776421</v>
      </c>
      <c r="R152" s="19">
        <f t="shared" si="16"/>
        <v>-8.6902177064776417E-2</v>
      </c>
      <c r="Y152" s="29"/>
    </row>
    <row r="153" spans="9:25" x14ac:dyDescent="0.3">
      <c r="I153">
        <v>149</v>
      </c>
      <c r="J153" s="19">
        <f>$B$5*Data!F151/Data!F150</f>
        <v>203817967.18288627</v>
      </c>
      <c r="K153" s="19">
        <f>$B$6*Data!I151/Data!I150</f>
        <v>204570063.37329417</v>
      </c>
      <c r="L153" s="19">
        <f>$B$7*Data!L151/Data!L150</f>
        <v>204480554.39850143</v>
      </c>
      <c r="M153" s="19">
        <f>$B$8*Data!O151/Data!O150</f>
        <v>204261827.96295696</v>
      </c>
      <c r="N153" s="19">
        <f>$B$9*Data!R151/Data!R150</f>
        <v>201578688.11327195</v>
      </c>
      <c r="O153" s="19">
        <f t="shared" si="13"/>
        <v>1018709101.0309107</v>
      </c>
      <c r="P153" s="19">
        <f t="shared" si="14"/>
        <v>18709101.03091073</v>
      </c>
      <c r="Q153" s="19">
        <f t="shared" si="15"/>
        <v>-18709101.03091073</v>
      </c>
      <c r="R153" s="19">
        <f t="shared" si="16"/>
        <v>-18.70910103091073</v>
      </c>
      <c r="Y153" s="29"/>
    </row>
    <row r="154" spans="9:25" x14ac:dyDescent="0.3">
      <c r="I154">
        <v>150</v>
      </c>
      <c r="J154" s="19">
        <f>$B$5*Data!F152/Data!F151</f>
        <v>201754950.69329801</v>
      </c>
      <c r="K154" s="19">
        <f>$B$6*Data!I152/Data!I151</f>
        <v>202332015.12644234</v>
      </c>
      <c r="L154" s="19">
        <f>$B$7*Data!L152/Data!L151</f>
        <v>203510143.88890368</v>
      </c>
      <c r="M154" s="19">
        <f>$B$8*Data!O152/Data!O151</f>
        <v>202231659.63593224</v>
      </c>
      <c r="N154" s="19">
        <f>$B$9*Data!R152/Data!R151</f>
        <v>201573063.39318815</v>
      </c>
      <c r="O154" s="19">
        <f t="shared" si="13"/>
        <v>1011401832.7377644</v>
      </c>
      <c r="P154" s="19">
        <f t="shared" si="14"/>
        <v>11401832.737764359</v>
      </c>
      <c r="Q154" s="19">
        <f t="shared" si="15"/>
        <v>-11401832.737764359</v>
      </c>
      <c r="R154" s="19">
        <f t="shared" si="16"/>
        <v>-11.401832737764359</v>
      </c>
      <c r="Y154" s="29"/>
    </row>
    <row r="155" spans="9:25" x14ac:dyDescent="0.3">
      <c r="I155">
        <v>151</v>
      </c>
      <c r="J155" s="19">
        <f>$B$5*Data!F153/Data!F152</f>
        <v>199341868.25098222</v>
      </c>
      <c r="K155" s="19">
        <f>$B$6*Data!I153/Data!I152</f>
        <v>199413638.41803491</v>
      </c>
      <c r="L155" s="19">
        <f>$B$7*Data!L153/Data!L152</f>
        <v>198926655.2089583</v>
      </c>
      <c r="M155" s="19">
        <f>$B$8*Data!O153/Data!O152</f>
        <v>199034949.66818079</v>
      </c>
      <c r="N155" s="19">
        <f>$B$9*Data!R153/Data!R152</f>
        <v>198112321.79283687</v>
      </c>
      <c r="O155" s="19">
        <f t="shared" si="13"/>
        <v>994829433.33899319</v>
      </c>
      <c r="P155" s="19">
        <f t="shared" si="14"/>
        <v>-5170566.6610068083</v>
      </c>
      <c r="Q155" s="19">
        <f t="shared" si="15"/>
        <v>5170566.6610068083</v>
      </c>
      <c r="R155" s="19">
        <f t="shared" si="16"/>
        <v>5.1705666610068084</v>
      </c>
      <c r="Y155" s="29"/>
    </row>
    <row r="156" spans="9:25" x14ac:dyDescent="0.3">
      <c r="I156">
        <v>152</v>
      </c>
      <c r="J156" s="19">
        <f>$B$5*Data!F154/Data!F153</f>
        <v>198483370.66463485</v>
      </c>
      <c r="K156" s="19">
        <f>$B$6*Data!I154/Data!I153</f>
        <v>197619415.42866054</v>
      </c>
      <c r="L156" s="19">
        <f>$B$7*Data!L154/Data!L153</f>
        <v>196214965.05054009</v>
      </c>
      <c r="M156" s="19">
        <f>$B$8*Data!O154/Data!O153</f>
        <v>198118276.19430736</v>
      </c>
      <c r="N156" s="19">
        <f>$B$9*Data!R154/Data!R153</f>
        <v>199183227.91710997</v>
      </c>
      <c r="O156" s="19">
        <f t="shared" si="13"/>
        <v>989619255.25525284</v>
      </c>
      <c r="P156" s="19">
        <f t="shared" si="14"/>
        <v>-10380744.744747162</v>
      </c>
      <c r="Q156" s="19">
        <f t="shared" si="15"/>
        <v>10380744.744747162</v>
      </c>
      <c r="R156" s="19">
        <f t="shared" si="16"/>
        <v>10.380744744747162</v>
      </c>
      <c r="Y156" s="29"/>
    </row>
    <row r="157" spans="9:25" x14ac:dyDescent="0.3">
      <c r="I157">
        <v>153</v>
      </c>
      <c r="J157" s="19">
        <f>$B$5*Data!F155/Data!F154</f>
        <v>202802074.06558326</v>
      </c>
      <c r="K157" s="19">
        <f>$B$6*Data!I155/Data!I154</f>
        <v>203336597.71554115</v>
      </c>
      <c r="L157" s="19">
        <f>$B$7*Data!L155/Data!L154</f>
        <v>204248785.58113268</v>
      </c>
      <c r="M157" s="19">
        <f>$B$8*Data!O155/Data!O154</f>
        <v>202612423.57740602</v>
      </c>
      <c r="N157" s="19">
        <f>$B$9*Data!R155/Data!R154</f>
        <v>199457067.46375284</v>
      </c>
      <c r="O157" s="19">
        <f t="shared" si="13"/>
        <v>1012456948.403416</v>
      </c>
      <c r="P157" s="19">
        <f t="shared" si="14"/>
        <v>12456948.403416038</v>
      </c>
      <c r="Q157" s="19">
        <f t="shared" si="15"/>
        <v>-12456948.403416038</v>
      </c>
      <c r="R157" s="19">
        <f t="shared" si="16"/>
        <v>-12.456948403416037</v>
      </c>
      <c r="Y157" s="29"/>
    </row>
    <row r="158" spans="9:25" x14ac:dyDescent="0.3">
      <c r="I158">
        <v>154</v>
      </c>
      <c r="J158" s="19">
        <f>$B$5*Data!F156/Data!F155</f>
        <v>199700529.71301895</v>
      </c>
      <c r="K158" s="19">
        <f>$B$6*Data!I156/Data!I155</f>
        <v>199080574.24078655</v>
      </c>
      <c r="L158" s="19">
        <f>$B$7*Data!L156/Data!L155</f>
        <v>197766608.32441249</v>
      </c>
      <c r="M158" s="19">
        <f>$B$8*Data!O156/Data!O155</f>
        <v>199867536.9156937</v>
      </c>
      <c r="N158" s="19">
        <f>$B$9*Data!R156/Data!R155</f>
        <v>199368472.85679236</v>
      </c>
      <c r="O158" s="19">
        <f t="shared" si="13"/>
        <v>995783722.05070412</v>
      </c>
      <c r="P158" s="19">
        <f t="shared" si="14"/>
        <v>-4216277.9492958784</v>
      </c>
      <c r="Q158" s="19">
        <f t="shared" si="15"/>
        <v>4216277.9492958784</v>
      </c>
      <c r="R158" s="19">
        <f t="shared" si="16"/>
        <v>4.2162779492958782</v>
      </c>
      <c r="Y158" s="29"/>
    </row>
    <row r="159" spans="9:25" x14ac:dyDescent="0.3">
      <c r="I159">
        <v>155</v>
      </c>
      <c r="J159" s="19">
        <f>$B$5*Data!F157/Data!F156</f>
        <v>202106375.22756207</v>
      </c>
      <c r="K159" s="19">
        <f>$B$6*Data!I157/Data!I156</f>
        <v>201786565.5870924</v>
      </c>
      <c r="L159" s="19">
        <f>$B$7*Data!L157/Data!L156</f>
        <v>201948453.02530214</v>
      </c>
      <c r="M159" s="19">
        <f>$B$8*Data!O157/Data!O156</f>
        <v>201896929.91583028</v>
      </c>
      <c r="N159" s="19">
        <f>$B$9*Data!R157/Data!R156</f>
        <v>200788324.29132891</v>
      </c>
      <c r="O159" s="19">
        <f t="shared" si="13"/>
        <v>1008526648.0471158</v>
      </c>
      <c r="P159" s="19">
        <f t="shared" si="14"/>
        <v>8526648.0471158028</v>
      </c>
      <c r="Q159" s="19">
        <f t="shared" si="15"/>
        <v>-8526648.0471158028</v>
      </c>
      <c r="R159" s="19">
        <f t="shared" si="16"/>
        <v>-8.5266480471158026</v>
      </c>
      <c r="Y159" s="29"/>
    </row>
    <row r="160" spans="9:25" x14ac:dyDescent="0.3">
      <c r="I160">
        <v>156</v>
      </c>
      <c r="J160" s="19">
        <f>$B$5*Data!F158/Data!F157</f>
        <v>200719435.97797033</v>
      </c>
      <c r="K160" s="19">
        <f>$B$6*Data!I158/Data!I157</f>
        <v>200515393.85448939</v>
      </c>
      <c r="L160" s="19">
        <f>$B$7*Data!L158/Data!L157</f>
        <v>199771401.08944213</v>
      </c>
      <c r="M160" s="19">
        <f>$B$8*Data!O158/Data!O157</f>
        <v>200749410.39118525</v>
      </c>
      <c r="N160" s="19">
        <f>$B$9*Data!R158/Data!R157</f>
        <v>203362655.0224748</v>
      </c>
      <c r="O160" s="19">
        <f t="shared" si="13"/>
        <v>1005118296.3355619</v>
      </c>
      <c r="P160" s="19">
        <f t="shared" si="14"/>
        <v>5118296.3355618715</v>
      </c>
      <c r="Q160" s="19">
        <f t="shared" si="15"/>
        <v>-5118296.3355618715</v>
      </c>
      <c r="R160" s="19">
        <f t="shared" si="16"/>
        <v>-5.1182963355618716</v>
      </c>
      <c r="Y160" s="29"/>
    </row>
    <row r="161" spans="9:25" x14ac:dyDescent="0.3">
      <c r="I161">
        <v>157</v>
      </c>
      <c r="J161" s="19">
        <f>$B$5*Data!F159/Data!F158</f>
        <v>197971288.12683755</v>
      </c>
      <c r="K161" s="19">
        <f>$B$6*Data!I159/Data!I158</f>
        <v>197423964.2412703</v>
      </c>
      <c r="L161" s="19">
        <f>$B$7*Data!L159/Data!L158</f>
        <v>196820981.66110295</v>
      </c>
      <c r="M161" s="19">
        <f>$B$8*Data!O159/Data!O158</f>
        <v>197461269.3499122</v>
      </c>
      <c r="N161" s="19">
        <f>$B$9*Data!R159/Data!R158</f>
        <v>196668024.20241916</v>
      </c>
      <c r="O161" s="19">
        <f t="shared" si="13"/>
        <v>986345527.58154213</v>
      </c>
      <c r="P161" s="19">
        <f t="shared" si="14"/>
        <v>-13654472.418457866</v>
      </c>
      <c r="Q161" s="19">
        <f t="shared" si="15"/>
        <v>13654472.418457866</v>
      </c>
      <c r="R161" s="19">
        <f t="shared" si="16"/>
        <v>13.654472418457866</v>
      </c>
      <c r="Y161" s="29"/>
    </row>
    <row r="162" spans="9:25" x14ac:dyDescent="0.3">
      <c r="I162">
        <v>158</v>
      </c>
      <c r="J162" s="19">
        <f>$B$5*Data!F160/Data!F159</f>
        <v>201143643.65942892</v>
      </c>
      <c r="K162" s="19">
        <f>$B$6*Data!I160/Data!I159</f>
        <v>200474499.33258736</v>
      </c>
      <c r="L162" s="19">
        <f>$B$7*Data!L160/Data!L159</f>
        <v>200997280.07073003</v>
      </c>
      <c r="M162" s="19">
        <f>$B$8*Data!O160/Data!O159</f>
        <v>200761445.06630871</v>
      </c>
      <c r="N162" s="19">
        <f>$B$9*Data!R160/Data!R159</f>
        <v>201000274.51247653</v>
      </c>
      <c r="O162" s="19">
        <f t="shared" si="13"/>
        <v>1004377142.6415316</v>
      </c>
      <c r="P162" s="19">
        <f t="shared" si="14"/>
        <v>4377142.6415315866</v>
      </c>
      <c r="Q162" s="19">
        <f t="shared" si="15"/>
        <v>-4377142.6415315866</v>
      </c>
      <c r="R162" s="19">
        <f t="shared" si="16"/>
        <v>-4.3771426415315871</v>
      </c>
      <c r="Y162" s="29"/>
    </row>
    <row r="163" spans="9:25" x14ac:dyDescent="0.3">
      <c r="I163">
        <v>159</v>
      </c>
      <c r="J163" s="19">
        <f>$B$5*Data!F161/Data!F160</f>
        <v>202285030.49452296</v>
      </c>
      <c r="K163" s="19">
        <f>$B$6*Data!I161/Data!I160</f>
        <v>202498110.04781643</v>
      </c>
      <c r="L163" s="19">
        <f>$B$7*Data!L161/Data!L160</f>
        <v>205748338.98488387</v>
      </c>
      <c r="M163" s="19">
        <f>$B$8*Data!O161/Data!O160</f>
        <v>202694754.01139677</v>
      </c>
      <c r="N163" s="19">
        <f>$B$9*Data!R161/Data!R160</f>
        <v>202465948.77077022</v>
      </c>
      <c r="O163" s="19">
        <f t="shared" si="13"/>
        <v>1015692182.3093902</v>
      </c>
      <c r="P163" s="19">
        <f t="shared" si="14"/>
        <v>15692182.309390187</v>
      </c>
      <c r="Q163" s="19">
        <f t="shared" si="15"/>
        <v>-15692182.309390187</v>
      </c>
      <c r="R163" s="19">
        <f t="shared" si="16"/>
        <v>-15.692182309390187</v>
      </c>
      <c r="Y163" s="29"/>
    </row>
    <row r="164" spans="9:25" x14ac:dyDescent="0.3">
      <c r="I164">
        <v>160</v>
      </c>
      <c r="J164" s="19">
        <f>$B$5*Data!F162/Data!F161</f>
        <v>196214118.42712474</v>
      </c>
      <c r="K164" s="19">
        <f>$B$6*Data!I162/Data!I161</f>
        <v>196022817.58831966</v>
      </c>
      <c r="L164" s="19">
        <f>$B$7*Data!L162/Data!L161</f>
        <v>196365631.0043523</v>
      </c>
      <c r="M164" s="19">
        <f>$B$8*Data!O162/Data!O161</f>
        <v>195936778.82309991</v>
      </c>
      <c r="N164" s="19">
        <f>$B$9*Data!R162/Data!R161</f>
        <v>197503083.97014228</v>
      </c>
      <c r="O164" s="19">
        <f t="shared" si="13"/>
        <v>982042429.81303895</v>
      </c>
      <c r="P164" s="19">
        <f t="shared" si="14"/>
        <v>-17957570.186961055</v>
      </c>
      <c r="Q164" s="19">
        <f t="shared" si="15"/>
        <v>17957570.186961055</v>
      </c>
      <c r="R164" s="19">
        <f t="shared" si="16"/>
        <v>17.957570186961053</v>
      </c>
      <c r="Y164" s="29"/>
    </row>
    <row r="165" spans="9:25" x14ac:dyDescent="0.3">
      <c r="I165">
        <v>161</v>
      </c>
      <c r="J165" s="19">
        <f>$B$5*Data!F163/Data!F162</f>
        <v>197848388.19658178</v>
      </c>
      <c r="K165" s="19">
        <f>$B$6*Data!I163/Data!I162</f>
        <v>198560623.28859934</v>
      </c>
      <c r="L165" s="19">
        <f>$B$7*Data!L163/Data!L162</f>
        <v>199267765.28382581</v>
      </c>
      <c r="M165" s="19">
        <f>$B$8*Data!O163/Data!O162</f>
        <v>197805282.68600217</v>
      </c>
      <c r="N165" s="19">
        <f>$B$9*Data!R163/Data!R162</f>
        <v>196525853.62890989</v>
      </c>
      <c r="O165" s="19">
        <f t="shared" si="13"/>
        <v>990007913.08391905</v>
      </c>
      <c r="P165" s="19">
        <f t="shared" si="14"/>
        <v>-9992086.9160809517</v>
      </c>
      <c r="Q165" s="19">
        <f t="shared" si="15"/>
        <v>9992086.9160809517</v>
      </c>
      <c r="R165" s="19">
        <f t="shared" si="16"/>
        <v>9.992086916080952</v>
      </c>
      <c r="Y165" s="29"/>
    </row>
    <row r="166" spans="9:25" x14ac:dyDescent="0.3">
      <c r="I166">
        <v>162</v>
      </c>
      <c r="J166" s="19">
        <f>$B$5*Data!F164/Data!F163</f>
        <v>199945493.334993</v>
      </c>
      <c r="K166" s="19">
        <f>$B$6*Data!I164/Data!I163</f>
        <v>199247766.70251051</v>
      </c>
      <c r="L166" s="19">
        <f>$B$7*Data!L164/Data!L163</f>
        <v>200379917.27122349</v>
      </c>
      <c r="M166" s="19">
        <f>$B$8*Data!O164/Data!O163</f>
        <v>199167223.21222815</v>
      </c>
      <c r="N166" s="19">
        <f>$B$9*Data!R164/Data!R163</f>
        <v>200107486.54717997</v>
      </c>
      <c r="O166" s="19">
        <f t="shared" si="13"/>
        <v>998847887.06813514</v>
      </c>
      <c r="P166" s="19">
        <f t="shared" si="14"/>
        <v>-1152112.9318648577</v>
      </c>
      <c r="Q166" s="19">
        <f t="shared" si="15"/>
        <v>1152112.9318648577</v>
      </c>
      <c r="R166" s="19">
        <f t="shared" si="16"/>
        <v>1.1521129318648577</v>
      </c>
      <c r="Y166" s="29"/>
    </row>
    <row r="167" spans="9:25" x14ac:dyDescent="0.3">
      <c r="I167">
        <v>163</v>
      </c>
      <c r="J167" s="19">
        <f>$B$5*Data!F165/Data!F164</f>
        <v>197103529.58041307</v>
      </c>
      <c r="K167" s="19">
        <f>$B$6*Data!I165/Data!I164</f>
        <v>199922238.89063117</v>
      </c>
      <c r="L167" s="19">
        <f>$B$7*Data!L165/Data!L164</f>
        <v>197011979.72718477</v>
      </c>
      <c r="M167" s="19">
        <f>$B$8*Data!O165/Data!O164</f>
        <v>196577595.45727348</v>
      </c>
      <c r="N167" s="19">
        <f>$B$9*Data!R165/Data!R164</f>
        <v>194902962.56495559</v>
      </c>
      <c r="O167" s="19">
        <f t="shared" si="13"/>
        <v>985518306.22045815</v>
      </c>
      <c r="P167" s="19">
        <f t="shared" si="14"/>
        <v>-14481693.77954185</v>
      </c>
      <c r="Q167" s="19">
        <f t="shared" si="15"/>
        <v>14481693.77954185</v>
      </c>
      <c r="R167" s="19">
        <f t="shared" si="16"/>
        <v>14.48169377954185</v>
      </c>
      <c r="Y167" s="29"/>
    </row>
    <row r="168" spans="9:25" x14ac:dyDescent="0.3">
      <c r="I168">
        <v>164</v>
      </c>
      <c r="J168" s="19">
        <f>$B$5*Data!F166/Data!F165</f>
        <v>200403541.79267457</v>
      </c>
      <c r="K168" s="19">
        <f>$B$6*Data!I166/Data!I165</f>
        <v>196651383.44280767</v>
      </c>
      <c r="L168" s="19">
        <f>$B$7*Data!L166/Data!L165</f>
        <v>200785226.74776927</v>
      </c>
      <c r="M168" s="19">
        <f>$B$8*Data!O166/Data!O165</f>
        <v>200752293.47153407</v>
      </c>
      <c r="N168" s="19">
        <f>$B$9*Data!R166/Data!R165</f>
        <v>197933005.34658331</v>
      </c>
      <c r="O168" s="19">
        <f t="shared" si="13"/>
        <v>996525450.80136895</v>
      </c>
      <c r="P168" s="19">
        <f t="shared" si="14"/>
        <v>-3474549.1986310482</v>
      </c>
      <c r="Q168" s="19">
        <f t="shared" si="15"/>
        <v>3474549.1986310482</v>
      </c>
      <c r="R168" s="19">
        <f t="shared" si="16"/>
        <v>3.4745491986310482</v>
      </c>
      <c r="Y168" s="29"/>
    </row>
    <row r="169" spans="9:25" x14ac:dyDescent="0.3">
      <c r="I169">
        <v>165</v>
      </c>
      <c r="J169" s="19">
        <f>$B$5*Data!F167/Data!F166</f>
        <v>198524606.20656696</v>
      </c>
      <c r="K169" s="19">
        <f>$B$6*Data!I167/Data!I166</f>
        <v>201009202.46899527</v>
      </c>
      <c r="L169" s="19">
        <f>$B$7*Data!L167/Data!L166</f>
        <v>199990491.1092369</v>
      </c>
      <c r="M169" s="19">
        <f>$B$8*Data!O167/Data!O166</f>
        <v>198526342.44521329</v>
      </c>
      <c r="N169" s="19">
        <f>$B$9*Data!R167/Data!R166</f>
        <v>196486808.5913457</v>
      </c>
      <c r="O169" s="19">
        <f t="shared" si="13"/>
        <v>994537450.82135808</v>
      </c>
      <c r="P169" s="19">
        <f t="shared" si="14"/>
        <v>-5462549.1786419153</v>
      </c>
      <c r="Q169" s="19">
        <f t="shared" si="15"/>
        <v>5462549.1786419153</v>
      </c>
      <c r="R169" s="19">
        <f t="shared" si="16"/>
        <v>5.4625491786419156</v>
      </c>
      <c r="Y169" s="29"/>
    </row>
    <row r="170" spans="9:25" x14ac:dyDescent="0.3">
      <c r="I170">
        <v>166</v>
      </c>
      <c r="J170" s="19">
        <f>$B$5*Data!F168/Data!F167</f>
        <v>201508320.87444201</v>
      </c>
      <c r="K170" s="19">
        <f>$B$6*Data!I168/Data!I167</f>
        <v>199013308.86847854</v>
      </c>
      <c r="L170" s="19">
        <f>$B$7*Data!L168/Data!L167</f>
        <v>201379066.64402667</v>
      </c>
      <c r="M170" s="19">
        <f>$B$8*Data!O168/Data!O167</f>
        <v>201138445.91641259</v>
      </c>
      <c r="N170" s="19">
        <f>$B$9*Data!R168/Data!R167</f>
        <v>199111348.54969934</v>
      </c>
      <c r="O170" s="19">
        <f t="shared" si="13"/>
        <v>1002150490.8530591</v>
      </c>
      <c r="P170" s="19">
        <f t="shared" si="14"/>
        <v>2150490.8530590534</v>
      </c>
      <c r="Q170" s="19">
        <f t="shared" si="15"/>
        <v>-2150490.8530590534</v>
      </c>
      <c r="R170" s="19">
        <f t="shared" si="16"/>
        <v>-2.1504908530590536</v>
      </c>
      <c r="Y170" s="29"/>
    </row>
    <row r="171" spans="9:25" x14ac:dyDescent="0.3">
      <c r="I171">
        <v>167</v>
      </c>
      <c r="J171" s="19">
        <f>$B$5*Data!F169/Data!F168</f>
        <v>201376804.39665335</v>
      </c>
      <c r="K171" s="19">
        <f>$B$6*Data!I169/Data!I168</f>
        <v>201607451.83734211</v>
      </c>
      <c r="L171" s="19">
        <f>$B$7*Data!L169/Data!L168</f>
        <v>200146360.40141159</v>
      </c>
      <c r="M171" s="19">
        <f>$B$8*Data!O169/Data!O168</f>
        <v>201678048.85768092</v>
      </c>
      <c r="N171" s="19">
        <f>$B$9*Data!R169/Data!R168</f>
        <v>202252530.11102289</v>
      </c>
      <c r="O171" s="19">
        <f t="shared" si="13"/>
        <v>1007061195.6041107</v>
      </c>
      <c r="P171" s="19">
        <f t="shared" si="14"/>
        <v>7061195.6041107178</v>
      </c>
      <c r="Q171" s="19">
        <f t="shared" si="15"/>
        <v>-7061195.6041107178</v>
      </c>
      <c r="R171" s="19">
        <f t="shared" si="16"/>
        <v>-7.0611956041107176</v>
      </c>
      <c r="Y171" s="29"/>
    </row>
    <row r="172" spans="9:25" x14ac:dyDescent="0.3">
      <c r="I172">
        <v>168</v>
      </c>
      <c r="J172" s="19">
        <f>$B$5*Data!F170/Data!F169</f>
        <v>200721236.43862122</v>
      </c>
      <c r="K172" s="19">
        <f>$B$6*Data!I170/Data!I169</f>
        <v>201709098.87516853</v>
      </c>
      <c r="L172" s="19">
        <f>$B$7*Data!L170/Data!L169</f>
        <v>201125260.23396313</v>
      </c>
      <c r="M172" s="19">
        <f>$B$8*Data!O170/Data!O169</f>
        <v>200724627.62394574</v>
      </c>
      <c r="N172" s="19">
        <f>$B$9*Data!R170/Data!R169</f>
        <v>199038160.69399583</v>
      </c>
      <c r="O172" s="19">
        <f t="shared" si="13"/>
        <v>1003318383.8656944</v>
      </c>
      <c r="P172" s="19">
        <f t="shared" si="14"/>
        <v>3318383.8656944036</v>
      </c>
      <c r="Q172" s="19">
        <f t="shared" si="15"/>
        <v>-3318383.8656944036</v>
      </c>
      <c r="R172" s="19">
        <f t="shared" si="16"/>
        <v>-3.3183838656944036</v>
      </c>
      <c r="Y172" s="29"/>
    </row>
    <row r="173" spans="9:25" x14ac:dyDescent="0.3">
      <c r="I173">
        <v>169</v>
      </c>
      <c r="J173" s="19">
        <f>$B$5*Data!F171/Data!F170</f>
        <v>202887103.94028187</v>
      </c>
      <c r="K173" s="19">
        <f>$B$6*Data!I171/Data!I170</f>
        <v>200792795.19029644</v>
      </c>
      <c r="L173" s="19">
        <f>$B$7*Data!L171/Data!L170</f>
        <v>202392771.12742111</v>
      </c>
      <c r="M173" s="19">
        <f>$B$8*Data!O171/Data!O170</f>
        <v>202976120.25717443</v>
      </c>
      <c r="N173" s="19">
        <f>$B$9*Data!R171/Data!R170</f>
        <v>202171726.02790353</v>
      </c>
      <c r="O173" s="19">
        <f t="shared" si="13"/>
        <v>1011220516.5430775</v>
      </c>
      <c r="P173" s="19">
        <f t="shared" si="14"/>
        <v>11220516.543077469</v>
      </c>
      <c r="Q173" s="19">
        <f t="shared" si="15"/>
        <v>-11220516.543077469</v>
      </c>
      <c r="R173" s="19">
        <f t="shared" si="16"/>
        <v>-11.220516543077469</v>
      </c>
      <c r="Y173" s="29"/>
    </row>
    <row r="174" spans="9:25" x14ac:dyDescent="0.3">
      <c r="I174">
        <v>170</v>
      </c>
      <c r="J174" s="19">
        <f>$B$5*Data!F172/Data!F171</f>
        <v>203960056.1381706</v>
      </c>
      <c r="K174" s="19">
        <f>$B$6*Data!I172/Data!I171</f>
        <v>202479715.70657498</v>
      </c>
      <c r="L174" s="19">
        <f>$B$7*Data!L172/Data!L171</f>
        <v>206463169.36289302</v>
      </c>
      <c r="M174" s="19">
        <f>$B$8*Data!O172/Data!O171</f>
        <v>204153687.71125168</v>
      </c>
      <c r="N174" s="19">
        <f>$B$9*Data!R172/Data!R171</f>
        <v>205030470.41950274</v>
      </c>
      <c r="O174" s="19">
        <f t="shared" si="13"/>
        <v>1022087099.338393</v>
      </c>
      <c r="P174" s="19">
        <f t="shared" si="14"/>
        <v>22087099.338392973</v>
      </c>
      <c r="Q174" s="19">
        <f t="shared" si="15"/>
        <v>-22087099.338392973</v>
      </c>
      <c r="R174" s="19">
        <f t="shared" si="16"/>
        <v>-22.087099338392974</v>
      </c>
      <c r="Y174" s="29"/>
    </row>
    <row r="175" spans="9:25" x14ac:dyDescent="0.3">
      <c r="I175">
        <v>171</v>
      </c>
      <c r="J175" s="19">
        <f>$B$5*Data!F173/Data!F172</f>
        <v>202714382.3115387</v>
      </c>
      <c r="K175" s="19">
        <f>$B$6*Data!I173/Data!I172</f>
        <v>204740073.632388</v>
      </c>
      <c r="L175" s="19">
        <f>$B$7*Data!L173/Data!L172</f>
        <v>202853023.2502712</v>
      </c>
      <c r="M175" s="19">
        <f>$B$8*Data!O173/Data!O172</f>
        <v>202399885.71489552</v>
      </c>
      <c r="N175" s="19">
        <f>$B$9*Data!R173/Data!R172</f>
        <v>202216916.08067101</v>
      </c>
      <c r="O175" s="19">
        <f t="shared" si="13"/>
        <v>1014924280.9897645</v>
      </c>
      <c r="P175" s="19">
        <f t="shared" si="14"/>
        <v>14924280.989764452</v>
      </c>
      <c r="Q175" s="19">
        <f t="shared" si="15"/>
        <v>-14924280.989764452</v>
      </c>
      <c r="R175" s="19">
        <f t="shared" si="16"/>
        <v>-14.924280989764451</v>
      </c>
      <c r="Y175" s="29"/>
    </row>
    <row r="176" spans="9:25" x14ac:dyDescent="0.3">
      <c r="I176">
        <v>172</v>
      </c>
      <c r="J176" s="19">
        <f>$B$5*Data!F174/Data!F173</f>
        <v>199997630.63658839</v>
      </c>
      <c r="K176" s="19">
        <f>$B$6*Data!I174/Data!I173</f>
        <v>202410874.06832764</v>
      </c>
      <c r="L176" s="19">
        <f>$B$7*Data!L174/Data!L173</f>
        <v>199822283.81793442</v>
      </c>
      <c r="M176" s="19">
        <f>$B$8*Data!O174/Data!O173</f>
        <v>200360946.16560185</v>
      </c>
      <c r="N176" s="19">
        <f>$B$9*Data!R174/Data!R173</f>
        <v>200897256.40035924</v>
      </c>
      <c r="O176" s="19">
        <f t="shared" si="13"/>
        <v>1003488991.0888115</v>
      </c>
      <c r="P176" s="19">
        <f t="shared" si="14"/>
        <v>3488991.0888115168</v>
      </c>
      <c r="Q176" s="19">
        <f t="shared" si="15"/>
        <v>-3488991.0888115168</v>
      </c>
      <c r="R176" s="19">
        <f t="shared" si="16"/>
        <v>-3.4889910888115168</v>
      </c>
      <c r="Y176" s="29"/>
    </row>
    <row r="177" spans="9:25" x14ac:dyDescent="0.3">
      <c r="I177">
        <v>173</v>
      </c>
      <c r="J177" s="19">
        <f>$B$5*Data!F175/Data!F174</f>
        <v>208365287.96207884</v>
      </c>
      <c r="K177" s="19">
        <f>$B$6*Data!I175/Data!I174</f>
        <v>200579341.145311</v>
      </c>
      <c r="L177" s="19">
        <f>$B$7*Data!L175/Data!L174</f>
        <v>211860770.14289451</v>
      </c>
      <c r="M177" s="19">
        <f>$B$8*Data!O175/Data!O174</f>
        <v>210293801.23542285</v>
      </c>
      <c r="N177" s="19">
        <f>$B$9*Data!R175/Data!R174</f>
        <v>208398524.82681409</v>
      </c>
      <c r="O177" s="19">
        <f t="shared" si="13"/>
        <v>1039497725.3125212</v>
      </c>
      <c r="P177" s="19">
        <f t="shared" si="14"/>
        <v>39497725.312521219</v>
      </c>
      <c r="Q177" s="19">
        <f t="shared" si="15"/>
        <v>-39497725.312521219</v>
      </c>
      <c r="R177" s="19">
        <f t="shared" si="16"/>
        <v>-39.497725312521219</v>
      </c>
      <c r="Y177" s="29"/>
    </row>
    <row r="178" spans="9:25" x14ac:dyDescent="0.3">
      <c r="I178">
        <v>174</v>
      </c>
      <c r="J178" s="19">
        <f>$B$5*Data!F176/Data!F175</f>
        <v>201386638.40898037</v>
      </c>
      <c r="K178" s="19">
        <f>$B$6*Data!I176/Data!I175</f>
        <v>210726098.67689735</v>
      </c>
      <c r="L178" s="19">
        <f>$B$7*Data!L176/Data!L175</f>
        <v>200486537.23598707</v>
      </c>
      <c r="M178" s="19">
        <f>$B$8*Data!O176/Data!O175</f>
        <v>201556633.5155333</v>
      </c>
      <c r="N178" s="19">
        <f>$B$9*Data!R176/Data!R175</f>
        <v>201012053.29185057</v>
      </c>
      <c r="O178" s="19">
        <f t="shared" si="13"/>
        <v>1015167961.1292487</v>
      </c>
      <c r="P178" s="19">
        <f t="shared" si="14"/>
        <v>15167961.129248738</v>
      </c>
      <c r="Q178" s="19">
        <f t="shared" si="15"/>
        <v>-15167961.129248738</v>
      </c>
      <c r="R178" s="19">
        <f t="shared" si="16"/>
        <v>-15.167961129248738</v>
      </c>
      <c r="Y178" s="29"/>
    </row>
    <row r="179" spans="9:25" x14ac:dyDescent="0.3">
      <c r="I179">
        <v>175</v>
      </c>
      <c r="J179" s="19">
        <f>$B$5*Data!F177/Data!F176</f>
        <v>208316962.11531124</v>
      </c>
      <c r="K179" s="19">
        <f>$B$6*Data!I177/Data!I176</f>
        <v>201781449.84710047</v>
      </c>
      <c r="L179" s="19">
        <f>$B$7*Data!L177/Data!L176</f>
        <v>214537578.51418671</v>
      </c>
      <c r="M179" s="19">
        <f>$B$8*Data!O177/Data!O176</f>
        <v>209492136.69149816</v>
      </c>
      <c r="N179" s="19">
        <f>$B$9*Data!R177/Data!R176</f>
        <v>209321740.83523712</v>
      </c>
      <c r="O179" s="19">
        <f t="shared" si="13"/>
        <v>1043449868.0033337</v>
      </c>
      <c r="P179" s="19">
        <f t="shared" si="14"/>
        <v>43449868.003333688</v>
      </c>
      <c r="Q179" s="19">
        <f t="shared" si="15"/>
        <v>-43449868.003333688</v>
      </c>
      <c r="R179" s="19">
        <f t="shared" si="16"/>
        <v>-43.449868003333691</v>
      </c>
      <c r="Y179" s="29"/>
    </row>
    <row r="180" spans="9:25" x14ac:dyDescent="0.3">
      <c r="I180">
        <v>176</v>
      </c>
      <c r="J180" s="19">
        <f>$B$5*Data!F178/Data!F177</f>
        <v>207253082.50319952</v>
      </c>
      <c r="K180" s="19">
        <f>$B$6*Data!I178/Data!I177</f>
        <v>210850377.17269084</v>
      </c>
      <c r="L180" s="19">
        <f>$B$7*Data!L178/Data!L177</f>
        <v>211722226.48299873</v>
      </c>
      <c r="M180" s="19">
        <f>$B$8*Data!O178/Data!O177</f>
        <v>206165215.67878076</v>
      </c>
      <c r="N180" s="19">
        <f>$B$9*Data!R178/Data!R177</f>
        <v>206468026.16990793</v>
      </c>
      <c r="O180" s="19">
        <f t="shared" si="13"/>
        <v>1042458928.0075778</v>
      </c>
      <c r="P180" s="19">
        <f t="shared" si="14"/>
        <v>42458928.007577777</v>
      </c>
      <c r="Q180" s="19">
        <f t="shared" si="15"/>
        <v>-42458928.007577777</v>
      </c>
      <c r="R180" s="19">
        <f t="shared" si="16"/>
        <v>-42.458928007577775</v>
      </c>
      <c r="Y180" s="29"/>
    </row>
    <row r="181" spans="9:25" x14ac:dyDescent="0.3">
      <c r="I181">
        <v>177</v>
      </c>
      <c r="J181" s="19">
        <f>$B$5*Data!F179/Data!F178</f>
        <v>205039383.61196959</v>
      </c>
      <c r="K181" s="19">
        <f>$B$6*Data!I179/Data!I178</f>
        <v>206734261.80647936</v>
      </c>
      <c r="L181" s="19">
        <f>$B$7*Data!L179/Data!L178</f>
        <v>213595830.20705944</v>
      </c>
      <c r="M181" s="19">
        <f>$B$8*Data!O179/Data!O178</f>
        <v>205930505.85838842</v>
      </c>
      <c r="N181" s="19">
        <f>$B$9*Data!R179/Data!R178</f>
        <v>204082958.5773052</v>
      </c>
      <c r="O181" s="19">
        <f t="shared" si="13"/>
        <v>1035382940.0612019</v>
      </c>
      <c r="P181" s="19">
        <f t="shared" si="14"/>
        <v>35382940.06120193</v>
      </c>
      <c r="Q181" s="19">
        <f t="shared" si="15"/>
        <v>-35382940.06120193</v>
      </c>
      <c r="R181" s="19">
        <f t="shared" si="16"/>
        <v>-35.382940061201928</v>
      </c>
      <c r="Y181" s="29"/>
    </row>
    <row r="182" spans="9:25" x14ac:dyDescent="0.3">
      <c r="I182">
        <v>178</v>
      </c>
      <c r="J182" s="19">
        <f>$B$5*Data!F180/Data!F179</f>
        <v>212381350.48382387</v>
      </c>
      <c r="K182" s="19">
        <f>$B$6*Data!I180/Data!I179</f>
        <v>206418251.50029474</v>
      </c>
      <c r="L182" s="19">
        <f>$B$7*Data!L180/Data!L179</f>
        <v>217040744.82006735</v>
      </c>
      <c r="M182" s="19">
        <f>$B$8*Data!O180/Data!O179</f>
        <v>214137792.62024531</v>
      </c>
      <c r="N182" s="19">
        <f>$B$9*Data!R180/Data!R179</f>
        <v>212402588.86433139</v>
      </c>
      <c r="O182" s="19">
        <f t="shared" si="13"/>
        <v>1062380728.2887626</v>
      </c>
      <c r="P182" s="19">
        <f t="shared" si="14"/>
        <v>62380728.288762569</v>
      </c>
      <c r="Q182" s="19">
        <f t="shared" si="15"/>
        <v>-62380728.288762569</v>
      </c>
      <c r="R182" s="19">
        <f t="shared" si="16"/>
        <v>-62.380728288762569</v>
      </c>
      <c r="Y182" s="29"/>
    </row>
    <row r="183" spans="9:25" x14ac:dyDescent="0.3">
      <c r="I183">
        <v>179</v>
      </c>
      <c r="J183" s="19">
        <f>$B$5*Data!F181/Data!F180</f>
        <v>197313745.25541449</v>
      </c>
      <c r="K183" s="19">
        <f>$B$6*Data!I181/Data!I180</f>
        <v>215440051.51613048</v>
      </c>
      <c r="L183" s="19">
        <f>$B$7*Data!L181/Data!L180</f>
        <v>193331023.00310054</v>
      </c>
      <c r="M183" s="19">
        <f>$B$8*Data!O181/Data!O180</f>
        <v>197094667.79004332</v>
      </c>
      <c r="N183" s="19">
        <f>$B$9*Data!R181/Data!R180</f>
        <v>195945817.06732166</v>
      </c>
      <c r="O183" s="19">
        <f t="shared" si="13"/>
        <v>999125304.63201046</v>
      </c>
      <c r="P183" s="19">
        <f t="shared" si="14"/>
        <v>-874695.3679895401</v>
      </c>
      <c r="Q183" s="19">
        <f t="shared" si="15"/>
        <v>874695.3679895401</v>
      </c>
      <c r="R183" s="19">
        <f t="shared" si="16"/>
        <v>0.87469536798954006</v>
      </c>
      <c r="Y183" s="29"/>
    </row>
    <row r="184" spans="9:25" x14ac:dyDescent="0.3">
      <c r="I184">
        <v>180</v>
      </c>
      <c r="J184" s="19">
        <f>$B$5*Data!F182/Data!F181</f>
        <v>205606036.40119022</v>
      </c>
      <c r="K184" s="19">
        <f>$B$6*Data!I182/Data!I181</f>
        <v>196849338.38975823</v>
      </c>
      <c r="L184" s="19">
        <f>$B$7*Data!L182/Data!L181</f>
        <v>209949788.55914253</v>
      </c>
      <c r="M184" s="19">
        <f>$B$8*Data!O182/Data!O181</f>
        <v>206092353.5263041</v>
      </c>
      <c r="N184" s="19">
        <f>$B$9*Data!R182/Data!R181</f>
        <v>204193578.49957663</v>
      </c>
      <c r="O184" s="19">
        <f t="shared" si="13"/>
        <v>1022691095.3759718</v>
      </c>
      <c r="P184" s="19">
        <f t="shared" si="14"/>
        <v>22691095.375971794</v>
      </c>
      <c r="Q184" s="19">
        <f t="shared" si="15"/>
        <v>-22691095.375971794</v>
      </c>
      <c r="R184" s="19">
        <f t="shared" si="16"/>
        <v>-22.691095375971795</v>
      </c>
      <c r="Y184" s="29"/>
    </row>
    <row r="185" spans="9:25" x14ac:dyDescent="0.3">
      <c r="I185">
        <v>181</v>
      </c>
      <c r="J185" s="19">
        <f>$B$5*Data!F183/Data!F182</f>
        <v>203129467.1749602</v>
      </c>
      <c r="K185" s="19">
        <f>$B$6*Data!I183/Data!I182</f>
        <v>206539161.69652689</v>
      </c>
      <c r="L185" s="19">
        <f>$B$7*Data!L183/Data!L182</f>
        <v>206033345.57616875</v>
      </c>
      <c r="M185" s="19">
        <f>$B$8*Data!O183/Data!O182</f>
        <v>204211990.56936613</v>
      </c>
      <c r="N185" s="19">
        <f>$B$9*Data!R183/Data!R182</f>
        <v>207021199.47566304</v>
      </c>
      <c r="O185" s="19">
        <f t="shared" si="13"/>
        <v>1026935164.492685</v>
      </c>
      <c r="P185" s="19">
        <f t="shared" si="14"/>
        <v>26935164.49268496</v>
      </c>
      <c r="Q185" s="19">
        <f t="shared" si="15"/>
        <v>-26935164.49268496</v>
      </c>
      <c r="R185" s="19">
        <f t="shared" si="16"/>
        <v>-26.935164492684962</v>
      </c>
      <c r="Y185" s="29"/>
    </row>
    <row r="186" spans="9:25" x14ac:dyDescent="0.3">
      <c r="I186">
        <v>182</v>
      </c>
      <c r="J186" s="19">
        <f>$B$5*Data!F184/Data!F183</f>
        <v>181197720.37604466</v>
      </c>
      <c r="K186" s="19">
        <f>$B$6*Data!I184/Data!I183</f>
        <v>203676877.42134517</v>
      </c>
      <c r="L186" s="19">
        <f>$B$7*Data!L184/Data!L183</f>
        <v>174366649.20302242</v>
      </c>
      <c r="M186" s="19">
        <f>$B$8*Data!O184/Data!O183</f>
        <v>179673186.80091795</v>
      </c>
      <c r="N186" s="19">
        <f>$B$9*Data!R184/Data!R183</f>
        <v>180076252.64248016</v>
      </c>
      <c r="O186" s="19">
        <f t="shared" si="13"/>
        <v>918990686.44381034</v>
      </c>
      <c r="P186" s="19">
        <f t="shared" si="14"/>
        <v>-81009313.556189656</v>
      </c>
      <c r="Q186" s="19">
        <f t="shared" si="15"/>
        <v>81009313.556189656</v>
      </c>
      <c r="R186" s="19">
        <f t="shared" si="16"/>
        <v>81.009313556189653</v>
      </c>
      <c r="Y186" s="29"/>
    </row>
    <row r="187" spans="9:25" x14ac:dyDescent="0.3">
      <c r="I187">
        <v>183</v>
      </c>
      <c r="J187" s="19">
        <f>$B$5*Data!F185/Data!F184</f>
        <v>197001883.05378079</v>
      </c>
      <c r="K187" s="19">
        <f>$B$6*Data!I185/Data!I184</f>
        <v>178908535.83467194</v>
      </c>
      <c r="L187" s="19">
        <f>$B$7*Data!L185/Data!L184</f>
        <v>197423585.83132625</v>
      </c>
      <c r="M187" s="19">
        <f>$B$8*Data!O185/Data!O184</f>
        <v>196613932.97868297</v>
      </c>
      <c r="N187" s="19">
        <f>$B$9*Data!R185/Data!R184</f>
        <v>192911261.43263742</v>
      </c>
      <c r="O187" s="19">
        <f t="shared" si="13"/>
        <v>962859199.13109946</v>
      </c>
      <c r="P187" s="19">
        <f t="shared" si="14"/>
        <v>-37140800.868900537</v>
      </c>
      <c r="Q187" s="19">
        <f t="shared" si="15"/>
        <v>37140800.868900537</v>
      </c>
      <c r="R187" s="19">
        <f t="shared" si="16"/>
        <v>37.140800868900534</v>
      </c>
      <c r="Y187" s="29"/>
    </row>
    <row r="188" spans="9:25" x14ac:dyDescent="0.3">
      <c r="I188">
        <v>184</v>
      </c>
      <c r="J188" s="19">
        <f>$B$5*Data!F186/Data!F185</f>
        <v>206063595.75139287</v>
      </c>
      <c r="K188" s="19">
        <f>$B$6*Data!I186/Data!I185</f>
        <v>196671425.03322297</v>
      </c>
      <c r="L188" s="19">
        <f>$B$7*Data!L186/Data!L185</f>
        <v>204214314.31178811</v>
      </c>
      <c r="M188" s="19">
        <f>$B$8*Data!O186/Data!O185</f>
        <v>207034677.65617409</v>
      </c>
      <c r="N188" s="19">
        <f>$B$9*Data!R186/Data!R185</f>
        <v>207939080.07796937</v>
      </c>
      <c r="O188" s="19">
        <f t="shared" si="13"/>
        <v>1021923092.8305473</v>
      </c>
      <c r="P188" s="19">
        <f t="shared" si="14"/>
        <v>21923092.830547333</v>
      </c>
      <c r="Q188" s="19">
        <f t="shared" si="15"/>
        <v>-21923092.830547333</v>
      </c>
      <c r="R188" s="19">
        <f t="shared" si="16"/>
        <v>-21.923092830547333</v>
      </c>
      <c r="Y188" s="29"/>
    </row>
    <row r="189" spans="9:25" x14ac:dyDescent="0.3">
      <c r="I189">
        <v>185</v>
      </c>
      <c r="J189" s="19">
        <f>$B$5*Data!F187/Data!F186</f>
        <v>198528181.60906181</v>
      </c>
      <c r="K189" s="19">
        <f>$B$6*Data!I187/Data!I186</f>
        <v>206843776.89242503</v>
      </c>
      <c r="L189" s="19">
        <f>$B$7*Data!L187/Data!L186</f>
        <v>197157188.86137041</v>
      </c>
      <c r="M189" s="19">
        <f>$B$8*Data!O187/Data!O186</f>
        <v>198954840.72057548</v>
      </c>
      <c r="N189" s="19">
        <f>$B$9*Data!R187/Data!R186</f>
        <v>202029970.66741827</v>
      </c>
      <c r="O189" s="19">
        <f t="shared" si="13"/>
        <v>1003513958.7508509</v>
      </c>
      <c r="P189" s="19">
        <f t="shared" si="14"/>
        <v>3513958.7508509159</v>
      </c>
      <c r="Q189" s="19">
        <f t="shared" si="15"/>
        <v>-3513958.7508509159</v>
      </c>
      <c r="R189" s="19">
        <f t="shared" si="16"/>
        <v>-3.5139587508509158</v>
      </c>
      <c r="Y189" s="29"/>
    </row>
    <row r="190" spans="9:25" x14ac:dyDescent="0.3">
      <c r="I190">
        <v>186</v>
      </c>
      <c r="J190" s="19">
        <f>$B$5*Data!F188/Data!F187</f>
        <v>192806676.42064631</v>
      </c>
      <c r="K190" s="19">
        <f>$B$6*Data!I188/Data!I187</f>
        <v>198501776.32732013</v>
      </c>
      <c r="L190" s="19">
        <f>$B$7*Data!L188/Data!L187</f>
        <v>190838073.88171056</v>
      </c>
      <c r="M190" s="19">
        <f>$B$8*Data!O188/Data!O187</f>
        <v>192174624.65692404</v>
      </c>
      <c r="N190" s="19">
        <f>$B$9*Data!R188/Data!R187</f>
        <v>192618953.77715868</v>
      </c>
      <c r="O190" s="19">
        <f t="shared" si="13"/>
        <v>966940105.06375957</v>
      </c>
      <c r="P190" s="19">
        <f t="shared" si="14"/>
        <v>-33059894.936240435</v>
      </c>
      <c r="Q190" s="19">
        <f t="shared" si="15"/>
        <v>33059894.936240435</v>
      </c>
      <c r="R190" s="19">
        <f t="shared" si="16"/>
        <v>33.059894936240433</v>
      </c>
      <c r="Y190" s="29"/>
    </row>
    <row r="191" spans="9:25" x14ac:dyDescent="0.3">
      <c r="I191">
        <v>187</v>
      </c>
      <c r="J191" s="19">
        <f>$B$5*Data!F189/Data!F188</f>
        <v>199600772.06687108</v>
      </c>
      <c r="K191" s="19">
        <f>$B$6*Data!I189/Data!I188</f>
        <v>191574085.1652984</v>
      </c>
      <c r="L191" s="19">
        <f>$B$7*Data!L189/Data!L188</f>
        <v>197733049.95774946</v>
      </c>
      <c r="M191" s="19">
        <f>$B$8*Data!O189/Data!O188</f>
        <v>199644457.2179012</v>
      </c>
      <c r="N191" s="19">
        <f>$B$9*Data!R189/Data!R188</f>
        <v>201760582.85824439</v>
      </c>
      <c r="O191" s="19">
        <f t="shared" si="13"/>
        <v>990312947.26606464</v>
      </c>
      <c r="P191" s="19">
        <f t="shared" si="14"/>
        <v>-9687052.7339353561</v>
      </c>
      <c r="Q191" s="19">
        <f t="shared" si="15"/>
        <v>9687052.7339353561</v>
      </c>
      <c r="R191" s="19">
        <f t="shared" si="16"/>
        <v>9.6870527339353565</v>
      </c>
      <c r="Y191" s="29"/>
    </row>
    <row r="192" spans="9:25" x14ac:dyDescent="0.3">
      <c r="I192">
        <v>188</v>
      </c>
      <c r="J192" s="19">
        <f>$B$5*Data!F190/Data!F189</f>
        <v>197867808.41422462</v>
      </c>
      <c r="K192" s="19">
        <f>$B$6*Data!I190/Data!I189</f>
        <v>199574218.81268635</v>
      </c>
      <c r="L192" s="19">
        <f>$B$7*Data!L190/Data!L189</f>
        <v>197526456.25915566</v>
      </c>
      <c r="M192" s="19">
        <f>$B$8*Data!O190/Data!O189</f>
        <v>197479657.70931989</v>
      </c>
      <c r="N192" s="19">
        <f>$B$9*Data!R190/Data!R189</f>
        <v>195423360.34112653</v>
      </c>
      <c r="O192" s="19">
        <f t="shared" si="13"/>
        <v>987871501.53651297</v>
      </c>
      <c r="P192" s="19">
        <f t="shared" si="14"/>
        <v>-12128498.463487029</v>
      </c>
      <c r="Q192" s="19">
        <f t="shared" si="15"/>
        <v>12128498.463487029</v>
      </c>
      <c r="R192" s="19">
        <f t="shared" si="16"/>
        <v>12.128498463487029</v>
      </c>
      <c r="Y192" s="29"/>
    </row>
    <row r="193" spans="9:25" x14ac:dyDescent="0.3">
      <c r="I193">
        <v>189</v>
      </c>
      <c r="J193" s="19">
        <f>$B$5*Data!F191/Data!F190</f>
        <v>207138901.84137526</v>
      </c>
      <c r="K193" s="19">
        <f>$B$6*Data!I191/Data!I190</f>
        <v>197377038.7969695</v>
      </c>
      <c r="L193" s="19">
        <f>$B$7*Data!L191/Data!L190</f>
        <v>211460157.53101671</v>
      </c>
      <c r="M193" s="19">
        <f>$B$8*Data!O191/Data!O190</f>
        <v>208065539.75480884</v>
      </c>
      <c r="N193" s="19">
        <f>$B$9*Data!R191/Data!R190</f>
        <v>205626015.69856688</v>
      </c>
      <c r="O193" s="19">
        <f t="shared" si="13"/>
        <v>1029667653.6227372</v>
      </c>
      <c r="P193" s="19">
        <f t="shared" si="14"/>
        <v>29667653.622737169</v>
      </c>
      <c r="Q193" s="19">
        <f t="shared" si="15"/>
        <v>-29667653.622737169</v>
      </c>
      <c r="R193" s="19">
        <f t="shared" si="16"/>
        <v>-29.66765362273717</v>
      </c>
      <c r="Y193" s="29"/>
    </row>
    <row r="194" spans="9:25" x14ac:dyDescent="0.3">
      <c r="I194">
        <v>190</v>
      </c>
      <c r="J194" s="19">
        <f>$B$5*Data!F192/Data!F191</f>
        <v>196960582.20779729</v>
      </c>
      <c r="K194" s="19">
        <f>$B$6*Data!I192/Data!I191</f>
        <v>208523695.94070926</v>
      </c>
      <c r="L194" s="19">
        <f>$B$7*Data!L192/Data!L191</f>
        <v>195354388.39297909</v>
      </c>
      <c r="M194" s="19">
        <f>$B$8*Data!O192/Data!O191</f>
        <v>196574148.15838525</v>
      </c>
      <c r="N194" s="19">
        <f>$B$9*Data!R192/Data!R191</f>
        <v>197558949.68458638</v>
      </c>
      <c r="O194" s="19">
        <f t="shared" si="13"/>
        <v>994971764.38445723</v>
      </c>
      <c r="P194" s="19">
        <f t="shared" si="14"/>
        <v>-5028235.6155427694</v>
      </c>
      <c r="Q194" s="19">
        <f t="shared" si="15"/>
        <v>5028235.6155427694</v>
      </c>
      <c r="R194" s="19">
        <f t="shared" si="16"/>
        <v>5.0282356155427692</v>
      </c>
      <c r="Y194" s="29"/>
    </row>
    <row r="195" spans="9:25" x14ac:dyDescent="0.3">
      <c r="I195">
        <v>191</v>
      </c>
      <c r="J195" s="19">
        <f>$B$5*Data!F193/Data!F192</f>
        <v>200125419.81865552</v>
      </c>
      <c r="K195" s="19">
        <f>$B$6*Data!I193/Data!I192</f>
        <v>196135452.91587409</v>
      </c>
      <c r="L195" s="19">
        <f>$B$7*Data!L193/Data!L192</f>
        <v>201248603.93061614</v>
      </c>
      <c r="M195" s="19">
        <f>$B$8*Data!O193/Data!O192</f>
        <v>200536551.16372174</v>
      </c>
      <c r="N195" s="19">
        <f>$B$9*Data!R193/Data!R192</f>
        <v>200660529.45733634</v>
      </c>
      <c r="O195" s="19">
        <f t="shared" si="13"/>
        <v>998706557.28620374</v>
      </c>
      <c r="P195" s="19">
        <f t="shared" si="14"/>
        <v>-1293442.713796258</v>
      </c>
      <c r="Q195" s="19">
        <f t="shared" si="15"/>
        <v>1293442.713796258</v>
      </c>
      <c r="R195" s="19">
        <f t="shared" si="16"/>
        <v>1.2934427137962581</v>
      </c>
      <c r="Y195" s="29"/>
    </row>
    <row r="196" spans="9:25" x14ac:dyDescent="0.3">
      <c r="I196">
        <v>192</v>
      </c>
      <c r="J196" s="19">
        <f>$B$5*Data!F194/Data!F193</f>
        <v>202569271.98362577</v>
      </c>
      <c r="K196" s="19">
        <f>$B$6*Data!I194/Data!I193</f>
        <v>200395810.1485565</v>
      </c>
      <c r="L196" s="19">
        <f>$B$7*Data!L194/Data!L193</f>
        <v>203736000.82196832</v>
      </c>
      <c r="M196" s="19">
        <f>$B$8*Data!O194/Data!O193</f>
        <v>203150882.82737663</v>
      </c>
      <c r="N196" s="19">
        <f>$B$9*Data!R194/Data!R193</f>
        <v>199941543.66604561</v>
      </c>
      <c r="O196" s="19">
        <f t="shared" si="13"/>
        <v>1009793509.4475727</v>
      </c>
      <c r="P196" s="19">
        <f t="shared" si="14"/>
        <v>9793509.4475727081</v>
      </c>
      <c r="Q196" s="19">
        <f t="shared" si="15"/>
        <v>-9793509.4475727081</v>
      </c>
      <c r="R196" s="19">
        <f t="shared" si="16"/>
        <v>-9.793509447572708</v>
      </c>
      <c r="Y196" s="29"/>
    </row>
    <row r="197" spans="9:25" x14ac:dyDescent="0.3">
      <c r="I197">
        <v>193</v>
      </c>
      <c r="J197" s="19">
        <f>$B$5*Data!F195/Data!F194</f>
        <v>197482688.91931677</v>
      </c>
      <c r="K197" s="19">
        <f>$B$6*Data!I195/Data!I194</f>
        <v>203613404.72754863</v>
      </c>
      <c r="L197" s="19">
        <f>$B$7*Data!L195/Data!L194</f>
        <v>194805918.82576451</v>
      </c>
      <c r="M197" s="19">
        <f>$B$8*Data!O195/Data!O194</f>
        <v>196903693.12845093</v>
      </c>
      <c r="N197" s="19">
        <f>$B$9*Data!R195/Data!R194</f>
        <v>197747680.61416712</v>
      </c>
      <c r="O197" s="19">
        <f t="shared" si="13"/>
        <v>990553386.21524799</v>
      </c>
      <c r="P197" s="19">
        <f t="shared" si="14"/>
        <v>-9446613.7847520113</v>
      </c>
      <c r="Q197" s="19">
        <f t="shared" si="15"/>
        <v>9446613.7847520113</v>
      </c>
      <c r="R197" s="19">
        <f t="shared" si="16"/>
        <v>9.446613784752012</v>
      </c>
      <c r="Y197" s="29"/>
    </row>
    <row r="198" spans="9:25" x14ac:dyDescent="0.3">
      <c r="I198">
        <v>194</v>
      </c>
      <c r="J198" s="19">
        <f>$B$5*Data!F196/Data!F195</f>
        <v>200942478.37416551</v>
      </c>
      <c r="K198" s="19">
        <f>$B$6*Data!I196/Data!I195</f>
        <v>196752148.41984078</v>
      </c>
      <c r="L198" s="19">
        <f>$B$7*Data!L196/Data!L195</f>
        <v>202371278.42422879</v>
      </c>
      <c r="M198" s="19">
        <f>$B$8*Data!O196/Data!O195</f>
        <v>200671118.97531909</v>
      </c>
      <c r="N198" s="19">
        <f>$B$9*Data!R196/Data!R195</f>
        <v>198691918.83458716</v>
      </c>
      <c r="O198" s="19">
        <f t="shared" ref="O198:O221" si="17">SUM(J198:N198)</f>
        <v>999428943.02814126</v>
      </c>
      <c r="P198" s="19">
        <f t="shared" ref="P198:P261" si="18">O198-$B$10</f>
        <v>-571056.97185873985</v>
      </c>
      <c r="Q198" s="19">
        <f t="shared" ref="Q198:Q261" si="19">-P198</f>
        <v>571056.97185873985</v>
      </c>
      <c r="R198" s="19">
        <f t="shared" ref="R198:R261" si="20">Q198/1000000</f>
        <v>0.57105697185873983</v>
      </c>
      <c r="Y198" s="29"/>
    </row>
    <row r="199" spans="9:25" x14ac:dyDescent="0.3">
      <c r="I199">
        <v>195</v>
      </c>
      <c r="J199" s="19">
        <f>$B$5*Data!F197/Data!F196</f>
        <v>200089460.25162515</v>
      </c>
      <c r="K199" s="19">
        <f>$B$6*Data!I197/Data!I196</f>
        <v>200596975.08271807</v>
      </c>
      <c r="L199" s="19">
        <f>$B$7*Data!L197/Data!L196</f>
        <v>201588354.41810653</v>
      </c>
      <c r="M199" s="19">
        <f>$B$8*Data!O197/Data!O196</f>
        <v>200161402.57756668</v>
      </c>
      <c r="N199" s="19">
        <f>$B$9*Data!R197/Data!R196</f>
        <v>200795786.2804783</v>
      </c>
      <c r="O199" s="19">
        <f t="shared" si="17"/>
        <v>1003231978.6104946</v>
      </c>
      <c r="P199" s="19">
        <f t="shared" si="18"/>
        <v>3231978.6104946136</v>
      </c>
      <c r="Q199" s="19">
        <f t="shared" si="19"/>
        <v>-3231978.6104946136</v>
      </c>
      <c r="R199" s="19">
        <f t="shared" si="20"/>
        <v>-3.2319786104946138</v>
      </c>
      <c r="Y199" s="29"/>
    </row>
    <row r="200" spans="9:25" x14ac:dyDescent="0.3">
      <c r="I200">
        <v>196</v>
      </c>
      <c r="J200" s="19">
        <f>$B$5*Data!F198/Data!F197</f>
        <v>200954564.73159108</v>
      </c>
      <c r="K200" s="19">
        <f>$B$6*Data!I198/Data!I197</f>
        <v>200055479.70118895</v>
      </c>
      <c r="L200" s="19">
        <f>$B$7*Data!L198/Data!L197</f>
        <v>202142360.03913558</v>
      </c>
      <c r="M200" s="19">
        <f>$B$8*Data!O198/Data!O197</f>
        <v>200678350.67507318</v>
      </c>
      <c r="N200" s="19">
        <f>$B$9*Data!R198/Data!R197</f>
        <v>197291081.0250167</v>
      </c>
      <c r="O200" s="19">
        <f t="shared" si="17"/>
        <v>1001121836.1720054</v>
      </c>
      <c r="P200" s="19">
        <f t="shared" si="18"/>
        <v>1121836.172005415</v>
      </c>
      <c r="Q200" s="19">
        <f t="shared" si="19"/>
        <v>-1121836.172005415</v>
      </c>
      <c r="R200" s="19">
        <f t="shared" si="20"/>
        <v>-1.1218361720054149</v>
      </c>
      <c r="Y200" s="29"/>
    </row>
    <row r="201" spans="9:25" x14ac:dyDescent="0.3">
      <c r="I201">
        <v>197</v>
      </c>
      <c r="J201" s="19">
        <f>$B$5*Data!F199/Data!F198</f>
        <v>196913687.47211084</v>
      </c>
      <c r="K201" s="19">
        <f>$B$6*Data!I199/Data!I198</f>
        <v>201330866.66283268</v>
      </c>
      <c r="L201" s="19">
        <f>$B$7*Data!L199/Data!L198</f>
        <v>195245178.66436881</v>
      </c>
      <c r="M201" s="19">
        <f>$B$8*Data!O199/Data!O198</f>
        <v>196477130.82723477</v>
      </c>
      <c r="N201" s="19">
        <f>$B$9*Data!R199/Data!R198</f>
        <v>197140103.84870622</v>
      </c>
      <c r="O201" s="19">
        <f t="shared" si="17"/>
        <v>987106967.47525334</v>
      </c>
      <c r="P201" s="19">
        <f t="shared" si="18"/>
        <v>-12893032.524746656</v>
      </c>
      <c r="Q201" s="19">
        <f t="shared" si="19"/>
        <v>12893032.524746656</v>
      </c>
      <c r="R201" s="19">
        <f t="shared" si="20"/>
        <v>12.893032524746657</v>
      </c>
      <c r="Y201" s="29"/>
    </row>
    <row r="202" spans="9:25" x14ac:dyDescent="0.3">
      <c r="I202">
        <v>198</v>
      </c>
      <c r="J202" s="19">
        <f>$B$5*Data!F200/Data!F199</f>
        <v>199355635.70760715</v>
      </c>
      <c r="K202" s="19">
        <f>$B$6*Data!I200/Data!I199</f>
        <v>196260962.37794113</v>
      </c>
      <c r="L202" s="19">
        <f>$B$7*Data!L200/Data!L199</f>
        <v>199333093.63255623</v>
      </c>
      <c r="M202" s="19">
        <f>$B$8*Data!O200/Data!O199</f>
        <v>199362349.63275665</v>
      </c>
      <c r="N202" s="19">
        <f>$B$9*Data!R200/Data!R199</f>
        <v>200275808.77921751</v>
      </c>
      <c r="O202" s="19">
        <f t="shared" si="17"/>
        <v>994587850.13007855</v>
      </c>
      <c r="P202" s="19">
        <f t="shared" si="18"/>
        <v>-5412149.8699214458</v>
      </c>
      <c r="Q202" s="19">
        <f t="shared" si="19"/>
        <v>5412149.8699214458</v>
      </c>
      <c r="R202" s="19">
        <f t="shared" si="20"/>
        <v>5.4121498699214454</v>
      </c>
      <c r="Y202" s="29"/>
    </row>
    <row r="203" spans="9:25" x14ac:dyDescent="0.3">
      <c r="I203">
        <v>199</v>
      </c>
      <c r="J203" s="19">
        <f>$B$5*Data!F201/Data!F200</f>
        <v>201835495.1607767</v>
      </c>
      <c r="K203" s="19">
        <f>$B$6*Data!I201/Data!I200</f>
        <v>198974049.61241704</v>
      </c>
      <c r="L203" s="19">
        <f>$B$7*Data!L201/Data!L200</f>
        <v>199296895.43621659</v>
      </c>
      <c r="M203" s="19">
        <f>$B$8*Data!O201/Data!O200</f>
        <v>202136678.85768774</v>
      </c>
      <c r="N203" s="19">
        <f>$B$9*Data!R201/Data!R200</f>
        <v>202695466.84346071</v>
      </c>
      <c r="O203" s="19">
        <f t="shared" si="17"/>
        <v>1004938585.9105587</v>
      </c>
      <c r="P203" s="19">
        <f t="shared" si="18"/>
        <v>4938585.9105587006</v>
      </c>
      <c r="Q203" s="19">
        <f t="shared" si="19"/>
        <v>-4938585.9105587006</v>
      </c>
      <c r="R203" s="19">
        <f t="shared" si="20"/>
        <v>-4.9385859105587002</v>
      </c>
      <c r="Y203" s="29"/>
    </row>
    <row r="204" spans="9:25" x14ac:dyDescent="0.3">
      <c r="I204">
        <v>200</v>
      </c>
      <c r="J204" s="19">
        <f>$B$5*Data!F202/Data!F201</f>
        <v>200492637.91303822</v>
      </c>
      <c r="K204" s="19">
        <f>$B$6*Data!I202/Data!I201</f>
        <v>202341797.49221459</v>
      </c>
      <c r="L204" s="19">
        <f>$B$7*Data!L202/Data!L201</f>
        <v>202049055.46678287</v>
      </c>
      <c r="M204" s="19">
        <f>$B$8*Data!O202/Data!O201</f>
        <v>200577460.89794314</v>
      </c>
      <c r="N204" s="19">
        <f>$B$9*Data!R202/Data!R201</f>
        <v>199309907.23265719</v>
      </c>
      <c r="O204" s="19">
        <f t="shared" si="17"/>
        <v>1004770859.0026361</v>
      </c>
      <c r="P204" s="19">
        <f t="shared" si="18"/>
        <v>4770859.002636075</v>
      </c>
      <c r="Q204" s="19">
        <f t="shared" si="19"/>
        <v>-4770859.002636075</v>
      </c>
      <c r="R204" s="19">
        <f t="shared" si="20"/>
        <v>-4.7708590026360751</v>
      </c>
      <c r="Y204" s="29"/>
    </row>
    <row r="205" spans="9:25" x14ac:dyDescent="0.3">
      <c r="I205">
        <v>201</v>
      </c>
      <c r="J205" s="19">
        <f>$B$5*Data!F203/Data!F202</f>
        <v>204399400.33936542</v>
      </c>
      <c r="K205" s="19">
        <f>$B$6*Data!I203/Data!I202</f>
        <v>201137216.96959609</v>
      </c>
      <c r="L205" s="19">
        <f>$B$7*Data!L203/Data!L202</f>
        <v>207262239.90182647</v>
      </c>
      <c r="M205" s="19">
        <f>$B$8*Data!O203/Data!O202</f>
        <v>205256409.32751712</v>
      </c>
      <c r="N205" s="19">
        <f>$B$9*Data!R203/Data!R202</f>
        <v>203600232.19570592</v>
      </c>
      <c r="O205" s="19">
        <f t="shared" si="17"/>
        <v>1021655498.7340111</v>
      </c>
      <c r="P205" s="19">
        <f t="shared" si="18"/>
        <v>21655498.734011054</v>
      </c>
      <c r="Q205" s="19">
        <f t="shared" si="19"/>
        <v>-21655498.734011054</v>
      </c>
      <c r="R205" s="19">
        <f t="shared" si="20"/>
        <v>-21.655498734011054</v>
      </c>
      <c r="Y205" s="29"/>
    </row>
    <row r="206" spans="9:25" x14ac:dyDescent="0.3">
      <c r="I206">
        <v>202</v>
      </c>
      <c r="J206" s="19">
        <f>$B$5*Data!F204/Data!F203</f>
        <v>195523624.54585394</v>
      </c>
      <c r="K206" s="19">
        <f>$B$6*Data!I204/Data!I203</f>
        <v>205059987.56714246</v>
      </c>
      <c r="L206" s="19">
        <f>$B$7*Data!L204/Data!L203</f>
        <v>194899576.23114222</v>
      </c>
      <c r="M206" s="19">
        <f>$B$8*Data!O204/Data!O203</f>
        <v>194872882.05030957</v>
      </c>
      <c r="N206" s="19">
        <f>$B$9*Data!R204/Data!R203</f>
        <v>196152146.90178365</v>
      </c>
      <c r="O206" s="19">
        <f t="shared" si="17"/>
        <v>986508217.29623175</v>
      </c>
      <c r="P206" s="19">
        <f t="shared" si="18"/>
        <v>-13491782.703768253</v>
      </c>
      <c r="Q206" s="19">
        <f t="shared" si="19"/>
        <v>13491782.703768253</v>
      </c>
      <c r="R206" s="19">
        <f t="shared" si="20"/>
        <v>13.491782703768253</v>
      </c>
      <c r="Y206" s="29"/>
    </row>
    <row r="207" spans="9:25" x14ac:dyDescent="0.3">
      <c r="I207">
        <v>203</v>
      </c>
      <c r="J207" s="19">
        <f>$B$5*Data!F205/Data!F204</f>
        <v>203956856.53344077</v>
      </c>
      <c r="K207" s="19">
        <f>$B$6*Data!I205/Data!I204</f>
        <v>194904847.00248796</v>
      </c>
      <c r="L207" s="19">
        <f>$B$7*Data!L205/Data!L204</f>
        <v>204425183.97691968</v>
      </c>
      <c r="M207" s="19">
        <f>$B$8*Data!O205/Data!O204</f>
        <v>204899163.5551897</v>
      </c>
      <c r="N207" s="19">
        <f>$B$9*Data!R205/Data!R204</f>
        <v>205082673.2109488</v>
      </c>
      <c r="O207" s="19">
        <f t="shared" si="17"/>
        <v>1013268724.2789869</v>
      </c>
      <c r="P207" s="19">
        <f t="shared" si="18"/>
        <v>13268724.278986931</v>
      </c>
      <c r="Q207" s="19">
        <f t="shared" si="19"/>
        <v>-13268724.278986931</v>
      </c>
      <c r="R207" s="19">
        <f t="shared" si="20"/>
        <v>-13.26872427898693</v>
      </c>
      <c r="Y207" s="29"/>
    </row>
    <row r="208" spans="9:25" x14ac:dyDescent="0.3">
      <c r="I208">
        <v>204</v>
      </c>
      <c r="J208" s="19">
        <f>$B$5*Data!F206/Data!F205</f>
        <v>197985885.0960815</v>
      </c>
      <c r="K208" s="19">
        <f>$B$6*Data!I206/Data!I205</f>
        <v>204992986.57014018</v>
      </c>
      <c r="L208" s="19">
        <f>$B$7*Data!L206/Data!L205</f>
        <v>199735081.11536074</v>
      </c>
      <c r="M208" s="19">
        <f>$B$8*Data!O206/Data!O205</f>
        <v>197868785.00439343</v>
      </c>
      <c r="N208" s="19">
        <f>$B$9*Data!R206/Data!R205</f>
        <v>196274274.21540675</v>
      </c>
      <c r="O208" s="19">
        <f t="shared" si="17"/>
        <v>996857012.00138259</v>
      </c>
      <c r="P208" s="19">
        <f t="shared" si="18"/>
        <v>-3142987.9986174107</v>
      </c>
      <c r="Q208" s="19">
        <f t="shared" si="19"/>
        <v>3142987.9986174107</v>
      </c>
      <c r="R208" s="19">
        <f t="shared" si="20"/>
        <v>3.1429879986174107</v>
      </c>
      <c r="Y208" s="29"/>
    </row>
    <row r="209" spans="9:25" x14ac:dyDescent="0.3">
      <c r="I209">
        <v>205</v>
      </c>
      <c r="J209" s="19">
        <f>$B$5*Data!F207/Data!F206</f>
        <v>196994364.05501628</v>
      </c>
      <c r="K209" s="19">
        <f>$B$6*Data!I207/Data!I206</f>
        <v>197167959.34259409</v>
      </c>
      <c r="L209" s="19">
        <f>$B$7*Data!L207/Data!L206</f>
        <v>199190984.06272569</v>
      </c>
      <c r="M209" s="19">
        <f>$B$8*Data!O207/Data!O206</f>
        <v>197063305.529107</v>
      </c>
      <c r="N209" s="19">
        <f>$B$9*Data!R207/Data!R206</f>
        <v>196274448.08830315</v>
      </c>
      <c r="O209" s="19">
        <f t="shared" si="17"/>
        <v>986691061.07774615</v>
      </c>
      <c r="P209" s="19">
        <f t="shared" si="18"/>
        <v>-13308938.922253847</v>
      </c>
      <c r="Q209" s="19">
        <f t="shared" si="19"/>
        <v>13308938.922253847</v>
      </c>
      <c r="R209" s="19">
        <f t="shared" si="20"/>
        <v>13.308938922253848</v>
      </c>
      <c r="Y209" s="29"/>
    </row>
    <row r="210" spans="9:25" x14ac:dyDescent="0.3">
      <c r="I210">
        <v>206</v>
      </c>
      <c r="J210" s="19">
        <f>$B$5*Data!F208/Data!F207</f>
        <v>194293242.28317925</v>
      </c>
      <c r="K210" s="19">
        <f>$B$6*Data!I208/Data!I207</f>
        <v>196772957.50133371</v>
      </c>
      <c r="L210" s="19">
        <f>$B$7*Data!L208/Data!L207</f>
        <v>191595327.14275202</v>
      </c>
      <c r="M210" s="19">
        <f>$B$8*Data!O208/Data!O207</f>
        <v>193761509.61672956</v>
      </c>
      <c r="N210" s="19">
        <f>$B$9*Data!R208/Data!R207</f>
        <v>195080614.38464507</v>
      </c>
      <c r="O210" s="19">
        <f t="shared" si="17"/>
        <v>971503650.92863977</v>
      </c>
      <c r="P210" s="19">
        <f t="shared" si="18"/>
        <v>-28496349.07136023</v>
      </c>
      <c r="Q210" s="19">
        <f t="shared" si="19"/>
        <v>28496349.07136023</v>
      </c>
      <c r="R210" s="19">
        <f t="shared" si="20"/>
        <v>28.496349071360232</v>
      </c>
      <c r="Y210" s="29"/>
    </row>
    <row r="211" spans="9:25" x14ac:dyDescent="0.3">
      <c r="I211">
        <v>207</v>
      </c>
      <c r="J211" s="19">
        <f>$B$5*Data!F209/Data!F208</f>
        <v>199704820.25144273</v>
      </c>
      <c r="K211" s="19">
        <f>$B$6*Data!I209/Data!I208</f>
        <v>193836575.36537552</v>
      </c>
      <c r="L211" s="19">
        <f>$B$7*Data!L209/Data!L208</f>
        <v>199887473.038573</v>
      </c>
      <c r="M211" s="19">
        <f>$B$8*Data!O209/Data!O208</f>
        <v>200047180.64370972</v>
      </c>
      <c r="N211" s="19">
        <f>$B$9*Data!R209/Data!R208</f>
        <v>200133768.88854316</v>
      </c>
      <c r="O211" s="19">
        <f t="shared" si="17"/>
        <v>993609818.187644</v>
      </c>
      <c r="P211" s="19">
        <f t="shared" si="18"/>
        <v>-6390181.8123559952</v>
      </c>
      <c r="Q211" s="19">
        <f t="shared" si="19"/>
        <v>6390181.8123559952</v>
      </c>
      <c r="R211" s="19">
        <f t="shared" si="20"/>
        <v>6.390181812355995</v>
      </c>
      <c r="Y211" s="29"/>
    </row>
    <row r="212" spans="9:25" x14ac:dyDescent="0.3">
      <c r="I212">
        <v>208</v>
      </c>
      <c r="J212" s="19">
        <f>$B$5*Data!F210/Data!F209</f>
        <v>196021030.09007797</v>
      </c>
      <c r="K212" s="19">
        <f>$B$6*Data!I210/Data!I209</f>
        <v>199762946.01860926</v>
      </c>
      <c r="L212" s="19">
        <f>$B$7*Data!L210/Data!L209</f>
        <v>193767557.73248586</v>
      </c>
      <c r="M212" s="19">
        <f>$B$8*Data!O210/Data!O209</f>
        <v>195504940.3968077</v>
      </c>
      <c r="N212" s="19">
        <f>$B$9*Data!R210/Data!R209</f>
        <v>195455023.3016561</v>
      </c>
      <c r="O212" s="19">
        <f t="shared" si="17"/>
        <v>980511497.53963685</v>
      </c>
      <c r="P212" s="19">
        <f t="shared" si="18"/>
        <v>-19488502.46036315</v>
      </c>
      <c r="Q212" s="19">
        <f t="shared" si="19"/>
        <v>19488502.46036315</v>
      </c>
      <c r="R212" s="19">
        <f t="shared" si="20"/>
        <v>19.488502460363151</v>
      </c>
      <c r="Y212" s="29"/>
    </row>
    <row r="213" spans="9:25" x14ac:dyDescent="0.3">
      <c r="I213">
        <v>209</v>
      </c>
      <c r="J213" s="19">
        <f>$B$5*Data!F211/Data!F210</f>
        <v>199887136.74113968</v>
      </c>
      <c r="K213" s="19">
        <f>$B$6*Data!I211/Data!I210</f>
        <v>195558287.90472665</v>
      </c>
      <c r="L213" s="19">
        <f>$B$7*Data!L211/Data!L210</f>
        <v>200425456.42248794</v>
      </c>
      <c r="M213" s="19">
        <f>$B$8*Data!O211/Data!O210</f>
        <v>200184761.25464076</v>
      </c>
      <c r="N213" s="19">
        <f>$B$9*Data!R211/Data!R210</f>
        <v>200433681.75582451</v>
      </c>
      <c r="O213" s="19">
        <f t="shared" si="17"/>
        <v>996489324.07881951</v>
      </c>
      <c r="P213" s="19">
        <f t="shared" si="18"/>
        <v>-3510675.9211804867</v>
      </c>
      <c r="Q213" s="19">
        <f t="shared" si="19"/>
        <v>3510675.9211804867</v>
      </c>
      <c r="R213" s="19">
        <f t="shared" si="20"/>
        <v>3.5106759211804865</v>
      </c>
      <c r="Y213" s="29"/>
    </row>
    <row r="214" spans="9:25" x14ac:dyDescent="0.3">
      <c r="I214">
        <v>210</v>
      </c>
      <c r="J214" s="19">
        <f>$B$5*Data!F212/Data!F211</f>
        <v>201446108.33580551</v>
      </c>
      <c r="K214" s="19">
        <f>$B$6*Data!I212/Data!I211</f>
        <v>200380154.37641177</v>
      </c>
      <c r="L214" s="19">
        <f>$B$7*Data!L212/Data!L211</f>
        <v>200532139.83630577</v>
      </c>
      <c r="M214" s="19">
        <f>$B$8*Data!O212/Data!O211</f>
        <v>202106133.66258001</v>
      </c>
      <c r="N214" s="19">
        <f>$B$9*Data!R212/Data!R211</f>
        <v>201362192.56295282</v>
      </c>
      <c r="O214" s="19">
        <f t="shared" si="17"/>
        <v>1005826728.774056</v>
      </c>
      <c r="P214" s="19">
        <f t="shared" si="18"/>
        <v>5826728.7740559578</v>
      </c>
      <c r="Q214" s="19">
        <f t="shared" si="19"/>
        <v>-5826728.7740559578</v>
      </c>
      <c r="R214" s="19">
        <f t="shared" si="20"/>
        <v>-5.8267287740559581</v>
      </c>
      <c r="Y214" s="29"/>
    </row>
    <row r="215" spans="9:25" x14ac:dyDescent="0.3">
      <c r="I215">
        <v>211</v>
      </c>
      <c r="J215" s="19">
        <f>$B$5*Data!F213/Data!F212</f>
        <v>200928142.74326214</v>
      </c>
      <c r="K215" s="19">
        <f>$B$6*Data!I213/Data!I212</f>
        <v>202429498.2560252</v>
      </c>
      <c r="L215" s="19">
        <f>$B$7*Data!L213/Data!L212</f>
        <v>202504047.22904104</v>
      </c>
      <c r="M215" s="19">
        <f>$B$8*Data!O213/Data!O212</f>
        <v>200750303.47056559</v>
      </c>
      <c r="N215" s="19">
        <f>$B$9*Data!R213/Data!R212</f>
        <v>200652303.7365832</v>
      </c>
      <c r="O215" s="19">
        <f t="shared" si="17"/>
        <v>1007264295.4354773</v>
      </c>
      <c r="P215" s="19">
        <f t="shared" si="18"/>
        <v>7264295.4354772568</v>
      </c>
      <c r="Q215" s="19">
        <f t="shared" si="19"/>
        <v>-7264295.4354772568</v>
      </c>
      <c r="R215" s="19">
        <f t="shared" si="20"/>
        <v>-7.2642954354772566</v>
      </c>
      <c r="Y215" s="29"/>
    </row>
    <row r="216" spans="9:25" x14ac:dyDescent="0.3">
      <c r="I216">
        <v>212</v>
      </c>
      <c r="J216" s="19">
        <f>$B$5*Data!F214/Data!F213</f>
        <v>200433346.21071485</v>
      </c>
      <c r="K216" s="19">
        <f>$B$6*Data!I214/Data!I213</f>
        <v>200910007.63133457</v>
      </c>
      <c r="L216" s="19">
        <f>$B$7*Data!L214/Data!L213</f>
        <v>200833826.4954249</v>
      </c>
      <c r="M216" s="19">
        <f>$B$8*Data!O214/Data!O213</f>
        <v>200257138.07661211</v>
      </c>
      <c r="N216" s="19">
        <f>$B$9*Data!R214/Data!R213</f>
        <v>200797878.79634303</v>
      </c>
      <c r="O216" s="19">
        <f t="shared" si="17"/>
        <v>1003232197.2104294</v>
      </c>
      <c r="P216" s="19">
        <f t="shared" si="18"/>
        <v>3232197.21042943</v>
      </c>
      <c r="Q216" s="19">
        <f t="shared" si="19"/>
        <v>-3232197.21042943</v>
      </c>
      <c r="R216" s="19">
        <f t="shared" si="20"/>
        <v>-3.2321972104294301</v>
      </c>
      <c r="Y216" s="29"/>
    </row>
    <row r="217" spans="9:25" x14ac:dyDescent="0.3">
      <c r="I217">
        <v>213</v>
      </c>
      <c r="J217" s="19">
        <f>$B$5*Data!F215/Data!F214</f>
        <v>198935221.89545757</v>
      </c>
      <c r="K217" s="19">
        <f>$B$6*Data!I215/Data!I214</f>
        <v>200282685.377538</v>
      </c>
      <c r="L217" s="19">
        <f>$B$7*Data!L215/Data!L214</f>
        <v>197500431.95901114</v>
      </c>
      <c r="M217" s="19">
        <f>$B$8*Data!O215/Data!O214</f>
        <v>198411151.0208557</v>
      </c>
      <c r="N217" s="19">
        <f>$B$9*Data!R215/Data!R214</f>
        <v>199207301.48398662</v>
      </c>
      <c r="O217" s="19">
        <f t="shared" si="17"/>
        <v>994336791.73684907</v>
      </c>
      <c r="P217" s="19">
        <f t="shared" si="18"/>
        <v>-5663208.2631509304</v>
      </c>
      <c r="Q217" s="19">
        <f t="shared" si="19"/>
        <v>5663208.2631509304</v>
      </c>
      <c r="R217" s="19">
        <f t="shared" si="20"/>
        <v>5.6632082631509304</v>
      </c>
      <c r="Y217" s="29"/>
    </row>
    <row r="218" spans="9:25" x14ac:dyDescent="0.3">
      <c r="I218">
        <v>214</v>
      </c>
      <c r="J218" s="19">
        <f>$B$5*Data!F216/Data!F215</f>
        <v>196235762.19392365</v>
      </c>
      <c r="K218" s="19">
        <f>$B$6*Data!I216/Data!I215</f>
        <v>198538633.51049566</v>
      </c>
      <c r="L218" s="19">
        <f>$B$7*Data!L216/Data!L215</f>
        <v>194885033.39968735</v>
      </c>
      <c r="M218" s="19">
        <f>$B$8*Data!O216/Data!O215</f>
        <v>195819591.67182243</v>
      </c>
      <c r="N218" s="19">
        <f>$B$9*Data!R216/Data!R215</f>
        <v>195739708.66008946</v>
      </c>
      <c r="O218" s="19">
        <f t="shared" si="17"/>
        <v>981218729.43601859</v>
      </c>
      <c r="P218" s="19">
        <f t="shared" si="18"/>
        <v>-18781270.563981414</v>
      </c>
      <c r="Q218" s="19">
        <f t="shared" si="19"/>
        <v>18781270.563981414</v>
      </c>
      <c r="R218" s="19">
        <f t="shared" si="20"/>
        <v>18.781270563981415</v>
      </c>
      <c r="Y218" s="29"/>
    </row>
    <row r="219" spans="9:25" x14ac:dyDescent="0.3">
      <c r="I219">
        <v>215</v>
      </c>
      <c r="J219" s="19">
        <f>$B$5*Data!F217/Data!F216</f>
        <v>199140192.04978627</v>
      </c>
      <c r="K219" s="19">
        <f>$B$6*Data!I217/Data!I216</f>
        <v>195523043.45475441</v>
      </c>
      <c r="L219" s="19">
        <f>$B$7*Data!L217/Data!L216</f>
        <v>199448629.53345096</v>
      </c>
      <c r="M219" s="19">
        <f>$B$8*Data!O217/Data!O216</f>
        <v>199239954.71487629</v>
      </c>
      <c r="N219" s="19">
        <f>$B$9*Data!R217/Data!R216</f>
        <v>199560175.31693712</v>
      </c>
      <c r="O219" s="19">
        <f t="shared" si="17"/>
        <v>992911995.06980503</v>
      </c>
      <c r="P219" s="19">
        <f t="shared" si="18"/>
        <v>-7088004.9301949739</v>
      </c>
      <c r="Q219" s="19">
        <f t="shared" si="19"/>
        <v>7088004.9301949739</v>
      </c>
      <c r="R219" s="19">
        <f t="shared" si="20"/>
        <v>7.0880049301949741</v>
      </c>
      <c r="Y219" s="29"/>
    </row>
    <row r="220" spans="9:25" x14ac:dyDescent="0.3">
      <c r="I220">
        <v>216</v>
      </c>
      <c r="J220" s="19">
        <f>$B$5*Data!F218/Data!F217</f>
        <v>200134590.00577751</v>
      </c>
      <c r="K220" s="19">
        <f>$B$6*Data!I218/Data!I217</f>
        <v>198973818.98079208</v>
      </c>
      <c r="L220" s="19">
        <f>$B$7*Data!L218/Data!L217</f>
        <v>199419678.17078418</v>
      </c>
      <c r="M220" s="19">
        <f>$B$8*Data!O218/Data!O217</f>
        <v>199738649.03761488</v>
      </c>
      <c r="N220" s="19">
        <f>$B$9*Data!R218/Data!R217</f>
        <v>199706450.2830407</v>
      </c>
      <c r="O220" s="19">
        <f t="shared" si="17"/>
        <v>997973186.47800946</v>
      </c>
      <c r="P220" s="19">
        <f t="shared" si="18"/>
        <v>-2026813.5219905376</v>
      </c>
      <c r="Q220" s="19">
        <f t="shared" si="19"/>
        <v>2026813.5219905376</v>
      </c>
      <c r="R220" s="19">
        <f t="shared" si="20"/>
        <v>2.0268135219905377</v>
      </c>
      <c r="Y220" s="29"/>
    </row>
    <row r="221" spans="9:25" x14ac:dyDescent="0.3">
      <c r="I221">
        <v>217</v>
      </c>
      <c r="J221" s="19">
        <f>$B$5*Data!F219/Data!F218</f>
        <v>204615713.38511863</v>
      </c>
      <c r="K221" s="19">
        <f>$B$6*Data!I219/Data!I218</f>
        <v>199919201.57628629</v>
      </c>
      <c r="L221" s="19">
        <f>$B$7*Data!L219/Data!L218</f>
        <v>207203075.30376276</v>
      </c>
      <c r="M221" s="19">
        <f>$B$8*Data!O219/Data!O218</f>
        <v>205114395.85291255</v>
      </c>
      <c r="N221" s="19">
        <f>$B$9*Data!R219/Data!R218</f>
        <v>203194971.90939152</v>
      </c>
      <c r="O221" s="19">
        <f t="shared" si="17"/>
        <v>1020047358.0274718</v>
      </c>
      <c r="P221" s="19">
        <f t="shared" si="18"/>
        <v>20047358.027471781</v>
      </c>
      <c r="Q221" s="19">
        <f t="shared" si="19"/>
        <v>-20047358.027471781</v>
      </c>
      <c r="R221" s="19">
        <f t="shared" si="20"/>
        <v>-20.04735802747178</v>
      </c>
      <c r="Y221" s="29"/>
    </row>
    <row r="222" spans="9:25" x14ac:dyDescent="0.3">
      <c r="I222">
        <v>218</v>
      </c>
      <c r="J222" s="19">
        <f>$B$5*Data!F220/Data!F219</f>
        <v>198201561.92427987</v>
      </c>
      <c r="K222" s="19">
        <f>$B$6*Data!I220/Data!I219</f>
        <v>205308863.23723522</v>
      </c>
      <c r="L222" s="19">
        <f>$B$7*Data!L220/Data!L219</f>
        <v>199078158.91250512</v>
      </c>
      <c r="M222" s="19">
        <f>$B$8*Data!O220/Data!O219</f>
        <v>197735734.91280803</v>
      </c>
      <c r="N222" s="19">
        <f>$B$9*Data!R220/Data!R219</f>
        <v>197235251.30483231</v>
      </c>
      <c r="O222" s="19">
        <f>SUM(J222:N222)</f>
        <v>997559570.29166067</v>
      </c>
      <c r="P222" s="19">
        <f t="shared" si="18"/>
        <v>-2440429.7083393335</v>
      </c>
      <c r="Q222" s="19">
        <f t="shared" si="19"/>
        <v>2440429.7083393335</v>
      </c>
      <c r="R222" s="19">
        <f t="shared" si="20"/>
        <v>2.4404297083393334</v>
      </c>
      <c r="Y222" s="29"/>
    </row>
    <row r="223" spans="9:25" x14ac:dyDescent="0.3">
      <c r="I223">
        <v>219</v>
      </c>
      <c r="J223" s="19">
        <f>$B$5*Data!F221/Data!F220</f>
        <v>201299218.19993016</v>
      </c>
      <c r="K223" s="19">
        <f>$B$6*Data!I221/Data!I220</f>
        <v>197501195.0061177</v>
      </c>
      <c r="L223" s="19">
        <f>$B$7*Data!L221/Data!L220</f>
        <v>202402028.8133921</v>
      </c>
      <c r="M223" s="19">
        <f>$B$8*Data!O221/Data!O220</f>
        <v>201790491.58572438</v>
      </c>
      <c r="N223" s="19">
        <f>$B$9*Data!R221/Data!R220</f>
        <v>201547361.48716372</v>
      </c>
      <c r="O223" s="19">
        <f t="shared" ref="O223:O247" si="21">SUM(J223:N223)</f>
        <v>1004540295.0923281</v>
      </c>
      <c r="P223" s="19">
        <f t="shared" si="18"/>
        <v>4540295.0923280716</v>
      </c>
      <c r="Q223" s="19">
        <f t="shared" si="19"/>
        <v>-4540295.0923280716</v>
      </c>
      <c r="R223" s="19">
        <f t="shared" si="20"/>
        <v>-4.5402950923280718</v>
      </c>
      <c r="Y223" s="29"/>
    </row>
    <row r="224" spans="9:25" x14ac:dyDescent="0.3">
      <c r="I224">
        <v>220</v>
      </c>
      <c r="J224" s="19">
        <f>$B$5*Data!F222/Data!F221</f>
        <v>202013180.15686554</v>
      </c>
      <c r="K224" s="19">
        <f>$B$6*Data!I222/Data!I221</f>
        <v>201892939.27254328</v>
      </c>
      <c r="L224" s="19">
        <f>$B$7*Data!L222/Data!L221</f>
        <v>200554265.33084738</v>
      </c>
      <c r="M224" s="19">
        <f>$B$8*Data!O222/Data!O221</f>
        <v>201807738.61432979</v>
      </c>
      <c r="N224" s="19">
        <f>$B$9*Data!R222/Data!R221</f>
        <v>202968500.37555927</v>
      </c>
      <c r="O224" s="19">
        <f t="shared" si="21"/>
        <v>1009236623.7501452</v>
      </c>
      <c r="P224" s="19">
        <f t="shared" si="18"/>
        <v>9236623.7501451969</v>
      </c>
      <c r="Q224" s="19">
        <f t="shared" si="19"/>
        <v>-9236623.7501451969</v>
      </c>
      <c r="R224" s="19">
        <f t="shared" si="20"/>
        <v>-9.2366237501451973</v>
      </c>
      <c r="Y224" s="29"/>
    </row>
    <row r="225" spans="9:25" x14ac:dyDescent="0.3">
      <c r="I225">
        <v>221</v>
      </c>
      <c r="J225" s="19">
        <f>$B$5*Data!F223/Data!F222</f>
        <v>199930072.50878021</v>
      </c>
      <c r="K225" s="19">
        <f>$B$6*Data!I223/Data!I222</f>
        <v>201867130.12835726</v>
      </c>
      <c r="L225" s="19">
        <f>$B$7*Data!L223/Data!L222</f>
        <v>199337750.84529176</v>
      </c>
      <c r="M225" s="19">
        <f>$B$8*Data!O223/Data!O222</f>
        <v>200333070.15176317</v>
      </c>
      <c r="N225" s="19">
        <f>$B$9*Data!R223/Data!R222</f>
        <v>200599171.71760473</v>
      </c>
      <c r="O225" s="19">
        <f t="shared" si="21"/>
        <v>1002067195.3517972</v>
      </c>
      <c r="P225" s="19">
        <f t="shared" si="18"/>
        <v>2067195.3517972231</v>
      </c>
      <c r="Q225" s="19">
        <f t="shared" si="19"/>
        <v>-2067195.3517972231</v>
      </c>
      <c r="R225" s="19">
        <f t="shared" si="20"/>
        <v>-2.0671953517972232</v>
      </c>
      <c r="Y225" s="29"/>
    </row>
    <row r="226" spans="9:25" x14ac:dyDescent="0.3">
      <c r="I226">
        <v>222</v>
      </c>
      <c r="J226" s="19">
        <f>$B$5*Data!F224/Data!F223</f>
        <v>198112781.1199514</v>
      </c>
      <c r="K226" s="19">
        <f>$B$6*Data!I224/Data!I223</f>
        <v>200230471.61646277</v>
      </c>
      <c r="L226" s="19">
        <f>$B$7*Data!L224/Data!L223</f>
        <v>198420795.7860775</v>
      </c>
      <c r="M226" s="19">
        <f>$B$8*Data!O224/Data!O223</f>
        <v>197956195.2234455</v>
      </c>
      <c r="N226" s="19">
        <f>$B$9*Data!R224/Data!R223</f>
        <v>198193436.64709967</v>
      </c>
      <c r="O226" s="19">
        <f t="shared" si="21"/>
        <v>992913680.39303684</v>
      </c>
      <c r="P226" s="19">
        <f t="shared" si="18"/>
        <v>-7086319.6069631577</v>
      </c>
      <c r="Q226" s="19">
        <f t="shared" si="19"/>
        <v>7086319.6069631577</v>
      </c>
      <c r="R226" s="19">
        <f t="shared" si="20"/>
        <v>7.0863196069631575</v>
      </c>
      <c r="Y226" s="29"/>
    </row>
    <row r="227" spans="9:25" x14ac:dyDescent="0.3">
      <c r="I227">
        <v>223</v>
      </c>
      <c r="J227" s="19">
        <f>$B$5*Data!F225/Data!F224</f>
        <v>203182764.32276782</v>
      </c>
      <c r="K227" s="19">
        <f>$B$6*Data!I225/Data!I224</f>
        <v>198037258.79262906</v>
      </c>
      <c r="L227" s="19">
        <f>$B$7*Data!L225/Data!L224</f>
        <v>204381908.80575481</v>
      </c>
      <c r="M227" s="19">
        <f>$B$8*Data!O225/Data!O224</f>
        <v>203550809.79875997</v>
      </c>
      <c r="N227" s="19">
        <f>$B$9*Data!R225/Data!R224</f>
        <v>202939169.176723</v>
      </c>
      <c r="O227" s="19">
        <f t="shared" si="21"/>
        <v>1012091910.8966346</v>
      </c>
      <c r="P227" s="19">
        <f t="shared" si="18"/>
        <v>12091910.896634579</v>
      </c>
      <c r="Q227" s="19">
        <f t="shared" si="19"/>
        <v>-12091910.896634579</v>
      </c>
      <c r="R227" s="19">
        <f t="shared" si="20"/>
        <v>-12.091910896634579</v>
      </c>
      <c r="Y227" s="29"/>
    </row>
    <row r="228" spans="9:25" x14ac:dyDescent="0.3">
      <c r="I228">
        <v>224</v>
      </c>
      <c r="J228" s="19">
        <f>$B$5*Data!F226/Data!F225</f>
        <v>205598679.82280481</v>
      </c>
      <c r="K228" s="19">
        <f>$B$6*Data!I226/Data!I225</f>
        <v>204062121.34155726</v>
      </c>
      <c r="L228" s="19">
        <f>$B$7*Data!L226/Data!L225</f>
        <v>208688066.88025206</v>
      </c>
      <c r="M228" s="19">
        <f>$B$8*Data!O226/Data!O225</f>
        <v>206360458.00852844</v>
      </c>
      <c r="N228" s="19">
        <f>$B$9*Data!R226/Data!R225</f>
        <v>205819002.62479243</v>
      </c>
      <c r="O228" s="19">
        <f t="shared" si="21"/>
        <v>1030528328.677935</v>
      </c>
      <c r="P228" s="19">
        <f t="shared" si="18"/>
        <v>30528328.677935004</v>
      </c>
      <c r="Q228" s="19">
        <f t="shared" si="19"/>
        <v>-30528328.677935004</v>
      </c>
      <c r="R228" s="19">
        <f t="shared" si="20"/>
        <v>-30.528328677935004</v>
      </c>
      <c r="Y228" s="29"/>
    </row>
    <row r="229" spans="9:25" x14ac:dyDescent="0.3">
      <c r="I229">
        <v>225</v>
      </c>
      <c r="J229" s="19">
        <f>$B$5*Data!F227/Data!F226</f>
        <v>199118177.64414525</v>
      </c>
      <c r="K229" s="19">
        <f>$B$6*Data!I227/Data!I226</f>
        <v>206891459.83282185</v>
      </c>
      <c r="L229" s="19">
        <f>$B$7*Data!L227/Data!L226</f>
        <v>197338698.40047395</v>
      </c>
      <c r="M229" s="19">
        <f>$B$8*Data!O227/Data!O226</f>
        <v>198644009.2844696</v>
      </c>
      <c r="N229" s="19">
        <f>$B$9*Data!R227/Data!R226</f>
        <v>197913714.0149557</v>
      </c>
      <c r="O229" s="19">
        <f t="shared" si="21"/>
        <v>999906059.17686629</v>
      </c>
      <c r="P229" s="19">
        <f t="shared" si="18"/>
        <v>-93940.823133707047</v>
      </c>
      <c r="Q229" s="19">
        <f t="shared" si="19"/>
        <v>93940.823133707047</v>
      </c>
      <c r="R229" s="19">
        <f t="shared" si="20"/>
        <v>9.3940823133707052E-2</v>
      </c>
      <c r="Y229" s="29"/>
    </row>
    <row r="230" spans="9:25" x14ac:dyDescent="0.3">
      <c r="I230">
        <v>226</v>
      </c>
      <c r="J230" s="19">
        <f>$B$5*Data!F228/Data!F227</f>
        <v>198464195.84535876</v>
      </c>
      <c r="K230" s="19">
        <f>$B$6*Data!I228/Data!I227</f>
        <v>198327380.54706034</v>
      </c>
      <c r="L230" s="19">
        <f>$B$7*Data!L228/Data!L227</f>
        <v>197373584.61716047</v>
      </c>
      <c r="M230" s="19">
        <f>$B$8*Data!O228/Data!O227</f>
        <v>198448247.79113537</v>
      </c>
      <c r="N230" s="19">
        <f>$B$9*Data!R228/Data!R227</f>
        <v>200328185.26373795</v>
      </c>
      <c r="O230" s="19">
        <f t="shared" si="21"/>
        <v>992941594.06445289</v>
      </c>
      <c r="P230" s="19">
        <f t="shared" si="18"/>
        <v>-7058405.9355471134</v>
      </c>
      <c r="Q230" s="19">
        <f t="shared" si="19"/>
        <v>7058405.9355471134</v>
      </c>
      <c r="R230" s="19">
        <f t="shared" si="20"/>
        <v>7.0584059355471132</v>
      </c>
      <c r="Y230" s="29"/>
    </row>
    <row r="231" spans="9:25" x14ac:dyDescent="0.3">
      <c r="I231">
        <v>227</v>
      </c>
      <c r="J231" s="19">
        <f>$B$5*Data!F229/Data!F228</f>
        <v>202388366.44034809</v>
      </c>
      <c r="K231" s="19">
        <f>$B$6*Data!I229/Data!I228</f>
        <v>197866169.86055887</v>
      </c>
      <c r="L231" s="19">
        <f>$B$7*Data!L229/Data!L228</f>
        <v>203042828.86360431</v>
      </c>
      <c r="M231" s="19">
        <f>$B$8*Data!O229/Data!O228</f>
        <v>203041547.20320883</v>
      </c>
      <c r="N231" s="19">
        <f>$B$9*Data!R229/Data!R228</f>
        <v>201883221.36113203</v>
      </c>
      <c r="O231" s="19">
        <f t="shared" si="21"/>
        <v>1008222133.728852</v>
      </c>
      <c r="P231" s="19">
        <f t="shared" si="18"/>
        <v>8222133.7288520336</v>
      </c>
      <c r="Q231" s="19">
        <f t="shared" si="19"/>
        <v>-8222133.7288520336</v>
      </c>
      <c r="R231" s="19">
        <f t="shared" si="20"/>
        <v>-8.2221337288520342</v>
      </c>
      <c r="Y231" s="29"/>
    </row>
    <row r="232" spans="9:25" x14ac:dyDescent="0.3">
      <c r="I232">
        <v>228</v>
      </c>
      <c r="J232" s="19">
        <f>$B$5*Data!F230/Data!F229</f>
        <v>195824788.38851699</v>
      </c>
      <c r="K232" s="19">
        <f>$B$6*Data!I230/Data!I229</f>
        <v>203054174.33538014</v>
      </c>
      <c r="L232" s="19">
        <f>$B$7*Data!L230/Data!L229</f>
        <v>194730504.56223026</v>
      </c>
      <c r="M232" s="19">
        <f>$B$8*Data!O230/Data!O229</f>
        <v>195285118.40871727</v>
      </c>
      <c r="N232" s="19">
        <f>$B$9*Data!R230/Data!R229</f>
        <v>196646670.88937742</v>
      </c>
      <c r="O232" s="19">
        <f t="shared" si="21"/>
        <v>985541256.58422208</v>
      </c>
      <c r="P232" s="19">
        <f t="shared" si="18"/>
        <v>-14458743.415777922</v>
      </c>
      <c r="Q232" s="19">
        <f t="shared" si="19"/>
        <v>14458743.415777922</v>
      </c>
      <c r="R232" s="19">
        <f t="shared" si="20"/>
        <v>14.458743415777922</v>
      </c>
      <c r="Y232" s="29"/>
    </row>
    <row r="233" spans="9:25" x14ac:dyDescent="0.3">
      <c r="I233">
        <v>229</v>
      </c>
      <c r="J233" s="19">
        <f>$B$5*Data!F231/Data!F230</f>
        <v>198227220.68843108</v>
      </c>
      <c r="K233" s="19">
        <f>$B$6*Data!I231/Data!I230</f>
        <v>195230737.07331958</v>
      </c>
      <c r="L233" s="19">
        <f>$B$7*Data!L231/Data!L230</f>
        <v>197089744.62516597</v>
      </c>
      <c r="M233" s="19">
        <f>$B$8*Data!O231/Data!O230</f>
        <v>198487218.88987264</v>
      </c>
      <c r="N233" s="19">
        <f>$B$9*Data!R231/Data!R230</f>
        <v>200046683.22109306</v>
      </c>
      <c r="O233" s="19">
        <f t="shared" si="21"/>
        <v>989081604.49788237</v>
      </c>
      <c r="P233" s="19">
        <f t="shared" si="18"/>
        <v>-10918395.502117634</v>
      </c>
      <c r="Q233" s="19">
        <f t="shared" si="19"/>
        <v>10918395.502117634</v>
      </c>
      <c r="R233" s="19">
        <f t="shared" si="20"/>
        <v>10.918395502117633</v>
      </c>
      <c r="Y233" s="29"/>
    </row>
    <row r="234" spans="9:25" x14ac:dyDescent="0.3">
      <c r="I234">
        <v>230</v>
      </c>
      <c r="J234" s="19">
        <f>$B$5*Data!F232/Data!F231</f>
        <v>199068248.01712766</v>
      </c>
      <c r="K234" s="19">
        <f>$B$6*Data!I232/Data!I231</f>
        <v>198356283.14835659</v>
      </c>
      <c r="L234" s="19">
        <f>$B$7*Data!L232/Data!L231</f>
        <v>198867467.45933929</v>
      </c>
      <c r="M234" s="19">
        <f>$B$8*Data!O232/Data!O231</f>
        <v>199264103.7411128</v>
      </c>
      <c r="N234" s="19">
        <f>$B$9*Data!R232/Data!R231</f>
        <v>198697325.02454641</v>
      </c>
      <c r="O234" s="19">
        <f t="shared" si="21"/>
        <v>994253427.39048278</v>
      </c>
      <c r="P234" s="19">
        <f t="shared" si="18"/>
        <v>-5746572.6095172167</v>
      </c>
      <c r="Q234" s="19">
        <f t="shared" si="19"/>
        <v>5746572.6095172167</v>
      </c>
      <c r="R234" s="19">
        <f t="shared" si="20"/>
        <v>5.7465726095172167</v>
      </c>
      <c r="Y234" s="29"/>
    </row>
    <row r="235" spans="9:25" x14ac:dyDescent="0.3">
      <c r="I235">
        <v>231</v>
      </c>
      <c r="J235" s="19">
        <f>$B$5*Data!F233/Data!F232</f>
        <v>201790238.61640242</v>
      </c>
      <c r="K235" s="19">
        <f>$B$6*Data!I233/Data!I232</f>
        <v>199112694.57256442</v>
      </c>
      <c r="L235" s="19">
        <f>$B$7*Data!L233/Data!L232</f>
        <v>203760740.92091271</v>
      </c>
      <c r="M235" s="19">
        <f>$B$8*Data!O233/Data!O232</f>
        <v>202245785.37136084</v>
      </c>
      <c r="N235" s="19">
        <f>$B$9*Data!R233/Data!R232</f>
        <v>202490068.50830919</v>
      </c>
      <c r="O235" s="19">
        <f t="shared" si="21"/>
        <v>1009399527.9895496</v>
      </c>
      <c r="P235" s="19">
        <f t="shared" si="18"/>
        <v>9399527.9895496368</v>
      </c>
      <c r="Q235" s="19">
        <f t="shared" si="19"/>
        <v>-9399527.9895496368</v>
      </c>
      <c r="R235" s="19">
        <f t="shared" si="20"/>
        <v>-9.399527989549636</v>
      </c>
      <c r="Y235" s="29"/>
    </row>
    <row r="236" spans="9:25" x14ac:dyDescent="0.3">
      <c r="I236">
        <v>232</v>
      </c>
      <c r="J236" s="19">
        <f>$B$5*Data!F234/Data!F233</f>
        <v>198841248.11627734</v>
      </c>
      <c r="K236" s="19">
        <f>$B$6*Data!I234/Data!I233</f>
        <v>202098855.2842724</v>
      </c>
      <c r="L236" s="19">
        <f>$B$7*Data!L234/Data!L233</f>
        <v>198654436.95188439</v>
      </c>
      <c r="M236" s="19">
        <f>$B$8*Data!O234/Data!O233</f>
        <v>199170995.97116554</v>
      </c>
      <c r="N236" s="19">
        <f>$B$9*Data!R234/Data!R233</f>
        <v>198589823.15553096</v>
      </c>
      <c r="O236" s="19">
        <f t="shared" si="21"/>
        <v>997355359.47913063</v>
      </c>
      <c r="P236" s="19">
        <f t="shared" si="18"/>
        <v>-2644640.5208693743</v>
      </c>
      <c r="Q236" s="19">
        <f t="shared" si="19"/>
        <v>2644640.5208693743</v>
      </c>
      <c r="R236" s="19">
        <f t="shared" si="20"/>
        <v>2.6446405208693742</v>
      </c>
      <c r="Y236" s="29"/>
    </row>
    <row r="237" spans="9:25" x14ac:dyDescent="0.3">
      <c r="I237">
        <v>233</v>
      </c>
      <c r="J237" s="19">
        <f>$B$5*Data!F235/Data!F234</f>
        <v>199701044.55551633</v>
      </c>
      <c r="K237" s="19">
        <f>$B$6*Data!I235/Data!I234</f>
        <v>198732035.29464242</v>
      </c>
      <c r="L237" s="19">
        <f>$B$7*Data!L235/Data!L234</f>
        <v>200235830.14054167</v>
      </c>
      <c r="M237" s="19">
        <f>$B$8*Data!O235/Data!O234</f>
        <v>199792440.28560627</v>
      </c>
      <c r="N237" s="19">
        <f>$B$9*Data!R235/Data!R234</f>
        <v>199176172.35124084</v>
      </c>
      <c r="O237" s="19">
        <f t="shared" si="21"/>
        <v>997637522.62754762</v>
      </c>
      <c r="P237" s="19">
        <f t="shared" si="18"/>
        <v>-2362477.3724523783</v>
      </c>
      <c r="Q237" s="19">
        <f t="shared" si="19"/>
        <v>2362477.3724523783</v>
      </c>
      <c r="R237" s="19">
        <f t="shared" si="20"/>
        <v>2.3624773724523784</v>
      </c>
      <c r="Y237" s="29"/>
    </row>
    <row r="238" spans="9:25" x14ac:dyDescent="0.3">
      <c r="I238">
        <v>234</v>
      </c>
      <c r="J238" s="19">
        <f>$B$5*Data!F236/Data!F235</f>
        <v>201504660.21331954</v>
      </c>
      <c r="K238" s="19">
        <f>$B$6*Data!I236/Data!I235</f>
        <v>198943102.90702584</v>
      </c>
      <c r="L238" s="19">
        <f>$B$7*Data!L236/Data!L235</f>
        <v>200472821.23300272</v>
      </c>
      <c r="M238" s="19">
        <f>$B$8*Data!O236/Data!O235</f>
        <v>201816014.68624678</v>
      </c>
      <c r="N238" s="19">
        <f>$B$9*Data!R236/Data!R235</f>
        <v>202481666.0275436</v>
      </c>
      <c r="O238" s="19">
        <f t="shared" si="21"/>
        <v>1005218265.0671384</v>
      </c>
      <c r="P238" s="19">
        <f t="shared" si="18"/>
        <v>5218265.0671384335</v>
      </c>
      <c r="Q238" s="19">
        <f t="shared" si="19"/>
        <v>-5218265.0671384335</v>
      </c>
      <c r="R238" s="19">
        <f t="shared" si="20"/>
        <v>-5.2182650671384332</v>
      </c>
      <c r="Y238" s="29"/>
    </row>
    <row r="239" spans="9:25" x14ac:dyDescent="0.3">
      <c r="I239">
        <v>235</v>
      </c>
      <c r="J239" s="19">
        <f>$B$5*Data!F237/Data!F236</f>
        <v>202296943.16319105</v>
      </c>
      <c r="K239" s="19">
        <f>$B$6*Data!I237/Data!I236</f>
        <v>202134971.46269345</v>
      </c>
      <c r="L239" s="19">
        <f>$B$7*Data!L237/Data!L236</f>
        <v>202367003.25349873</v>
      </c>
      <c r="M239" s="19">
        <f>$B$8*Data!O237/Data!O236</f>
        <v>202630055.80834445</v>
      </c>
      <c r="N239" s="19">
        <f>$B$9*Data!R237/Data!R236</f>
        <v>201777995.33538923</v>
      </c>
      <c r="O239" s="19">
        <f t="shared" si="21"/>
        <v>1011206969.0231171</v>
      </c>
      <c r="P239" s="19">
        <f t="shared" si="18"/>
        <v>11206969.023117065</v>
      </c>
      <c r="Q239" s="19">
        <f t="shared" si="19"/>
        <v>-11206969.023117065</v>
      </c>
      <c r="R239" s="19">
        <f t="shared" si="20"/>
        <v>-11.206969023117065</v>
      </c>
      <c r="Y239" s="29"/>
    </row>
    <row r="240" spans="9:25" x14ac:dyDescent="0.3">
      <c r="I240">
        <v>236</v>
      </c>
      <c r="J240" s="19">
        <f>$B$5*Data!F238/Data!F237</f>
        <v>199989004.1722464</v>
      </c>
      <c r="K240" s="19">
        <f>$B$6*Data!I238/Data!I237</f>
        <v>202413601.62882894</v>
      </c>
      <c r="L240" s="19">
        <f>$B$7*Data!L238/Data!L237</f>
        <v>201440184.23893195</v>
      </c>
      <c r="M240" s="19">
        <f>$B$8*Data!O238/Data!O237</f>
        <v>200106391.41038787</v>
      </c>
      <c r="N240" s="19">
        <f>$B$9*Data!R238/Data!R237</f>
        <v>200200788.49599612</v>
      </c>
      <c r="O240" s="19">
        <f t="shared" si="21"/>
        <v>1004149969.9463913</v>
      </c>
      <c r="P240" s="19">
        <f t="shared" si="18"/>
        <v>4149969.9463913441</v>
      </c>
      <c r="Q240" s="19">
        <f t="shared" si="19"/>
        <v>-4149969.9463913441</v>
      </c>
      <c r="R240" s="19">
        <f t="shared" si="20"/>
        <v>-4.1499699463913444</v>
      </c>
      <c r="Y240" s="29"/>
    </row>
    <row r="241" spans="9:25" x14ac:dyDescent="0.3">
      <c r="I241">
        <v>237</v>
      </c>
      <c r="J241" s="19">
        <f>$B$5*Data!F239/Data!F238</f>
        <v>199653181.86412826</v>
      </c>
      <c r="K241" s="19">
        <f>$B$6*Data!I239/Data!I238</f>
        <v>199655307.9464227</v>
      </c>
      <c r="L241" s="19">
        <f>$B$7*Data!L239/Data!L238</f>
        <v>198466445.23975241</v>
      </c>
      <c r="M241" s="19">
        <f>$B$8*Data!O239/Data!O238</f>
        <v>199460093.33858675</v>
      </c>
      <c r="N241" s="19">
        <f>$B$9*Data!R239/Data!R238</f>
        <v>200191295.62398008</v>
      </c>
      <c r="O241" s="19">
        <f t="shared" si="21"/>
        <v>997426324.01287007</v>
      </c>
      <c r="P241" s="19">
        <f t="shared" si="18"/>
        <v>-2573675.9871299267</v>
      </c>
      <c r="Q241" s="19">
        <f t="shared" si="19"/>
        <v>2573675.9871299267</v>
      </c>
      <c r="R241" s="19">
        <f t="shared" si="20"/>
        <v>2.5736759871299268</v>
      </c>
      <c r="Y241" s="29"/>
    </row>
    <row r="242" spans="9:25" x14ac:dyDescent="0.3">
      <c r="I242">
        <v>238</v>
      </c>
      <c r="J242" s="19">
        <f>$B$5*Data!F240/Data!F239</f>
        <v>200068924.59167999</v>
      </c>
      <c r="K242" s="19">
        <f>$B$6*Data!I240/Data!I239</f>
        <v>198943651.87613654</v>
      </c>
      <c r="L242" s="19">
        <f>$B$7*Data!L240/Data!L239</f>
        <v>198441143.78867656</v>
      </c>
      <c r="M242" s="19">
        <f>$B$8*Data!O240/Data!O239</f>
        <v>200142464.35886678</v>
      </c>
      <c r="N242" s="19">
        <f>$B$9*Data!R240/Data!R239</f>
        <v>201244562.1543009</v>
      </c>
      <c r="O242" s="19">
        <f t="shared" si="21"/>
        <v>998840746.76966083</v>
      </c>
      <c r="P242" s="19">
        <f t="shared" si="18"/>
        <v>-1159253.2303391695</v>
      </c>
      <c r="Q242" s="19">
        <f t="shared" si="19"/>
        <v>1159253.2303391695</v>
      </c>
      <c r="R242" s="19">
        <f t="shared" si="20"/>
        <v>1.1592532303391696</v>
      </c>
      <c r="Y242" s="29"/>
    </row>
    <row r="243" spans="9:25" x14ac:dyDescent="0.3">
      <c r="I243">
        <v>239</v>
      </c>
      <c r="J243" s="19">
        <f>$B$5*Data!F241/Data!F240</f>
        <v>195611486.76585233</v>
      </c>
      <c r="K243" s="19">
        <f>$B$6*Data!I241/Data!I240</f>
        <v>200058855.75971639</v>
      </c>
      <c r="L243" s="19">
        <f>$B$7*Data!L241/Data!L240</f>
        <v>195015101.55215338</v>
      </c>
      <c r="M243" s="19">
        <f>$B$8*Data!O241/Data!O240</f>
        <v>194496269.30813196</v>
      </c>
      <c r="N243" s="19">
        <f>$B$9*Data!R241/Data!R240</f>
        <v>194951328.62518191</v>
      </c>
      <c r="O243" s="19">
        <f t="shared" si="21"/>
        <v>980133042.01103592</v>
      </c>
      <c r="P243" s="19">
        <f t="shared" si="18"/>
        <v>-19866957.988964081</v>
      </c>
      <c r="Q243" s="19">
        <f t="shared" si="19"/>
        <v>19866957.988964081</v>
      </c>
      <c r="R243" s="19">
        <f t="shared" si="20"/>
        <v>19.866957988964081</v>
      </c>
      <c r="Y243" s="29"/>
    </row>
    <row r="244" spans="9:25" x14ac:dyDescent="0.3">
      <c r="I244">
        <v>240</v>
      </c>
      <c r="J244" s="19">
        <f>$B$5*Data!F242/Data!F241</f>
        <v>201162712.28086132</v>
      </c>
      <c r="K244" s="19">
        <f>$B$6*Data!I242/Data!I241</f>
        <v>194564375.29011771</v>
      </c>
      <c r="L244" s="19">
        <f>$B$7*Data!L242/Data!L241</f>
        <v>201858587.54928574</v>
      </c>
      <c r="M244" s="19">
        <f>$B$8*Data!O242/Data!O241</f>
        <v>201704647.93071306</v>
      </c>
      <c r="N244" s="19">
        <f>$B$9*Data!R242/Data!R241</f>
        <v>198950755.33957362</v>
      </c>
      <c r="O244" s="19">
        <f t="shared" si="21"/>
        <v>998241078.39055145</v>
      </c>
      <c r="P244" s="19">
        <f t="shared" si="18"/>
        <v>-1758921.6094485521</v>
      </c>
      <c r="Q244" s="19">
        <f t="shared" si="19"/>
        <v>1758921.6094485521</v>
      </c>
      <c r="R244" s="19">
        <f t="shared" si="20"/>
        <v>1.758921609448552</v>
      </c>
      <c r="Y244" s="29"/>
    </row>
    <row r="245" spans="9:25" x14ac:dyDescent="0.3">
      <c r="I245">
        <v>241</v>
      </c>
      <c r="J245" s="19">
        <f>$B$5*Data!F243/Data!F242</f>
        <v>199240723.18695641</v>
      </c>
      <c r="K245" s="19">
        <f>$B$6*Data!I243/Data!I242</f>
        <v>201698386.36169568</v>
      </c>
      <c r="L245" s="19">
        <f>$B$7*Data!L243/Data!L242</f>
        <v>199604004.09702739</v>
      </c>
      <c r="M245" s="19">
        <f>$B$8*Data!O243/Data!O242</f>
        <v>199304374.59272593</v>
      </c>
      <c r="N245" s="19">
        <f>$B$9*Data!R243/Data!R242</f>
        <v>199020800.12458208</v>
      </c>
      <c r="O245" s="19">
        <f t="shared" si="21"/>
        <v>998868288.36298752</v>
      </c>
      <c r="P245" s="19">
        <f t="shared" si="18"/>
        <v>-1131711.6370124817</v>
      </c>
      <c r="Q245" s="19">
        <f t="shared" si="19"/>
        <v>1131711.6370124817</v>
      </c>
      <c r="R245" s="19">
        <f t="shared" si="20"/>
        <v>1.1317116370124818</v>
      </c>
      <c r="Y245" s="29"/>
    </row>
    <row r="246" spans="9:25" x14ac:dyDescent="0.3">
      <c r="I246">
        <v>242</v>
      </c>
      <c r="J246" s="19">
        <f>$B$5*Data!F244/Data!F243</f>
        <v>197620850.97161427</v>
      </c>
      <c r="K246" s="19">
        <f>$B$6*Data!I244/Data!I243</f>
        <v>199257994.5499357</v>
      </c>
      <c r="L246" s="19">
        <f>$B$7*Data!L244/Data!L243</f>
        <v>198233306.84929049</v>
      </c>
      <c r="M246" s="19">
        <f>$B$8*Data!O244/Data!O243</f>
        <v>197662031.65962362</v>
      </c>
      <c r="N246" s="19">
        <f>$B$9*Data!R244/Data!R243</f>
        <v>198801980.52545488</v>
      </c>
      <c r="O246" s="19">
        <f t="shared" si="21"/>
        <v>991576164.55591893</v>
      </c>
      <c r="P246" s="19">
        <f t="shared" si="18"/>
        <v>-8423835.444081068</v>
      </c>
      <c r="Q246" s="19">
        <f t="shared" si="19"/>
        <v>8423835.444081068</v>
      </c>
      <c r="R246" s="19">
        <f t="shared" si="20"/>
        <v>8.4238354440810674</v>
      </c>
      <c r="Y246" s="29"/>
    </row>
    <row r="247" spans="9:25" x14ac:dyDescent="0.3">
      <c r="I247">
        <v>243</v>
      </c>
      <c r="J247" s="19">
        <f>$B$5*Data!F245/Data!F244</f>
        <v>198239258.02427918</v>
      </c>
      <c r="K247" s="19">
        <f>$B$6*Data!I245/Data!I244</f>
        <v>197162826.22358605</v>
      </c>
      <c r="L247" s="19">
        <f>$B$7*Data!L245/Data!L244</f>
        <v>197787478.66934171</v>
      </c>
      <c r="M247" s="19">
        <f>$B$8*Data!O245/Data!O244</f>
        <v>198288766.73250526</v>
      </c>
      <c r="N247" s="19">
        <f>$B$9*Data!R245/Data!R244</f>
        <v>198888881.27368358</v>
      </c>
      <c r="O247" s="19">
        <f t="shared" si="21"/>
        <v>990367210.92339563</v>
      </c>
      <c r="P247" s="19">
        <f t="shared" si="18"/>
        <v>-9632789.0766043663</v>
      </c>
      <c r="Q247" s="19">
        <f t="shared" si="19"/>
        <v>9632789.0766043663</v>
      </c>
      <c r="R247" s="19">
        <f t="shared" si="20"/>
        <v>9.6327890766043662</v>
      </c>
      <c r="Y247" s="29"/>
    </row>
    <row r="248" spans="9:25" x14ac:dyDescent="0.3">
      <c r="I248">
        <v>244</v>
      </c>
      <c r="J248" s="19">
        <f>$B$5*Data!F246/Data!F245</f>
        <v>199560025.22091591</v>
      </c>
      <c r="K248" s="19">
        <f>$B$6*Data!I246/Data!I245</f>
        <v>198580242.83602703</v>
      </c>
      <c r="L248" s="19">
        <f>$B$7*Data!L246/Data!L245</f>
        <v>200156194.22159252</v>
      </c>
      <c r="M248" s="19">
        <f>$B$8*Data!O246/Data!O245</f>
        <v>199629901.00894827</v>
      </c>
      <c r="N248" s="19">
        <f>$B$9*Data!R246/Data!R245</f>
        <v>199259074.21524498</v>
      </c>
      <c r="O248" s="19">
        <f t="shared" ref="O248:O311" si="22">SUM(J248:N248)</f>
        <v>997185437.5027287</v>
      </c>
      <c r="P248" s="19">
        <f t="shared" si="18"/>
        <v>-2814562.4972712994</v>
      </c>
      <c r="Q248" s="19">
        <f t="shared" si="19"/>
        <v>2814562.4972712994</v>
      </c>
      <c r="R248" s="19">
        <f t="shared" si="20"/>
        <v>2.8145624972712993</v>
      </c>
      <c r="Y248" s="29"/>
    </row>
    <row r="249" spans="9:25" x14ac:dyDescent="0.3">
      <c r="I249">
        <v>245</v>
      </c>
      <c r="J249" s="19">
        <f>$B$5*Data!F247/Data!F246</f>
        <v>198052289.71037054</v>
      </c>
      <c r="K249" s="19">
        <f>$B$6*Data!I247/Data!I246</f>
        <v>199416789.21899262</v>
      </c>
      <c r="L249" s="19">
        <f>$B$7*Data!L247/Data!L246</f>
        <v>197535500.3469938</v>
      </c>
      <c r="M249" s="19">
        <f>$B$8*Data!O247/Data!O246</f>
        <v>197572134.16494769</v>
      </c>
      <c r="N249" s="19">
        <f>$B$9*Data!R247/Data!R246</f>
        <v>197256089.12990919</v>
      </c>
      <c r="O249" s="19">
        <f t="shared" si="22"/>
        <v>989832802.57121384</v>
      </c>
      <c r="P249" s="19">
        <f t="shared" si="18"/>
        <v>-10167197.428786159</v>
      </c>
      <c r="Q249" s="19">
        <f t="shared" si="19"/>
        <v>10167197.428786159</v>
      </c>
      <c r="R249" s="19">
        <f t="shared" si="20"/>
        <v>10.167197428786158</v>
      </c>
      <c r="Y249" s="29"/>
    </row>
    <row r="250" spans="9:25" x14ac:dyDescent="0.3">
      <c r="I250">
        <v>246</v>
      </c>
      <c r="J250" s="19">
        <f>$B$5*Data!F248/Data!F247</f>
        <v>197883122.86905497</v>
      </c>
      <c r="K250" s="19">
        <f>$B$6*Data!I248/Data!I247</f>
        <v>197455233.16343471</v>
      </c>
      <c r="L250" s="19">
        <f>$B$7*Data!L248/Data!L247</f>
        <v>198051908.23542953</v>
      </c>
      <c r="M250" s="19">
        <f>$B$8*Data!O248/Data!O247</f>
        <v>198299301.05208653</v>
      </c>
      <c r="N250" s="19">
        <f>$B$9*Data!R248/Data!R247</f>
        <v>200566247.45823762</v>
      </c>
      <c r="O250" s="19">
        <f t="shared" si="22"/>
        <v>992255812.7782433</v>
      </c>
      <c r="P250" s="19">
        <f t="shared" si="18"/>
        <v>-7744187.2217566967</v>
      </c>
      <c r="Q250" s="19">
        <f t="shared" si="19"/>
        <v>7744187.2217566967</v>
      </c>
      <c r="R250" s="19">
        <f t="shared" si="20"/>
        <v>7.7441872217566967</v>
      </c>
      <c r="Y250" s="29"/>
    </row>
    <row r="251" spans="9:25" x14ac:dyDescent="0.3">
      <c r="I251">
        <v>247</v>
      </c>
      <c r="J251" s="19">
        <f>$B$5*Data!F249/Data!F248</f>
        <v>203701814.78604212</v>
      </c>
      <c r="K251" s="19">
        <f>$B$6*Data!I249/Data!I248</f>
        <v>198119547.1295785</v>
      </c>
      <c r="L251" s="19">
        <f>$B$7*Data!L249/Data!L248</f>
        <v>206203739.39777625</v>
      </c>
      <c r="M251" s="19">
        <f>$B$8*Data!O249/Data!O248</f>
        <v>204237355.87286985</v>
      </c>
      <c r="N251" s="19">
        <f>$B$9*Data!R249/Data!R248</f>
        <v>201920894.58904999</v>
      </c>
      <c r="O251" s="19">
        <f t="shared" si="22"/>
        <v>1014183351.7753167</v>
      </c>
      <c r="P251" s="19">
        <f t="shared" si="18"/>
        <v>14183351.775316715</v>
      </c>
      <c r="Q251" s="19">
        <f t="shared" si="19"/>
        <v>-14183351.775316715</v>
      </c>
      <c r="R251" s="19">
        <f t="shared" si="20"/>
        <v>-14.183351775316716</v>
      </c>
      <c r="Y251" s="29"/>
    </row>
    <row r="252" spans="9:25" x14ac:dyDescent="0.3">
      <c r="I252">
        <v>248</v>
      </c>
      <c r="J252" s="19">
        <f>$B$5*Data!F250/Data!F249</f>
        <v>200669191.1924848</v>
      </c>
      <c r="K252" s="19">
        <f>$B$6*Data!I250/Data!I249</f>
        <v>204644267.00957963</v>
      </c>
      <c r="L252" s="19">
        <f>$B$7*Data!L250/Data!L249</f>
        <v>200519373.05596665</v>
      </c>
      <c r="M252" s="19">
        <f>$B$8*Data!O250/Data!O249</f>
        <v>200673204.87192258</v>
      </c>
      <c r="N252" s="19">
        <f>$B$9*Data!R250/Data!R249</f>
        <v>200442598.94293508</v>
      </c>
      <c r="O252" s="19">
        <f t="shared" si="22"/>
        <v>1006948635.0728887</v>
      </c>
      <c r="P252" s="19">
        <f t="shared" si="18"/>
        <v>6948635.072888732</v>
      </c>
      <c r="Q252" s="19">
        <f t="shared" si="19"/>
        <v>-6948635.072888732</v>
      </c>
      <c r="R252" s="19">
        <f t="shared" si="20"/>
        <v>-6.9486350728887318</v>
      </c>
      <c r="Y252" s="29"/>
    </row>
    <row r="253" spans="9:25" x14ac:dyDescent="0.3">
      <c r="I253">
        <v>249</v>
      </c>
      <c r="J253" s="19">
        <f>$B$5*Data!F251/Data!F250</f>
        <v>202453265.7926375</v>
      </c>
      <c r="K253" s="19">
        <f>$B$6*Data!I251/Data!I250</f>
        <v>200902029.54909462</v>
      </c>
      <c r="L253" s="19">
        <f>$B$7*Data!L251/Data!L250</f>
        <v>202453063.52138412</v>
      </c>
      <c r="M253" s="19">
        <f>$B$8*Data!O251/Data!O250</f>
        <v>202483565.37189999</v>
      </c>
      <c r="N253" s="19">
        <f>$B$9*Data!R251/Data!R250</f>
        <v>201442037.09405059</v>
      </c>
      <c r="O253" s="19">
        <f t="shared" si="22"/>
        <v>1009733961.3290668</v>
      </c>
      <c r="P253" s="19">
        <f t="shared" si="18"/>
        <v>9733961.3290667534</v>
      </c>
      <c r="Q253" s="19">
        <f t="shared" si="19"/>
        <v>-9733961.3290667534</v>
      </c>
      <c r="R253" s="19">
        <f t="shared" si="20"/>
        <v>-9.7339613290667533</v>
      </c>
      <c r="Y253" s="29"/>
    </row>
    <row r="254" spans="9:25" x14ac:dyDescent="0.3">
      <c r="I254">
        <v>250</v>
      </c>
      <c r="J254" s="19">
        <f>$B$5*Data!F252/Data!F251</f>
        <v>200618919.73410502</v>
      </c>
      <c r="K254" s="19">
        <f>$B$6*Data!I252/Data!I251</f>
        <v>202443178.98415464</v>
      </c>
      <c r="L254" s="19">
        <f>$B$7*Data!L252/Data!L251</f>
        <v>202791137.52547914</v>
      </c>
      <c r="M254" s="19">
        <f>$B$8*Data!O252/Data!O251</f>
        <v>200275431.98465827</v>
      </c>
      <c r="N254" s="19">
        <f>$B$9*Data!R252/Data!R251</f>
        <v>200537007.87252811</v>
      </c>
      <c r="O254" s="19">
        <f t="shared" si="22"/>
        <v>1006665676.1009252</v>
      </c>
      <c r="P254" s="19">
        <f t="shared" si="18"/>
        <v>6665676.1009252071</v>
      </c>
      <c r="Q254" s="19">
        <f t="shared" si="19"/>
        <v>-6665676.1009252071</v>
      </c>
      <c r="R254" s="19">
        <f t="shared" si="20"/>
        <v>-6.6656761009252072</v>
      </c>
      <c r="Y254" s="29"/>
    </row>
    <row r="255" spans="9:25" x14ac:dyDescent="0.3">
      <c r="I255">
        <v>251</v>
      </c>
      <c r="J255" s="19">
        <f>$B$5*Data!F253/Data!F252</f>
        <v>205364880.1542418</v>
      </c>
      <c r="K255" s="19">
        <f>$B$6*Data!I253/Data!I252</f>
        <v>200137444.5975666</v>
      </c>
      <c r="L255" s="19">
        <f>$B$7*Data!L253/Data!L252</f>
        <v>209608573.58644429</v>
      </c>
      <c r="M255" s="19">
        <f>$B$8*Data!O253/Data!O252</f>
        <v>205995498.58538139</v>
      </c>
      <c r="N255" s="19">
        <f>$B$9*Data!R253/Data!R252</f>
        <v>199233861.06890061</v>
      </c>
      <c r="O255" s="19">
        <f t="shared" si="22"/>
        <v>1020340257.9925346</v>
      </c>
      <c r="P255" s="19">
        <f t="shared" si="18"/>
        <v>20340257.992534637</v>
      </c>
      <c r="Q255" s="19">
        <f t="shared" si="19"/>
        <v>-20340257.992534637</v>
      </c>
      <c r="R255" s="19">
        <f t="shared" si="20"/>
        <v>-20.340257992534639</v>
      </c>
      <c r="Y255" s="29"/>
    </row>
    <row r="256" spans="9:25" x14ac:dyDescent="0.3">
      <c r="I256">
        <v>252</v>
      </c>
      <c r="J256" s="19">
        <f>$B$5*Data!F254/Data!F253</f>
        <v>196759786.97829327</v>
      </c>
      <c r="K256" s="19">
        <f>$B$6*Data!I254/Data!I253</f>
        <v>206753939.71508443</v>
      </c>
      <c r="L256" s="19">
        <f>$B$7*Data!L254/Data!L253</f>
        <v>195220880.43797654</v>
      </c>
      <c r="M256" s="19">
        <f>$B$8*Data!O254/Data!O253</f>
        <v>196093298.23153603</v>
      </c>
      <c r="N256" s="19">
        <f>$B$9*Data!R254/Data!R253</f>
        <v>197936269.27144727</v>
      </c>
      <c r="O256" s="19">
        <f t="shared" si="22"/>
        <v>992764174.63433766</v>
      </c>
      <c r="P256" s="19">
        <f t="shared" si="18"/>
        <v>-7235825.3656623363</v>
      </c>
      <c r="Q256" s="19">
        <f t="shared" si="19"/>
        <v>7235825.3656623363</v>
      </c>
      <c r="R256" s="19">
        <f t="shared" si="20"/>
        <v>7.2358253656623361</v>
      </c>
      <c r="Y256" s="29"/>
    </row>
    <row r="257" spans="9:25" x14ac:dyDescent="0.3">
      <c r="I257">
        <v>253</v>
      </c>
      <c r="J257" s="19">
        <f>$B$5*Data!F255/Data!F254</f>
        <v>199124745.71279463</v>
      </c>
      <c r="K257" s="19">
        <f>$B$6*Data!I255/Data!I254</f>
        <v>195817586.40225387</v>
      </c>
      <c r="L257" s="19">
        <f>$B$7*Data!L255/Data!L254</f>
        <v>197052088.44545886</v>
      </c>
      <c r="M257" s="19">
        <f>$B$8*Data!O255/Data!O254</f>
        <v>199555379.14733204</v>
      </c>
      <c r="N257" s="19">
        <f>$B$9*Data!R255/Data!R254</f>
        <v>198979958.41952193</v>
      </c>
      <c r="O257" s="19">
        <f t="shared" si="22"/>
        <v>990529758.12736142</v>
      </c>
      <c r="P257" s="19">
        <f t="shared" si="18"/>
        <v>-9470241.8726385832</v>
      </c>
      <c r="Q257" s="19">
        <f t="shared" si="19"/>
        <v>9470241.8726385832</v>
      </c>
      <c r="R257" s="19">
        <f t="shared" si="20"/>
        <v>9.4702418726385833</v>
      </c>
      <c r="Y257" s="29"/>
    </row>
    <row r="258" spans="9:25" x14ac:dyDescent="0.3">
      <c r="I258">
        <v>254</v>
      </c>
      <c r="J258" s="19">
        <f>$B$5*Data!F256/Data!F255</f>
        <v>203690951.68506068</v>
      </c>
      <c r="K258" s="19">
        <f>$B$6*Data!I256/Data!I255</f>
        <v>200374619.15374991</v>
      </c>
      <c r="L258" s="19">
        <f>$B$7*Data!L256/Data!L255</f>
        <v>206274045.46393353</v>
      </c>
      <c r="M258" s="19">
        <f>$B$8*Data!O256/Data!O255</f>
        <v>204109002.65538308</v>
      </c>
      <c r="N258" s="19">
        <f>$B$9*Data!R256/Data!R255</f>
        <v>201028628.9617455</v>
      </c>
      <c r="O258" s="19">
        <f t="shared" si="22"/>
        <v>1015477247.9198728</v>
      </c>
      <c r="P258" s="19">
        <f t="shared" si="18"/>
        <v>15477247.919872761</v>
      </c>
      <c r="Q258" s="19">
        <f t="shared" si="19"/>
        <v>-15477247.919872761</v>
      </c>
      <c r="R258" s="19">
        <f t="shared" si="20"/>
        <v>-15.477247919872761</v>
      </c>
      <c r="Y258" s="29"/>
    </row>
    <row r="259" spans="9:25" x14ac:dyDescent="0.3">
      <c r="I259">
        <v>255</v>
      </c>
      <c r="J259" s="19">
        <f>$B$5*Data!F257/Data!F256</f>
        <v>201370920.65937895</v>
      </c>
      <c r="K259" s="19">
        <f>$B$6*Data!I257/Data!I256</f>
        <v>204159940.70632389</v>
      </c>
      <c r="L259" s="19">
        <f>$B$7*Data!L257/Data!L256</f>
        <v>201336071.05753782</v>
      </c>
      <c r="M259" s="19">
        <f>$B$8*Data!O257/Data!O256</f>
        <v>201992041.8809458</v>
      </c>
      <c r="N259" s="19">
        <f>$B$9*Data!R257/Data!R256</f>
        <v>201697111.83843026</v>
      </c>
      <c r="O259" s="19">
        <f t="shared" si="22"/>
        <v>1010556086.1426167</v>
      </c>
      <c r="P259" s="19">
        <f t="shared" si="18"/>
        <v>10556086.142616749</v>
      </c>
      <c r="Q259" s="19">
        <f t="shared" si="19"/>
        <v>-10556086.142616749</v>
      </c>
      <c r="R259" s="19">
        <f t="shared" si="20"/>
        <v>-10.556086142616749</v>
      </c>
      <c r="Y259" s="29"/>
    </row>
    <row r="260" spans="9:25" x14ac:dyDescent="0.3">
      <c r="I260">
        <v>256</v>
      </c>
      <c r="J260" s="19">
        <f>$B$5*Data!F258/Data!F257</f>
        <v>200239864.99742672</v>
      </c>
      <c r="K260" s="19">
        <f>$B$6*Data!I258/Data!I257</f>
        <v>202418012.41483417</v>
      </c>
      <c r="L260" s="19">
        <f>$B$7*Data!L258/Data!L257</f>
        <v>201517371.35757729</v>
      </c>
      <c r="M260" s="19">
        <f>$B$8*Data!O258/Data!O257</f>
        <v>199950765.42280015</v>
      </c>
      <c r="N260" s="19">
        <f>$B$9*Data!R258/Data!R257</f>
        <v>199068799.87372592</v>
      </c>
      <c r="O260" s="19">
        <f t="shared" si="22"/>
        <v>1003194814.0663643</v>
      </c>
      <c r="P260" s="19">
        <f t="shared" si="18"/>
        <v>3194814.0663642883</v>
      </c>
      <c r="Q260" s="19">
        <f t="shared" si="19"/>
        <v>-3194814.0663642883</v>
      </c>
      <c r="R260" s="19">
        <f t="shared" si="20"/>
        <v>-3.1948140663642883</v>
      </c>
      <c r="Y260" s="29"/>
    </row>
    <row r="261" spans="9:25" x14ac:dyDescent="0.3">
      <c r="I261">
        <v>257</v>
      </c>
      <c r="J261" s="19">
        <f>$B$5*Data!F259/Data!F258</f>
        <v>199804360.33579037</v>
      </c>
      <c r="K261" s="19">
        <f>$B$6*Data!I259/Data!I258</f>
        <v>199249840.14142242</v>
      </c>
      <c r="L261" s="19">
        <f>$B$7*Data!L259/Data!L258</f>
        <v>200467161.74181706</v>
      </c>
      <c r="M261" s="19">
        <f>$B$8*Data!O259/Data!O258</f>
        <v>199935552.17969766</v>
      </c>
      <c r="N261" s="19">
        <f>$B$9*Data!R259/Data!R258</f>
        <v>198335052.39768663</v>
      </c>
      <c r="O261" s="19">
        <f t="shared" si="22"/>
        <v>997791966.79641414</v>
      </c>
      <c r="P261" s="19">
        <f t="shared" si="18"/>
        <v>-2208033.2035858631</v>
      </c>
      <c r="Q261" s="19">
        <f t="shared" si="19"/>
        <v>2208033.2035858631</v>
      </c>
      <c r="R261" s="19">
        <f t="shared" si="20"/>
        <v>2.2080332035858632</v>
      </c>
      <c r="Y261" s="29"/>
    </row>
    <row r="262" spans="9:25" x14ac:dyDescent="0.3">
      <c r="I262">
        <v>258</v>
      </c>
      <c r="J262" s="19">
        <f>$B$5*Data!F260/Data!F259</f>
        <v>205818644.15093186</v>
      </c>
      <c r="K262" s="19">
        <f>$B$6*Data!I260/Data!I259</f>
        <v>206767388.26138413</v>
      </c>
      <c r="L262" s="19">
        <f>$B$7*Data!L260/Data!L259</f>
        <v>210285146.68929899</v>
      </c>
      <c r="M262" s="19">
        <f>$B$8*Data!O260/Data!O259</f>
        <v>207183351.4580301</v>
      </c>
      <c r="N262" s="19">
        <f>$B$9*Data!R260/Data!R259</f>
        <v>202207587.58832362</v>
      </c>
      <c r="O262" s="19">
        <f t="shared" si="22"/>
        <v>1032262118.1479686</v>
      </c>
      <c r="P262" s="19">
        <f t="shared" ref="P262:P319" si="23">O262-$B$10</f>
        <v>32262118.14796865</v>
      </c>
      <c r="Q262" s="19">
        <f t="shared" ref="Q262:Q319" si="24">-P262</f>
        <v>-32262118.14796865</v>
      </c>
      <c r="R262" s="19">
        <f t="shared" ref="R262:R319" si="25">Q262/1000000</f>
        <v>-32.26211814796865</v>
      </c>
      <c r="Y262" s="29"/>
    </row>
    <row r="263" spans="9:25" x14ac:dyDescent="0.3">
      <c r="I263">
        <v>259</v>
      </c>
      <c r="J263" s="19">
        <f>$B$5*Data!F261/Data!F260</f>
        <v>198157308.93575895</v>
      </c>
      <c r="K263" s="19">
        <f>$B$6*Data!I261/Data!I260</f>
        <v>197967434.730221</v>
      </c>
      <c r="L263" s="19">
        <f>$B$7*Data!L261/Data!L260</f>
        <v>198116944.6763328</v>
      </c>
      <c r="M263" s="19">
        <f>$B$8*Data!O261/Data!O260</f>
        <v>197988543.77974796</v>
      </c>
      <c r="N263" s="19">
        <f>$B$9*Data!R261/Data!R260</f>
        <v>198238437.64882606</v>
      </c>
      <c r="O263" s="19">
        <f t="shared" si="22"/>
        <v>990468669.7708869</v>
      </c>
      <c r="P263" s="19">
        <f t="shared" si="23"/>
        <v>-9531330.229113102</v>
      </c>
      <c r="Q263" s="19">
        <f t="shared" si="24"/>
        <v>9531330.229113102</v>
      </c>
      <c r="R263" s="19">
        <f t="shared" si="25"/>
        <v>9.5313302291131023</v>
      </c>
      <c r="Y263" s="29"/>
    </row>
    <row r="264" spans="9:25" x14ac:dyDescent="0.3">
      <c r="I264">
        <v>260</v>
      </c>
      <c r="J264" s="19">
        <f>$B$5*Data!F262/Data!F261</f>
        <v>202862523.90555137</v>
      </c>
      <c r="K264" s="19">
        <f>$B$6*Data!I262/Data!I261</f>
        <v>202658426.58412126</v>
      </c>
      <c r="L264" s="19">
        <f>$B$7*Data!L262/Data!L261</f>
        <v>205242991.27719504</v>
      </c>
      <c r="M264" s="19">
        <f>$B$8*Data!O262/Data!O261</f>
        <v>203282430.25182512</v>
      </c>
      <c r="N264" s="19">
        <f>$B$9*Data!R262/Data!R261</f>
        <v>202507166.97771782</v>
      </c>
      <c r="O264" s="19">
        <f t="shared" si="22"/>
        <v>1016553538.9964106</v>
      </c>
      <c r="P264" s="19">
        <f t="shared" si="23"/>
        <v>16553538.996410608</v>
      </c>
      <c r="Q264" s="19">
        <f t="shared" si="24"/>
        <v>-16553538.996410608</v>
      </c>
      <c r="R264" s="19">
        <f t="shared" si="25"/>
        <v>-16.553538996410609</v>
      </c>
      <c r="Y264" s="29"/>
    </row>
    <row r="265" spans="9:25" x14ac:dyDescent="0.3">
      <c r="I265">
        <v>261</v>
      </c>
      <c r="J265" s="19">
        <f>$B$5*Data!F263/Data!F262</f>
        <v>202204284.79343536</v>
      </c>
      <c r="K265" s="19">
        <f>$B$6*Data!I263/Data!I262</f>
        <v>202108877.693459</v>
      </c>
      <c r="L265" s="19">
        <f>$B$7*Data!L263/Data!L262</f>
        <v>203483718.50477695</v>
      </c>
      <c r="M265" s="19">
        <f>$B$8*Data!O263/Data!O262</f>
        <v>202325605.57621786</v>
      </c>
      <c r="N265" s="19">
        <f>$B$9*Data!R263/Data!R262</f>
        <v>200572725.23698795</v>
      </c>
      <c r="O265" s="19">
        <f t="shared" si="22"/>
        <v>1010695211.8048772</v>
      </c>
      <c r="P265" s="19">
        <f t="shared" si="23"/>
        <v>10695211.804877162</v>
      </c>
      <c r="Q265" s="19">
        <f t="shared" si="24"/>
        <v>-10695211.804877162</v>
      </c>
      <c r="R265" s="19">
        <f t="shared" si="25"/>
        <v>-10.695211804877163</v>
      </c>
      <c r="Y265" s="29"/>
    </row>
    <row r="266" spans="9:25" x14ac:dyDescent="0.3">
      <c r="I266">
        <v>262</v>
      </c>
      <c r="J266" s="19">
        <f>$B$5*Data!F264/Data!F263</f>
        <v>203728353.44813737</v>
      </c>
      <c r="K266" s="19">
        <f>$B$6*Data!I264/Data!I263</f>
        <v>204411506.8508493</v>
      </c>
      <c r="L266" s="19">
        <f>$B$7*Data!L264/Data!L263</f>
        <v>205345948.83610111</v>
      </c>
      <c r="M266" s="19">
        <f>$B$8*Data!O264/Data!O263</f>
        <v>204233790.96136579</v>
      </c>
      <c r="N266" s="19">
        <f>$B$9*Data!R264/Data!R263</f>
        <v>200913616.63010874</v>
      </c>
      <c r="O266" s="19">
        <f t="shared" si="22"/>
        <v>1018633216.7265623</v>
      </c>
      <c r="P266" s="19">
        <f t="shared" si="23"/>
        <v>18633216.726562262</v>
      </c>
      <c r="Q266" s="19">
        <f t="shared" si="24"/>
        <v>-18633216.726562262</v>
      </c>
      <c r="R266" s="19">
        <f t="shared" si="25"/>
        <v>-18.63321672656226</v>
      </c>
      <c r="Y266" s="29"/>
    </row>
    <row r="267" spans="9:25" x14ac:dyDescent="0.3">
      <c r="I267">
        <v>263</v>
      </c>
      <c r="J267" s="19">
        <f>$B$5*Data!F265/Data!F264</f>
        <v>197810681.38478017</v>
      </c>
      <c r="K267" s="19">
        <f>$B$6*Data!I265/Data!I264</f>
        <v>197423561.04456276</v>
      </c>
      <c r="L267" s="19">
        <f>$B$7*Data!L265/Data!L264</f>
        <v>194461685.99252322</v>
      </c>
      <c r="M267" s="19">
        <f>$B$8*Data!O265/Data!O264</f>
        <v>197301802.89249471</v>
      </c>
      <c r="N267" s="19">
        <f>$B$9*Data!R265/Data!R264</f>
        <v>197824682.78157035</v>
      </c>
      <c r="O267" s="19">
        <f t="shared" si="22"/>
        <v>984822414.09593117</v>
      </c>
      <c r="P267" s="19">
        <f t="shared" si="23"/>
        <v>-15177585.904068828</v>
      </c>
      <c r="Q267" s="19">
        <f t="shared" si="24"/>
        <v>15177585.904068828</v>
      </c>
      <c r="R267" s="19">
        <f t="shared" si="25"/>
        <v>15.177585904068827</v>
      </c>
      <c r="Y267" s="29"/>
    </row>
    <row r="268" spans="9:25" x14ac:dyDescent="0.3">
      <c r="I268">
        <v>264</v>
      </c>
      <c r="J268" s="19">
        <f>$B$5*Data!F266/Data!F265</f>
        <v>205340932.0896886</v>
      </c>
      <c r="K268" s="19">
        <f>$B$6*Data!I266/Data!I265</f>
        <v>204963895.48425928</v>
      </c>
      <c r="L268" s="19">
        <f>$B$7*Data!L266/Data!L265</f>
        <v>205453811.19586781</v>
      </c>
      <c r="M268" s="19">
        <f>$B$8*Data!O266/Data!O265</f>
        <v>205544732.09234467</v>
      </c>
      <c r="N268" s="19">
        <f>$B$9*Data!R266/Data!R265</f>
        <v>204812935.7590732</v>
      </c>
      <c r="O268" s="19">
        <f t="shared" si="22"/>
        <v>1026116306.6212335</v>
      </c>
      <c r="P268" s="19">
        <f t="shared" si="23"/>
        <v>26116306.621233463</v>
      </c>
      <c r="Q268" s="19">
        <f t="shared" si="24"/>
        <v>-26116306.621233463</v>
      </c>
      <c r="R268" s="19">
        <f t="shared" si="25"/>
        <v>-26.116306621233463</v>
      </c>
      <c r="Y268" s="29"/>
    </row>
    <row r="269" spans="9:25" x14ac:dyDescent="0.3">
      <c r="I269">
        <v>265</v>
      </c>
      <c r="J269" s="19">
        <f>$B$5*Data!F267/Data!F266</f>
        <v>199639960.50089887</v>
      </c>
      <c r="K269" s="19">
        <f>$B$6*Data!I267/Data!I266</f>
        <v>199235216.7429738</v>
      </c>
      <c r="L269" s="19">
        <f>$B$7*Data!L267/Data!L266</f>
        <v>198299937.13554347</v>
      </c>
      <c r="M269" s="19">
        <f>$B$8*Data!O267/Data!O266</f>
        <v>198661996.38168055</v>
      </c>
      <c r="N269" s="19">
        <f>$B$9*Data!R267/Data!R266</f>
        <v>198251245.58277979</v>
      </c>
      <c r="O269" s="19">
        <f t="shared" si="22"/>
        <v>994088356.34387648</v>
      </c>
      <c r="P269" s="19">
        <f t="shared" si="23"/>
        <v>-5911643.6561235189</v>
      </c>
      <c r="Q269" s="19">
        <f t="shared" si="24"/>
        <v>5911643.6561235189</v>
      </c>
      <c r="R269" s="19">
        <f t="shared" si="25"/>
        <v>5.9116436561235188</v>
      </c>
      <c r="Y269" s="29"/>
    </row>
    <row r="270" spans="9:25" x14ac:dyDescent="0.3">
      <c r="I270">
        <v>266</v>
      </c>
      <c r="J270" s="19">
        <f>$B$5*Data!F268/Data!F267</f>
        <v>207495826.96822459</v>
      </c>
      <c r="K270" s="19">
        <f>$B$6*Data!I268/Data!I267</f>
        <v>208947036.48789379</v>
      </c>
      <c r="L270" s="19">
        <f>$B$7*Data!L268/Data!L267</f>
        <v>211223075.41181701</v>
      </c>
      <c r="M270" s="19">
        <f>$B$8*Data!O268/Data!O267</f>
        <v>208323543.25926387</v>
      </c>
      <c r="N270" s="19">
        <f>$B$9*Data!R268/Data!R267</f>
        <v>205588858.51101646</v>
      </c>
      <c r="O270" s="19">
        <f t="shared" si="22"/>
        <v>1041578340.6382158</v>
      </c>
      <c r="P270" s="19">
        <f t="shared" si="23"/>
        <v>41578340.63821578</v>
      </c>
      <c r="Q270" s="19">
        <f t="shared" si="24"/>
        <v>-41578340.63821578</v>
      </c>
      <c r="R270" s="19">
        <f t="shared" si="25"/>
        <v>-41.578340638215778</v>
      </c>
      <c r="Y270" s="29"/>
    </row>
    <row r="271" spans="9:25" x14ac:dyDescent="0.3">
      <c r="I271">
        <v>267</v>
      </c>
      <c r="J271" s="19">
        <f>$B$5*Data!F269/Data!F268</f>
        <v>203405321.19338787</v>
      </c>
      <c r="K271" s="19">
        <f>$B$6*Data!I269/Data!I268</f>
        <v>202704003.26948339</v>
      </c>
      <c r="L271" s="19">
        <f>$B$7*Data!L269/Data!L268</f>
        <v>204338070.7231788</v>
      </c>
      <c r="M271" s="19">
        <f>$B$8*Data!O269/Data!O268</f>
        <v>203710648.65362483</v>
      </c>
      <c r="N271" s="19">
        <f>$B$9*Data!R269/Data!R268</f>
        <v>203160702.73276275</v>
      </c>
      <c r="O271" s="19">
        <f t="shared" si="22"/>
        <v>1017318746.5724378</v>
      </c>
      <c r="P271" s="19">
        <f t="shared" si="23"/>
        <v>17318746.572437763</v>
      </c>
      <c r="Q271" s="19">
        <f t="shared" si="24"/>
        <v>-17318746.572437763</v>
      </c>
      <c r="R271" s="19">
        <f t="shared" si="25"/>
        <v>-17.318746572437764</v>
      </c>
      <c r="Y271" s="29"/>
    </row>
    <row r="272" spans="9:25" x14ac:dyDescent="0.3">
      <c r="I272">
        <v>268</v>
      </c>
      <c r="J272" s="19">
        <f>$B$5*Data!F270/Data!F269</f>
        <v>199652295.75512961</v>
      </c>
      <c r="K272" s="19">
        <f>$B$6*Data!I270/Data!I269</f>
        <v>198266138.96603626</v>
      </c>
      <c r="L272" s="19">
        <f>$B$7*Data!L270/Data!L269</f>
        <v>201112478.08264744</v>
      </c>
      <c r="M272" s="19">
        <f>$B$8*Data!O270/Data!O269</f>
        <v>199645549.37352157</v>
      </c>
      <c r="N272" s="19">
        <f>$B$9*Data!R270/Data!R269</f>
        <v>200098329.05778188</v>
      </c>
      <c r="O272" s="19">
        <f t="shared" si="22"/>
        <v>998774791.23511672</v>
      </c>
      <c r="P272" s="19">
        <f t="shared" si="23"/>
        <v>-1225208.7648832798</v>
      </c>
      <c r="Q272" s="19">
        <f t="shared" si="24"/>
        <v>1225208.7648832798</v>
      </c>
      <c r="R272" s="19">
        <f t="shared" si="25"/>
        <v>1.2252087648832799</v>
      </c>
      <c r="Y272" s="29"/>
    </row>
    <row r="273" spans="9:25" x14ac:dyDescent="0.3">
      <c r="I273">
        <v>269</v>
      </c>
      <c r="J273" s="19">
        <f>$B$5*Data!F271/Data!F270</f>
        <v>196816388.90056697</v>
      </c>
      <c r="K273" s="19">
        <f>$B$6*Data!I271/Data!I270</f>
        <v>196509334.58084974</v>
      </c>
      <c r="L273" s="19">
        <f>$B$7*Data!L271/Data!L270</f>
        <v>193945076.22626036</v>
      </c>
      <c r="M273" s="19">
        <f>$B$8*Data!O271/Data!O270</f>
        <v>196696462.82669047</v>
      </c>
      <c r="N273" s="19">
        <f>$B$9*Data!R271/Data!R270</f>
        <v>198791255.04598895</v>
      </c>
      <c r="O273" s="19">
        <f t="shared" si="22"/>
        <v>982758517.58035648</v>
      </c>
      <c r="P273" s="19">
        <f t="shared" si="23"/>
        <v>-17241482.419643521</v>
      </c>
      <c r="Q273" s="19">
        <f t="shared" si="24"/>
        <v>17241482.419643521</v>
      </c>
      <c r="R273" s="19">
        <f t="shared" si="25"/>
        <v>17.241482419643521</v>
      </c>
      <c r="Y273" s="29"/>
    </row>
    <row r="274" spans="9:25" x14ac:dyDescent="0.3">
      <c r="I274">
        <v>270</v>
      </c>
      <c r="J274" s="19">
        <f>$B$5*Data!F272/Data!F271</f>
        <v>208163078.31514448</v>
      </c>
      <c r="K274" s="19">
        <f>$B$6*Data!I272/Data!I271</f>
        <v>208506675.72856095</v>
      </c>
      <c r="L274" s="19">
        <f>$B$7*Data!L272/Data!L271</f>
        <v>213251157.6362727</v>
      </c>
      <c r="M274" s="19">
        <f>$B$8*Data!O272/Data!O271</f>
        <v>208452814.09499234</v>
      </c>
      <c r="N274" s="19">
        <f>$B$9*Data!R272/Data!R271</f>
        <v>203272473.61233279</v>
      </c>
      <c r="O274" s="19">
        <f t="shared" si="22"/>
        <v>1041646199.3873034</v>
      </c>
      <c r="P274" s="19">
        <f t="shared" si="23"/>
        <v>41646199.387303352</v>
      </c>
      <c r="Q274" s="19">
        <f t="shared" si="24"/>
        <v>-41646199.387303352</v>
      </c>
      <c r="R274" s="19">
        <f t="shared" si="25"/>
        <v>-41.646199387303355</v>
      </c>
      <c r="Y274" s="29"/>
    </row>
    <row r="275" spans="9:25" x14ac:dyDescent="0.3">
      <c r="I275">
        <v>271</v>
      </c>
      <c r="J275" s="19">
        <f>$B$5*Data!F273/Data!F272</f>
        <v>198700721.82955751</v>
      </c>
      <c r="K275" s="19">
        <f>$B$6*Data!I273/Data!I272</f>
        <v>198950775.85470283</v>
      </c>
      <c r="L275" s="19">
        <f>$B$7*Data!L273/Data!L272</f>
        <v>197480891.27288124</v>
      </c>
      <c r="M275" s="19">
        <f>$B$8*Data!O273/Data!O272</f>
        <v>198757865.02520454</v>
      </c>
      <c r="N275" s="19">
        <f>$B$9*Data!R273/Data!R272</f>
        <v>199688766.18857592</v>
      </c>
      <c r="O275" s="19">
        <f t="shared" si="22"/>
        <v>993579020.17092204</v>
      </c>
      <c r="P275" s="19">
        <f t="shared" si="23"/>
        <v>-6420979.8290779591</v>
      </c>
      <c r="Q275" s="19">
        <f t="shared" si="24"/>
        <v>6420979.8290779591</v>
      </c>
      <c r="R275" s="19">
        <f t="shared" si="25"/>
        <v>6.4209798290779592</v>
      </c>
      <c r="Y275" s="29"/>
    </row>
    <row r="276" spans="9:25" x14ac:dyDescent="0.3">
      <c r="I276">
        <v>272</v>
      </c>
      <c r="J276" s="19">
        <f>$B$5*Data!F274/Data!F273</f>
        <v>197394915.64140707</v>
      </c>
      <c r="K276" s="19">
        <f>$B$6*Data!I274/Data!I273</f>
        <v>195860970.62685001</v>
      </c>
      <c r="L276" s="19">
        <f>$B$7*Data!L274/Data!L273</f>
        <v>196897141.99907702</v>
      </c>
      <c r="M276" s="19">
        <f>$B$8*Data!O274/Data!O273</f>
        <v>197253053.56283832</v>
      </c>
      <c r="N276" s="19">
        <f>$B$9*Data!R274/Data!R273</f>
        <v>197620406.88278922</v>
      </c>
      <c r="O276" s="19">
        <f t="shared" si="22"/>
        <v>985026488.71296167</v>
      </c>
      <c r="P276" s="19">
        <f t="shared" si="23"/>
        <v>-14973511.287038326</v>
      </c>
      <c r="Q276" s="19">
        <f t="shared" si="24"/>
        <v>14973511.287038326</v>
      </c>
      <c r="R276" s="19">
        <f t="shared" si="25"/>
        <v>14.973511287038326</v>
      </c>
      <c r="Y276" s="29"/>
    </row>
    <row r="277" spans="9:25" x14ac:dyDescent="0.3">
      <c r="I277">
        <v>273</v>
      </c>
      <c r="J277" s="19">
        <f>$B$5*Data!F275/Data!F274</f>
        <v>206540742.82516322</v>
      </c>
      <c r="K277" s="19">
        <f>$B$6*Data!I275/Data!I274</f>
        <v>207840424.40896985</v>
      </c>
      <c r="L277" s="19">
        <f>$B$7*Data!L275/Data!L274</f>
        <v>208942792.58424601</v>
      </c>
      <c r="M277" s="19">
        <f>$B$8*Data!O275/Data!O274</f>
        <v>206905923.60753471</v>
      </c>
      <c r="N277" s="19">
        <f>$B$9*Data!R275/Data!R274</f>
        <v>203391168.81687281</v>
      </c>
      <c r="O277" s="19">
        <f t="shared" si="22"/>
        <v>1033621052.2427866</v>
      </c>
      <c r="P277" s="19">
        <f t="shared" si="23"/>
        <v>33621052.242786646</v>
      </c>
      <c r="Q277" s="19">
        <f t="shared" si="24"/>
        <v>-33621052.242786646</v>
      </c>
      <c r="R277" s="19">
        <f t="shared" si="25"/>
        <v>-33.621052242786647</v>
      </c>
      <c r="Y277" s="29"/>
    </row>
    <row r="278" spans="9:25" x14ac:dyDescent="0.3">
      <c r="I278">
        <v>274</v>
      </c>
      <c r="J278" s="19">
        <f>$B$5*Data!F276/Data!F275</f>
        <v>199324752.09957966</v>
      </c>
      <c r="K278" s="19">
        <f>$B$6*Data!I276/Data!I275</f>
        <v>197989569.1475893</v>
      </c>
      <c r="L278" s="19">
        <f>$B$7*Data!L276/Data!L275</f>
        <v>197466266.59494808</v>
      </c>
      <c r="M278" s="19">
        <f>$B$8*Data!O276/Data!O275</f>
        <v>198584293.6299161</v>
      </c>
      <c r="N278" s="19">
        <f>$B$9*Data!R276/Data!R275</f>
        <v>200123466.15897456</v>
      </c>
      <c r="O278" s="19">
        <f t="shared" si="22"/>
        <v>993488347.63100767</v>
      </c>
      <c r="P278" s="19">
        <f t="shared" si="23"/>
        <v>-6511652.3689923286</v>
      </c>
      <c r="Q278" s="19">
        <f t="shared" si="24"/>
        <v>6511652.3689923286</v>
      </c>
      <c r="R278" s="19">
        <f t="shared" si="25"/>
        <v>6.5116523689923289</v>
      </c>
      <c r="Y278" s="29"/>
    </row>
    <row r="279" spans="9:25" x14ac:dyDescent="0.3">
      <c r="I279">
        <v>275</v>
      </c>
      <c r="J279" s="19">
        <f>$B$5*Data!F277/Data!F276</f>
        <v>193425964.0114941</v>
      </c>
      <c r="K279" s="19">
        <f>$B$6*Data!I277/Data!I276</f>
        <v>192634577.75732693</v>
      </c>
      <c r="L279" s="19">
        <f>$B$7*Data!L277/Data!L276</f>
        <v>189338080.70094347</v>
      </c>
      <c r="M279" s="19">
        <f>$B$8*Data!O277/Data!O276</f>
        <v>192715758.47937477</v>
      </c>
      <c r="N279" s="19">
        <f>$B$9*Data!R277/Data!R276</f>
        <v>195913584.9048892</v>
      </c>
      <c r="O279" s="19">
        <f t="shared" si="22"/>
        <v>964027965.85402846</v>
      </c>
      <c r="P279" s="19">
        <f t="shared" si="23"/>
        <v>-35972034.145971537</v>
      </c>
      <c r="Q279" s="19">
        <f t="shared" si="24"/>
        <v>35972034.145971537</v>
      </c>
      <c r="R279" s="19">
        <f t="shared" si="25"/>
        <v>35.972034145971534</v>
      </c>
      <c r="Y279" s="29"/>
    </row>
    <row r="280" spans="9:25" x14ac:dyDescent="0.3">
      <c r="I280">
        <v>276</v>
      </c>
      <c r="J280" s="19">
        <f>$B$5*Data!F278/Data!F277</f>
        <v>200604912.71953663</v>
      </c>
      <c r="K280" s="19">
        <f>$B$6*Data!I278/Data!I277</f>
        <v>200427873.47646958</v>
      </c>
      <c r="L280" s="19">
        <f>$B$7*Data!L278/Data!L277</f>
        <v>198878899.03544423</v>
      </c>
      <c r="M280" s="19">
        <f>$B$8*Data!O278/Data!O277</f>
        <v>200092284.73577645</v>
      </c>
      <c r="N280" s="19">
        <f>$B$9*Data!R278/Data!R277</f>
        <v>200287947.80204722</v>
      </c>
      <c r="O280" s="19">
        <f t="shared" si="22"/>
        <v>1000291917.7692741</v>
      </c>
      <c r="P280" s="19">
        <f t="shared" si="23"/>
        <v>291917.76927411556</v>
      </c>
      <c r="Q280" s="19">
        <f t="shared" si="24"/>
        <v>-291917.76927411556</v>
      </c>
      <c r="R280" s="19">
        <f t="shared" si="25"/>
        <v>-0.29191776927411556</v>
      </c>
      <c r="Y280" s="29"/>
    </row>
    <row r="281" spans="9:25" x14ac:dyDescent="0.3">
      <c r="I281">
        <v>277</v>
      </c>
      <c r="J281" s="19">
        <f>$B$5*Data!F279/Data!F278</f>
        <v>199577864.77310491</v>
      </c>
      <c r="K281" s="19">
        <f>$B$6*Data!I279/Data!I278</f>
        <v>199099269.44025949</v>
      </c>
      <c r="L281" s="19">
        <f>$B$7*Data!L279/Data!L278</f>
        <v>200131017.39844313</v>
      </c>
      <c r="M281" s="19">
        <f>$B$8*Data!O279/Data!O278</f>
        <v>198897683.46614605</v>
      </c>
      <c r="N281" s="19">
        <f>$B$9*Data!R279/Data!R278</f>
        <v>199644804.69428849</v>
      </c>
      <c r="O281" s="19">
        <f t="shared" si="22"/>
        <v>997350639.77224207</v>
      </c>
      <c r="P281" s="19">
        <f t="shared" si="23"/>
        <v>-2649360.2277579308</v>
      </c>
      <c r="Q281" s="19">
        <f t="shared" si="24"/>
        <v>2649360.2277579308</v>
      </c>
      <c r="R281" s="19">
        <f t="shared" si="25"/>
        <v>2.6493602277579309</v>
      </c>
      <c r="Y281" s="29"/>
    </row>
    <row r="282" spans="9:25" x14ac:dyDescent="0.3">
      <c r="I282">
        <v>278</v>
      </c>
      <c r="J282" s="19">
        <f>$B$5*Data!F280/Data!F279</f>
        <v>205706320.07055998</v>
      </c>
      <c r="K282" s="19">
        <f>$B$6*Data!I280/Data!I279</f>
        <v>206019036.32910529</v>
      </c>
      <c r="L282" s="19">
        <f>$B$7*Data!L280/Data!L279</f>
        <v>208050331.54630032</v>
      </c>
      <c r="M282" s="19">
        <f>$B$8*Data!O280/Data!O279</f>
        <v>206303158.38535568</v>
      </c>
      <c r="N282" s="19">
        <f>$B$9*Data!R280/Data!R279</f>
        <v>202591958.68556371</v>
      </c>
      <c r="O282" s="19">
        <f t="shared" si="22"/>
        <v>1028670805.0168849</v>
      </c>
      <c r="P282" s="19">
        <f t="shared" si="23"/>
        <v>28670805.016884923</v>
      </c>
      <c r="Q282" s="19">
        <f t="shared" si="24"/>
        <v>-28670805.016884923</v>
      </c>
      <c r="R282" s="19">
        <f t="shared" si="25"/>
        <v>-28.670805016884923</v>
      </c>
      <c r="Y282" s="29"/>
    </row>
    <row r="283" spans="9:25" x14ac:dyDescent="0.3">
      <c r="I283">
        <v>279</v>
      </c>
      <c r="J283" s="19">
        <f>$B$5*Data!F281/Data!F280</f>
        <v>206541751.20360532</v>
      </c>
      <c r="K283" s="19">
        <f>$B$6*Data!I281/Data!I280</f>
        <v>207902575.88056561</v>
      </c>
      <c r="L283" s="19">
        <f>$B$7*Data!L281/Data!L280</f>
        <v>210764022.1105729</v>
      </c>
      <c r="M283" s="19">
        <f>$B$8*Data!O281/Data!O280</f>
        <v>207098394.91720033</v>
      </c>
      <c r="N283" s="19">
        <f>$B$9*Data!R281/Data!R280</f>
        <v>202813344.27762383</v>
      </c>
      <c r="O283" s="19">
        <f t="shared" si="22"/>
        <v>1035120088.3895681</v>
      </c>
      <c r="P283" s="19">
        <f t="shared" si="23"/>
        <v>35120088.38956809</v>
      </c>
      <c r="Q283" s="19">
        <f t="shared" si="24"/>
        <v>-35120088.38956809</v>
      </c>
      <c r="R283" s="19">
        <f t="shared" si="25"/>
        <v>-35.120088389568089</v>
      </c>
      <c r="Y283" s="29"/>
    </row>
    <row r="284" spans="9:25" x14ac:dyDescent="0.3">
      <c r="I284">
        <v>280</v>
      </c>
      <c r="J284" s="19">
        <f>$B$5*Data!F282/Data!F281</f>
        <v>198910149.9880586</v>
      </c>
      <c r="K284" s="19">
        <f>$B$6*Data!I282/Data!I281</f>
        <v>199302167.17126948</v>
      </c>
      <c r="L284" s="19">
        <f>$B$7*Data!L282/Data!L281</f>
        <v>199013593.09213623</v>
      </c>
      <c r="M284" s="19">
        <f>$B$8*Data!O282/Data!O281</f>
        <v>199507836.67826691</v>
      </c>
      <c r="N284" s="19">
        <f>$B$9*Data!R282/Data!R281</f>
        <v>200859600.87588993</v>
      </c>
      <c r="O284" s="19">
        <f t="shared" si="22"/>
        <v>997593347.80562115</v>
      </c>
      <c r="P284" s="19">
        <f t="shared" si="23"/>
        <v>-2406652.1943788528</v>
      </c>
      <c r="Q284" s="19">
        <f t="shared" si="24"/>
        <v>2406652.1943788528</v>
      </c>
      <c r="R284" s="19">
        <f t="shared" si="25"/>
        <v>2.4066521943788528</v>
      </c>
      <c r="Y284" s="29"/>
    </row>
    <row r="285" spans="9:25" x14ac:dyDescent="0.3">
      <c r="I285">
        <v>281</v>
      </c>
      <c r="J285" s="19">
        <f>$B$5*Data!F283/Data!F282</f>
        <v>196346829.65195218</v>
      </c>
      <c r="K285" s="19">
        <f>$B$6*Data!I283/Data!I282</f>
        <v>195792120.92772698</v>
      </c>
      <c r="L285" s="19">
        <f>$B$7*Data!L283/Data!L282</f>
        <v>195009075.13317919</v>
      </c>
      <c r="M285" s="19">
        <f>$B$8*Data!O283/Data!O282</f>
        <v>195801883.99676776</v>
      </c>
      <c r="N285" s="19">
        <f>$B$9*Data!R283/Data!R282</f>
        <v>197661363.44001117</v>
      </c>
      <c r="O285" s="19">
        <f t="shared" si="22"/>
        <v>980611273.14963722</v>
      </c>
      <c r="P285" s="19">
        <f t="shared" si="23"/>
        <v>-19388726.850362778</v>
      </c>
      <c r="Q285" s="19">
        <f t="shared" si="24"/>
        <v>19388726.850362778</v>
      </c>
      <c r="R285" s="19">
        <f t="shared" si="25"/>
        <v>19.388726850362779</v>
      </c>
      <c r="Y285" s="29"/>
    </row>
    <row r="286" spans="9:25" x14ac:dyDescent="0.3">
      <c r="I286">
        <v>282</v>
      </c>
      <c r="J286" s="19">
        <f>$B$5*Data!F284/Data!F283</f>
        <v>199937173.10758743</v>
      </c>
      <c r="K286" s="19">
        <f>$B$6*Data!I284/Data!I283</f>
        <v>200247470.09964663</v>
      </c>
      <c r="L286" s="19">
        <f>$B$7*Data!L284/Data!L283</f>
        <v>202725486.3241497</v>
      </c>
      <c r="M286" s="19">
        <f>$B$8*Data!O284/Data!O283</f>
        <v>200644273.90959123</v>
      </c>
      <c r="N286" s="19">
        <f>$B$9*Data!R284/Data!R283</f>
        <v>200626310.69818941</v>
      </c>
      <c r="O286" s="19">
        <f t="shared" si="22"/>
        <v>1004180714.1391643</v>
      </c>
      <c r="P286" s="19">
        <f t="shared" si="23"/>
        <v>4180714.1391643286</v>
      </c>
      <c r="Q286" s="19">
        <f t="shared" si="24"/>
        <v>-4180714.1391643286</v>
      </c>
      <c r="R286" s="19">
        <f t="shared" si="25"/>
        <v>-4.180714139164329</v>
      </c>
      <c r="Y286" s="29"/>
    </row>
    <row r="287" spans="9:25" x14ac:dyDescent="0.3">
      <c r="I287">
        <v>283</v>
      </c>
      <c r="J287" s="19">
        <f>$B$5*Data!F285/Data!F284</f>
        <v>198504079.35729238</v>
      </c>
      <c r="K287" s="19">
        <f>$B$6*Data!I285/Data!I284</f>
        <v>198974197.6456919</v>
      </c>
      <c r="L287" s="19">
        <f>$B$7*Data!L285/Data!L284</f>
        <v>195948140.14050719</v>
      </c>
      <c r="M287" s="19">
        <f>$B$8*Data!O285/Data!O284</f>
        <v>198360155.58219066</v>
      </c>
      <c r="N287" s="19">
        <f>$B$9*Data!R285/Data!R284</f>
        <v>199332441.72286069</v>
      </c>
      <c r="O287" s="19">
        <f t="shared" si="22"/>
        <v>991119014.44854283</v>
      </c>
      <c r="P287" s="19">
        <f t="shared" si="23"/>
        <v>-8880985.5514571667</v>
      </c>
      <c r="Q287" s="19">
        <f t="shared" si="24"/>
        <v>8880985.5514571667</v>
      </c>
      <c r="R287" s="19">
        <f t="shared" si="25"/>
        <v>8.8809855514571669</v>
      </c>
      <c r="Y287" s="29"/>
    </row>
    <row r="288" spans="9:25" x14ac:dyDescent="0.3">
      <c r="I288">
        <v>284</v>
      </c>
      <c r="J288" s="19">
        <f>$B$5*Data!F286/Data!F285</f>
        <v>198766886.00759602</v>
      </c>
      <c r="K288" s="19">
        <f>$B$6*Data!I286/Data!I285</f>
        <v>198881514.84148645</v>
      </c>
      <c r="L288" s="19">
        <f>$B$7*Data!L286/Data!L285</f>
        <v>196595148.97255236</v>
      </c>
      <c r="M288" s="19">
        <f>$B$8*Data!O286/Data!O285</f>
        <v>198976963.22550967</v>
      </c>
      <c r="N288" s="19">
        <f>$B$9*Data!R286/Data!R285</f>
        <v>199858695.51843742</v>
      </c>
      <c r="O288" s="19">
        <f t="shared" si="22"/>
        <v>993079208.5655818</v>
      </c>
      <c r="P288" s="19">
        <f t="shared" si="23"/>
        <v>-6920791.4344182014</v>
      </c>
      <c r="Q288" s="19">
        <f t="shared" si="24"/>
        <v>6920791.4344182014</v>
      </c>
      <c r="R288" s="19">
        <f t="shared" si="25"/>
        <v>6.9207914344182013</v>
      </c>
      <c r="Y288" s="29"/>
    </row>
    <row r="289" spans="9:25" x14ac:dyDescent="0.3">
      <c r="I289">
        <v>285</v>
      </c>
      <c r="J289" s="19">
        <f>$B$5*Data!F287/Data!F286</f>
        <v>204210429.80351999</v>
      </c>
      <c r="K289" s="19">
        <f>$B$6*Data!I287/Data!I286</f>
        <v>206167086.07764167</v>
      </c>
      <c r="L289" s="19">
        <f>$B$7*Data!L287/Data!L286</f>
        <v>204599270.91899034</v>
      </c>
      <c r="M289" s="19">
        <f>$B$8*Data!O287/Data!O286</f>
        <v>205465438.07572833</v>
      </c>
      <c r="N289" s="19">
        <f>$B$9*Data!R287/Data!R286</f>
        <v>201933941.28154236</v>
      </c>
      <c r="O289" s="19">
        <f t="shared" si="22"/>
        <v>1022376166.1574228</v>
      </c>
      <c r="P289" s="19">
        <f t="shared" si="23"/>
        <v>22376166.157422781</v>
      </c>
      <c r="Q289" s="19">
        <f t="shared" si="24"/>
        <v>-22376166.157422781</v>
      </c>
      <c r="R289" s="19">
        <f t="shared" si="25"/>
        <v>-22.37616615742278</v>
      </c>
      <c r="Y289" s="29"/>
    </row>
    <row r="290" spans="9:25" x14ac:dyDescent="0.3">
      <c r="I290">
        <v>286</v>
      </c>
      <c r="J290" s="19">
        <f>$B$5*Data!F288/Data!F287</f>
        <v>201634772.10944194</v>
      </c>
      <c r="K290" s="19">
        <f>$B$6*Data!I288/Data!I287</f>
        <v>201142493.06735632</v>
      </c>
      <c r="L290" s="19">
        <f>$B$7*Data!L288/Data!L287</f>
        <v>199813779.94566748</v>
      </c>
      <c r="M290" s="19">
        <f>$B$8*Data!O288/Data!O287</f>
        <v>201222174.15930921</v>
      </c>
      <c r="N290" s="19">
        <f>$B$9*Data!R288/Data!R287</f>
        <v>202094785.98312476</v>
      </c>
      <c r="O290" s="19">
        <f t="shared" si="22"/>
        <v>1005908005.2648997</v>
      </c>
      <c r="P290" s="19">
        <f t="shared" si="23"/>
        <v>5908005.2648997307</v>
      </c>
      <c r="Q290" s="19">
        <f t="shared" si="24"/>
        <v>-5908005.2648997307</v>
      </c>
      <c r="R290" s="19">
        <f t="shared" si="25"/>
        <v>-5.9080052648997308</v>
      </c>
      <c r="Y290" s="29"/>
    </row>
    <row r="291" spans="9:25" x14ac:dyDescent="0.3">
      <c r="I291">
        <v>287</v>
      </c>
      <c r="J291" s="19">
        <f>$B$5*Data!F289/Data!F288</f>
        <v>204938991.23823443</v>
      </c>
      <c r="K291" s="19">
        <f>$B$6*Data!I289/Data!I288</f>
        <v>206391757.64797199</v>
      </c>
      <c r="L291" s="19">
        <f>$B$7*Data!L289/Data!L288</f>
        <v>207935020.81168166</v>
      </c>
      <c r="M291" s="19">
        <f>$B$8*Data!O289/Data!O288</f>
        <v>205596100.74199852</v>
      </c>
      <c r="N291" s="19">
        <f>$B$9*Data!R289/Data!R288</f>
        <v>204026024.67893222</v>
      </c>
      <c r="O291" s="19">
        <f t="shared" si="22"/>
        <v>1028887895.1188188</v>
      </c>
      <c r="P291" s="19">
        <f t="shared" si="23"/>
        <v>28887895.11881876</v>
      </c>
      <c r="Q291" s="19">
        <f t="shared" si="24"/>
        <v>-28887895.11881876</v>
      </c>
      <c r="R291" s="19">
        <f t="shared" si="25"/>
        <v>-28.887895118818761</v>
      </c>
      <c r="Y291" s="29"/>
    </row>
    <row r="292" spans="9:25" x14ac:dyDescent="0.3">
      <c r="I292">
        <v>288</v>
      </c>
      <c r="J292" s="19">
        <f>$B$5*Data!F290/Data!F289</f>
        <v>200205893.24536589</v>
      </c>
      <c r="K292" s="19">
        <f>$B$6*Data!I290/Data!I289</f>
        <v>199537177.36818829</v>
      </c>
      <c r="L292" s="19">
        <f>$B$7*Data!L290/Data!L289</f>
        <v>197852628.25234467</v>
      </c>
      <c r="M292" s="19">
        <f>$B$8*Data!O290/Data!O289</f>
        <v>199650966.13937837</v>
      </c>
      <c r="N292" s="19">
        <f>$B$9*Data!R290/Data!R289</f>
        <v>199651795.28670672</v>
      </c>
      <c r="O292" s="19">
        <f t="shared" si="22"/>
        <v>996898460.29198384</v>
      </c>
      <c r="P292" s="19">
        <f t="shared" si="23"/>
        <v>-3101539.7080161572</v>
      </c>
      <c r="Q292" s="19">
        <f t="shared" si="24"/>
        <v>3101539.7080161572</v>
      </c>
      <c r="R292" s="19">
        <f t="shared" si="25"/>
        <v>3.1015397080161571</v>
      </c>
      <c r="Y292" s="29"/>
    </row>
    <row r="293" spans="9:25" x14ac:dyDescent="0.3">
      <c r="I293">
        <v>289</v>
      </c>
      <c r="J293" s="19">
        <f>$B$5*Data!F291/Data!F290</f>
        <v>195501938.71443495</v>
      </c>
      <c r="K293" s="19">
        <f>$B$6*Data!I291/Data!I290</f>
        <v>194695251.63532782</v>
      </c>
      <c r="L293" s="19">
        <f>$B$7*Data!L291/Data!L290</f>
        <v>193169005.78916097</v>
      </c>
      <c r="M293" s="19">
        <f>$B$8*Data!O291/Data!O290</f>
        <v>195292762.4499279</v>
      </c>
      <c r="N293" s="19">
        <f>$B$9*Data!R291/Data!R290</f>
        <v>196866810.21374345</v>
      </c>
      <c r="O293" s="19">
        <f t="shared" si="22"/>
        <v>975525768.80259514</v>
      </c>
      <c r="P293" s="19">
        <f t="shared" si="23"/>
        <v>-24474231.197404861</v>
      </c>
      <c r="Q293" s="19">
        <f t="shared" si="24"/>
        <v>24474231.197404861</v>
      </c>
      <c r="R293" s="19">
        <f t="shared" si="25"/>
        <v>24.474231197404862</v>
      </c>
      <c r="Y293" s="29"/>
    </row>
    <row r="294" spans="9:25" x14ac:dyDescent="0.3">
      <c r="I294">
        <v>290</v>
      </c>
      <c r="J294" s="19">
        <f>$B$5*Data!F292/Data!F291</f>
        <v>195603927.31634048</v>
      </c>
      <c r="K294" s="19">
        <f>$B$6*Data!I292/Data!I291</f>
        <v>195193594.2914457</v>
      </c>
      <c r="L294" s="19">
        <f>$B$7*Data!L292/Data!L291</f>
        <v>193241316.2912643</v>
      </c>
      <c r="M294" s="19">
        <f>$B$8*Data!O292/Data!O291</f>
        <v>195340266.38918495</v>
      </c>
      <c r="N294" s="19">
        <f>$B$9*Data!R292/Data!R291</f>
        <v>197581239.39044973</v>
      </c>
      <c r="O294" s="19">
        <f t="shared" si="22"/>
        <v>976960343.67868519</v>
      </c>
      <c r="P294" s="19">
        <f t="shared" si="23"/>
        <v>-23039656.321314812</v>
      </c>
      <c r="Q294" s="19">
        <f t="shared" si="24"/>
        <v>23039656.321314812</v>
      </c>
      <c r="R294" s="19">
        <f t="shared" si="25"/>
        <v>23.039656321314812</v>
      </c>
      <c r="Y294" s="29"/>
    </row>
    <row r="295" spans="9:25" x14ac:dyDescent="0.3">
      <c r="I295">
        <v>291</v>
      </c>
      <c r="J295" s="19">
        <f>$B$5*Data!F293/Data!F292</f>
        <v>201798860.53660062</v>
      </c>
      <c r="K295" s="19">
        <f>$B$6*Data!I293/Data!I292</f>
        <v>202937589.67183271</v>
      </c>
      <c r="L295" s="19">
        <f>$B$7*Data!L293/Data!L292</f>
        <v>203426007.0399282</v>
      </c>
      <c r="M295" s="19">
        <f>$B$8*Data!O293/Data!O292</f>
        <v>202452985.14836079</v>
      </c>
      <c r="N295" s="19">
        <f>$B$9*Data!R293/Data!R292</f>
        <v>199709817.82716045</v>
      </c>
      <c r="O295" s="19">
        <f t="shared" si="22"/>
        <v>1010325260.2238828</v>
      </c>
      <c r="P295" s="19">
        <f t="shared" si="23"/>
        <v>10325260.223882794</v>
      </c>
      <c r="Q295" s="19">
        <f t="shared" si="24"/>
        <v>-10325260.223882794</v>
      </c>
      <c r="R295" s="19">
        <f t="shared" si="25"/>
        <v>-10.325260223882795</v>
      </c>
      <c r="Y295" s="29"/>
    </row>
    <row r="296" spans="9:25" x14ac:dyDescent="0.3">
      <c r="I296">
        <v>292</v>
      </c>
      <c r="J296" s="19">
        <f>$B$5*Data!F294/Data!F293</f>
        <v>195291377.43796891</v>
      </c>
      <c r="K296" s="19">
        <f>$B$6*Data!I294/Data!I293</f>
        <v>194755999.15036589</v>
      </c>
      <c r="L296" s="19">
        <f>$B$7*Data!L294/Data!L293</f>
        <v>192341943.61245492</v>
      </c>
      <c r="M296" s="19">
        <f>$B$8*Data!O294/Data!O293</f>
        <v>194685293.27776474</v>
      </c>
      <c r="N296" s="19">
        <f>$B$9*Data!R294/Data!R293</f>
        <v>197069307.59047151</v>
      </c>
      <c r="O296" s="19">
        <f t="shared" si="22"/>
        <v>974143921.06902599</v>
      </c>
      <c r="P296" s="19">
        <f t="shared" si="23"/>
        <v>-25856078.930974007</v>
      </c>
      <c r="Q296" s="19">
        <f t="shared" si="24"/>
        <v>25856078.930974007</v>
      </c>
      <c r="R296" s="19">
        <f t="shared" si="25"/>
        <v>25.856078930974007</v>
      </c>
      <c r="Y296" s="29"/>
    </row>
    <row r="297" spans="9:25" x14ac:dyDescent="0.3">
      <c r="I297">
        <v>293</v>
      </c>
      <c r="J297" s="19">
        <f>$B$5*Data!F295/Data!F294</f>
        <v>201155248.85468158</v>
      </c>
      <c r="K297" s="19">
        <f>$B$6*Data!I295/Data!I294</f>
        <v>200546021.37905788</v>
      </c>
      <c r="L297" s="19">
        <f>$B$7*Data!L295/Data!L294</f>
        <v>201976128.27357686</v>
      </c>
      <c r="M297" s="19">
        <f>$B$8*Data!O295/Data!O294</f>
        <v>200850781.90342319</v>
      </c>
      <c r="N297" s="19">
        <f>$B$9*Data!R295/Data!R294</f>
        <v>200100175.61931312</v>
      </c>
      <c r="O297" s="19">
        <f t="shared" si="22"/>
        <v>1004628356.0300527</v>
      </c>
      <c r="P297" s="19">
        <f t="shared" si="23"/>
        <v>4628356.0300526619</v>
      </c>
      <c r="Q297" s="19">
        <f t="shared" si="24"/>
        <v>-4628356.0300526619</v>
      </c>
      <c r="R297" s="19">
        <f t="shared" si="25"/>
        <v>-4.6283560300526618</v>
      </c>
      <c r="Y297" s="29"/>
    </row>
    <row r="298" spans="9:25" x14ac:dyDescent="0.3">
      <c r="I298">
        <v>294</v>
      </c>
      <c r="J298" s="19">
        <f>$B$5*Data!F296/Data!F295</f>
        <v>200831251.63692552</v>
      </c>
      <c r="K298" s="19">
        <f>$B$6*Data!I296/Data!I295</f>
        <v>200436460.61207435</v>
      </c>
      <c r="L298" s="19">
        <f>$B$7*Data!L296/Data!L295</f>
        <v>200595121.32077545</v>
      </c>
      <c r="M298" s="19">
        <f>$B$8*Data!O296/Data!O295</f>
        <v>200559290.56980446</v>
      </c>
      <c r="N298" s="19">
        <f>$B$9*Data!R296/Data!R295</f>
        <v>201355379.89973301</v>
      </c>
      <c r="O298" s="19">
        <f t="shared" si="22"/>
        <v>1003777504.0393128</v>
      </c>
      <c r="P298" s="19">
        <f t="shared" si="23"/>
        <v>3777504.0393128395</v>
      </c>
      <c r="Q298" s="19">
        <f t="shared" si="24"/>
        <v>-3777504.0393128395</v>
      </c>
      <c r="R298" s="19">
        <f t="shared" si="25"/>
        <v>-3.7775040393128396</v>
      </c>
      <c r="Y298" s="29"/>
    </row>
    <row r="299" spans="9:25" x14ac:dyDescent="0.3">
      <c r="I299">
        <v>295</v>
      </c>
      <c r="J299" s="19">
        <f>$B$5*Data!F297/Data!F296</f>
        <v>198647694.04062146</v>
      </c>
      <c r="K299" s="19">
        <f>$B$6*Data!I297/Data!I296</f>
        <v>198699176.15415376</v>
      </c>
      <c r="L299" s="19">
        <f>$B$7*Data!L297/Data!L296</f>
        <v>196981666.72178751</v>
      </c>
      <c r="M299" s="19">
        <f>$B$8*Data!O297/Data!O296</f>
        <v>198298491.8665368</v>
      </c>
      <c r="N299" s="19">
        <f>$B$9*Data!R297/Data!R296</f>
        <v>198675328.78180751</v>
      </c>
      <c r="O299" s="19">
        <f t="shared" si="22"/>
        <v>991302357.56490719</v>
      </c>
      <c r="P299" s="19">
        <f t="shared" si="23"/>
        <v>-8697642.4350928068</v>
      </c>
      <c r="Q299" s="19">
        <f t="shared" si="24"/>
        <v>8697642.4350928068</v>
      </c>
      <c r="R299" s="19">
        <f t="shared" si="25"/>
        <v>8.6976424350928063</v>
      </c>
      <c r="Y299" s="29"/>
    </row>
    <row r="300" spans="9:25" x14ac:dyDescent="0.3">
      <c r="I300">
        <v>296</v>
      </c>
      <c r="J300" s="19">
        <f>$B$5*Data!F298/Data!F297</f>
        <v>197317990.48282027</v>
      </c>
      <c r="K300" s="19">
        <f>$B$6*Data!I298/Data!I297</f>
        <v>197197539.67696506</v>
      </c>
      <c r="L300" s="19">
        <f>$B$7*Data!L298/Data!L297</f>
        <v>195880695.32034275</v>
      </c>
      <c r="M300" s="19">
        <f>$B$8*Data!O298/Data!O297</f>
        <v>197848439.2435092</v>
      </c>
      <c r="N300" s="19">
        <f>$B$9*Data!R298/Data!R297</f>
        <v>197854781.3786419</v>
      </c>
      <c r="O300" s="19">
        <f t="shared" si="22"/>
        <v>986099446.10227919</v>
      </c>
      <c r="P300" s="19">
        <f t="shared" si="23"/>
        <v>-13900553.897720814</v>
      </c>
      <c r="Q300" s="19">
        <f t="shared" si="24"/>
        <v>13900553.897720814</v>
      </c>
      <c r="R300" s="19">
        <f t="shared" si="25"/>
        <v>13.900553897720814</v>
      </c>
      <c r="Y300" s="29"/>
    </row>
    <row r="301" spans="9:25" x14ac:dyDescent="0.3">
      <c r="I301">
        <v>297</v>
      </c>
      <c r="J301" s="19">
        <f>$B$5*Data!F299/Data!F298</f>
        <v>200736797.31633136</v>
      </c>
      <c r="K301" s="19">
        <f>$B$6*Data!I299/Data!I298</f>
        <v>200660646.0593276</v>
      </c>
      <c r="L301" s="19">
        <f>$B$7*Data!L299/Data!L298</f>
        <v>200451312.80520666</v>
      </c>
      <c r="M301" s="19">
        <f>$B$8*Data!O299/Data!O298</f>
        <v>200470189.16622648</v>
      </c>
      <c r="N301" s="19">
        <f>$B$9*Data!R299/Data!R298</f>
        <v>201090333.27227566</v>
      </c>
      <c r="O301" s="19">
        <f t="shared" si="22"/>
        <v>1003409278.6193678</v>
      </c>
      <c r="P301" s="19">
        <f t="shared" si="23"/>
        <v>3409278.6193678379</v>
      </c>
      <c r="Q301" s="19">
        <f t="shared" si="24"/>
        <v>-3409278.6193678379</v>
      </c>
      <c r="R301" s="19">
        <f t="shared" si="25"/>
        <v>-3.4092786193678379</v>
      </c>
      <c r="Y301" s="29"/>
    </row>
    <row r="302" spans="9:25" x14ac:dyDescent="0.3">
      <c r="I302">
        <v>298</v>
      </c>
      <c r="J302" s="19">
        <f>$B$5*Data!F300/Data!F299</f>
        <v>199932021.50174105</v>
      </c>
      <c r="K302" s="19">
        <f>$B$6*Data!I300/Data!I299</f>
        <v>199940341.78942999</v>
      </c>
      <c r="L302" s="19">
        <f>$B$7*Data!L300/Data!L299</f>
        <v>200674013.76735076</v>
      </c>
      <c r="M302" s="19">
        <f>$B$8*Data!O300/Data!O299</f>
        <v>199832604.55740705</v>
      </c>
      <c r="N302" s="19">
        <f>$B$9*Data!R300/Data!R299</f>
        <v>201538362.10529277</v>
      </c>
      <c r="O302" s="19">
        <f t="shared" si="22"/>
        <v>1001917343.7212217</v>
      </c>
      <c r="P302" s="19">
        <f t="shared" si="23"/>
        <v>1917343.7212216854</v>
      </c>
      <c r="Q302" s="19">
        <f t="shared" si="24"/>
        <v>-1917343.7212216854</v>
      </c>
      <c r="R302" s="19">
        <f t="shared" si="25"/>
        <v>-1.9173437212216855</v>
      </c>
      <c r="Y302" s="29"/>
    </row>
    <row r="303" spans="9:25" x14ac:dyDescent="0.3">
      <c r="I303">
        <v>299</v>
      </c>
      <c r="J303" s="19">
        <f>$B$5*Data!F301/Data!F300</f>
        <v>197063464.80312526</v>
      </c>
      <c r="K303" s="19">
        <f>$B$6*Data!I301/Data!I300</f>
        <v>197191888.40430927</v>
      </c>
      <c r="L303" s="19">
        <f>$B$7*Data!L301/Data!L300</f>
        <v>195931799.3762109</v>
      </c>
      <c r="M303" s="19">
        <f>$B$8*Data!O301/Data!O300</f>
        <v>197493257.11024535</v>
      </c>
      <c r="N303" s="19">
        <f>$B$9*Data!R301/Data!R300</f>
        <v>200720975.13349143</v>
      </c>
      <c r="O303" s="19">
        <f t="shared" si="22"/>
        <v>988401384.82738221</v>
      </c>
      <c r="P303" s="19">
        <f t="shared" si="23"/>
        <v>-11598615.172617793</v>
      </c>
      <c r="Q303" s="19">
        <f t="shared" si="24"/>
        <v>11598615.172617793</v>
      </c>
      <c r="R303" s="19">
        <f t="shared" si="25"/>
        <v>11.598615172617793</v>
      </c>
      <c r="Y303" s="29"/>
    </row>
    <row r="304" spans="9:25" x14ac:dyDescent="0.3">
      <c r="I304">
        <v>300</v>
      </c>
      <c r="J304" s="19">
        <f>$B$5*Data!F302/Data!F301</f>
        <v>173785672.70083416</v>
      </c>
      <c r="K304" s="19">
        <f>$B$6*Data!I302/Data!I301</f>
        <v>171727922.67655924</v>
      </c>
      <c r="L304" s="19">
        <f>$B$7*Data!L302/Data!L301</f>
        <v>165902032.24675608</v>
      </c>
      <c r="M304" s="19">
        <f>$B$8*Data!O302/Data!O301</f>
        <v>172739266.06314218</v>
      </c>
      <c r="N304" s="19">
        <f>$B$9*Data!R302/Data!R301</f>
        <v>179346023.49055257</v>
      </c>
      <c r="O304" s="19">
        <f t="shared" si="22"/>
        <v>863500917.17784417</v>
      </c>
      <c r="P304" s="19">
        <f t="shared" si="23"/>
        <v>-136499082.82215583</v>
      </c>
      <c r="Q304" s="19">
        <f t="shared" si="24"/>
        <v>136499082.82215583</v>
      </c>
      <c r="R304" s="19">
        <f t="shared" si="25"/>
        <v>136.49908282215583</v>
      </c>
      <c r="Y304" s="29"/>
    </row>
    <row r="305" spans="9:25" x14ac:dyDescent="0.3">
      <c r="I305">
        <v>301</v>
      </c>
      <c r="J305" s="19">
        <f>$B$5*Data!F303/Data!F302</f>
        <v>202936121.2143068</v>
      </c>
      <c r="K305" s="19">
        <f>$B$6*Data!I303/Data!I302</f>
        <v>205431783.14542553</v>
      </c>
      <c r="L305" s="19">
        <f>$B$7*Data!L303/Data!L302</f>
        <v>207496915.83992898</v>
      </c>
      <c r="M305" s="19">
        <f>$B$8*Data!O303/Data!O302</f>
        <v>204539348.49334922</v>
      </c>
      <c r="N305" s="19">
        <f>$B$9*Data!R303/Data!R302</f>
        <v>203438636.08751366</v>
      </c>
      <c r="O305" s="19">
        <f t="shared" si="22"/>
        <v>1023842804.7805241</v>
      </c>
      <c r="P305" s="19">
        <f t="shared" si="23"/>
        <v>23842804.780524135</v>
      </c>
      <c r="Q305" s="19">
        <f t="shared" si="24"/>
        <v>-23842804.780524135</v>
      </c>
      <c r="R305" s="19">
        <f t="shared" si="25"/>
        <v>-23.842804780524133</v>
      </c>
      <c r="Y305" s="29"/>
    </row>
    <row r="306" spans="9:25" x14ac:dyDescent="0.3">
      <c r="I306">
        <v>302</v>
      </c>
      <c r="J306" s="19">
        <f>$B$5*Data!F304/Data!F303</f>
        <v>201618878.49582538</v>
      </c>
      <c r="K306" s="19">
        <f>$B$6*Data!I304/Data!I303</f>
        <v>202444646.62746882</v>
      </c>
      <c r="L306" s="19">
        <f>$B$7*Data!L304/Data!L303</f>
        <v>205553484.94287825</v>
      </c>
      <c r="M306" s="19">
        <f>$B$8*Data!O304/Data!O303</f>
        <v>203089107.68715587</v>
      </c>
      <c r="N306" s="19">
        <f>$B$9*Data!R304/Data!R303</f>
        <v>203829157.26794019</v>
      </c>
      <c r="O306" s="19">
        <f t="shared" si="22"/>
        <v>1016535275.0212685</v>
      </c>
      <c r="P306" s="19">
        <f t="shared" si="23"/>
        <v>16535275.021268487</v>
      </c>
      <c r="Q306" s="19">
        <f t="shared" si="24"/>
        <v>-16535275.021268487</v>
      </c>
      <c r="R306" s="19">
        <f t="shared" si="25"/>
        <v>-16.535275021268486</v>
      </c>
      <c r="Y306" s="29"/>
    </row>
    <row r="307" spans="9:25" x14ac:dyDescent="0.3">
      <c r="I307">
        <v>303</v>
      </c>
      <c r="J307" s="19">
        <f>$B$5*Data!F305/Data!F304</f>
        <v>204176314.81726214</v>
      </c>
      <c r="K307" s="19">
        <f>$B$6*Data!I305/Data!I304</f>
        <v>203378719.46773794</v>
      </c>
      <c r="L307" s="19">
        <f>$B$7*Data!L305/Data!L304</f>
        <v>205370435.67694676</v>
      </c>
      <c r="M307" s="19">
        <f>$B$8*Data!O305/Data!O304</f>
        <v>203579621.68111059</v>
      </c>
      <c r="N307" s="19">
        <f>$B$9*Data!R305/Data!R304</f>
        <v>202854979.76320532</v>
      </c>
      <c r="O307" s="19">
        <f t="shared" si="22"/>
        <v>1019360071.4062628</v>
      </c>
      <c r="P307" s="19">
        <f t="shared" si="23"/>
        <v>19360071.406262755</v>
      </c>
      <c r="Q307" s="19">
        <f t="shared" si="24"/>
        <v>-19360071.406262755</v>
      </c>
      <c r="R307" s="19">
        <f t="shared" si="25"/>
        <v>-19.360071406262755</v>
      </c>
      <c r="Y307" s="29"/>
    </row>
    <row r="308" spans="9:25" x14ac:dyDescent="0.3">
      <c r="I308">
        <v>304</v>
      </c>
      <c r="J308" s="19">
        <f>$B$5*Data!F306/Data!F305</f>
        <v>202387965.91563463</v>
      </c>
      <c r="K308" s="19">
        <f>$B$6*Data!I306/Data!I305</f>
        <v>202944904.10881913</v>
      </c>
      <c r="L308" s="19">
        <f>$B$7*Data!L306/Data!L305</f>
        <v>203738323.57349554</v>
      </c>
      <c r="M308" s="19">
        <f>$B$8*Data!O306/Data!O305</f>
        <v>203608643.96659043</v>
      </c>
      <c r="N308" s="19">
        <f>$B$9*Data!R306/Data!R305</f>
        <v>202356565.63126087</v>
      </c>
      <c r="O308" s="19">
        <f t="shared" si="22"/>
        <v>1015036403.1958005</v>
      </c>
      <c r="P308" s="19">
        <f t="shared" si="23"/>
        <v>15036403.195800543</v>
      </c>
      <c r="Q308" s="19">
        <f t="shared" si="24"/>
        <v>-15036403.195800543</v>
      </c>
      <c r="R308" s="19">
        <f t="shared" si="25"/>
        <v>-15.036403195800542</v>
      </c>
      <c r="Y308" s="29"/>
    </row>
    <row r="309" spans="9:25" x14ac:dyDescent="0.3">
      <c r="I309">
        <v>305</v>
      </c>
      <c r="J309" s="19">
        <f>$B$5*Data!F307/Data!F306</f>
        <v>204735947.05475661</v>
      </c>
      <c r="K309" s="19">
        <f>$B$6*Data!I307/Data!I306</f>
        <v>204436387.74516079</v>
      </c>
      <c r="L309" s="19">
        <f>$B$7*Data!L307/Data!L306</f>
        <v>204609561.65232715</v>
      </c>
      <c r="M309" s="19">
        <f>$B$8*Data!O307/Data!O306</f>
        <v>204140916.23806682</v>
      </c>
      <c r="N309" s="19">
        <f>$B$9*Data!R307/Data!R306</f>
        <v>202156010.87704825</v>
      </c>
      <c r="O309" s="19">
        <f t="shared" si="22"/>
        <v>1020078823.5673596</v>
      </c>
      <c r="P309" s="19">
        <f t="shared" si="23"/>
        <v>20078823.567359567</v>
      </c>
      <c r="Q309" s="19">
        <f t="shared" si="24"/>
        <v>-20078823.567359567</v>
      </c>
      <c r="R309" s="19">
        <f t="shared" si="25"/>
        <v>-20.078823567359567</v>
      </c>
      <c r="Y309" s="29"/>
    </row>
    <row r="310" spans="9:25" x14ac:dyDescent="0.3">
      <c r="I310">
        <v>306</v>
      </c>
      <c r="J310" s="19">
        <f>$B$5*Data!F308/Data!F307</f>
        <v>200422765.05290088</v>
      </c>
      <c r="K310" s="19">
        <f>$B$6*Data!I308/Data!I307</f>
        <v>200615394.70331448</v>
      </c>
      <c r="L310" s="19">
        <f>$B$7*Data!L308/Data!L307</f>
        <v>198629949.98717767</v>
      </c>
      <c r="M310" s="19">
        <f>$B$8*Data!O308/Data!O307</f>
        <v>200394993.44393796</v>
      </c>
      <c r="N310" s="19">
        <f>$B$9*Data!R308/Data!R307</f>
        <v>200008892.95640594</v>
      </c>
      <c r="O310" s="19">
        <f t="shared" si="22"/>
        <v>1000071996.1437368</v>
      </c>
      <c r="P310" s="19">
        <f t="shared" si="23"/>
        <v>71996.143736839294</v>
      </c>
      <c r="Q310" s="19">
        <f t="shared" si="24"/>
        <v>-71996.143736839294</v>
      </c>
      <c r="R310" s="19">
        <f t="shared" si="25"/>
        <v>-7.1996143736839296E-2</v>
      </c>
      <c r="Y310" s="29"/>
    </row>
    <row r="311" spans="9:25" x14ac:dyDescent="0.3">
      <c r="I311">
        <v>307</v>
      </c>
      <c r="J311" s="19">
        <f>$B$5*Data!F309/Data!F308</f>
        <v>196062824.61578226</v>
      </c>
      <c r="K311" s="19">
        <f>$B$6*Data!I309/Data!I308</f>
        <v>194664357.84257391</v>
      </c>
      <c r="L311" s="19">
        <f>$B$7*Data!L309/Data!L308</f>
        <v>192438265.5578064</v>
      </c>
      <c r="M311" s="19">
        <f>$B$8*Data!O309/Data!O308</f>
        <v>194769292.57884124</v>
      </c>
      <c r="N311" s="19">
        <f>$B$9*Data!R309/Data!R308</f>
        <v>198925816.21993598</v>
      </c>
      <c r="O311" s="19">
        <f t="shared" si="22"/>
        <v>976860556.81493974</v>
      </c>
      <c r="P311" s="19">
        <f t="shared" si="23"/>
        <v>-23139443.185060263</v>
      </c>
      <c r="Q311" s="19">
        <f t="shared" si="24"/>
        <v>23139443.185060263</v>
      </c>
      <c r="R311" s="19">
        <f t="shared" si="25"/>
        <v>23.139443185060262</v>
      </c>
      <c r="Y311" s="29"/>
    </row>
    <row r="312" spans="9:25" x14ac:dyDescent="0.3">
      <c r="I312">
        <v>308</v>
      </c>
      <c r="J312" s="19">
        <f>$B$5*Data!F310/Data!F309</f>
        <v>203169978.28623289</v>
      </c>
      <c r="K312" s="19">
        <f>$B$6*Data!I310/Data!I309</f>
        <v>203233293.10794601</v>
      </c>
      <c r="L312" s="19">
        <f>$B$7*Data!L310/Data!L309</f>
        <v>203756361.22331116</v>
      </c>
      <c r="M312" s="19">
        <f>$B$8*Data!O310/Data!O309</f>
        <v>203003016.57435599</v>
      </c>
      <c r="N312" s="19">
        <f>$B$9*Data!R310/Data!R309</f>
        <v>202697095.51666379</v>
      </c>
      <c r="O312" s="19">
        <f t="shared" ref="O312:O319" si="26">SUM(J312:N312)</f>
        <v>1015859744.7085098</v>
      </c>
      <c r="P312" s="19">
        <f t="shared" si="23"/>
        <v>15859744.708509803</v>
      </c>
      <c r="Q312" s="19">
        <f t="shared" si="24"/>
        <v>-15859744.708509803</v>
      </c>
      <c r="R312" s="19">
        <f t="shared" si="25"/>
        <v>-15.859744708509803</v>
      </c>
      <c r="Y312" s="29"/>
    </row>
    <row r="313" spans="9:25" x14ac:dyDescent="0.3">
      <c r="I313">
        <v>309</v>
      </c>
      <c r="J313" s="19">
        <f>$B$5*Data!F311/Data!F310</f>
        <v>201713474.31188041</v>
      </c>
      <c r="K313" s="19">
        <f>$B$6*Data!I311/Data!I310</f>
        <v>201247906.77199477</v>
      </c>
      <c r="L313" s="19">
        <f>$B$7*Data!L311/Data!L310</f>
        <v>200634397.53731301</v>
      </c>
      <c r="M313" s="19">
        <f>$B$8*Data!O311/Data!O310</f>
        <v>201501601.94057235</v>
      </c>
      <c r="N313" s="19">
        <f>$B$9*Data!R311/Data!R310</f>
        <v>202024889.57677874</v>
      </c>
      <c r="O313" s="19">
        <f t="shared" si="26"/>
        <v>1007122270.1385393</v>
      </c>
      <c r="P313" s="19">
        <f t="shared" si="23"/>
        <v>7122270.1385393143</v>
      </c>
      <c r="Q313" s="19">
        <f t="shared" si="24"/>
        <v>-7122270.1385393143</v>
      </c>
      <c r="R313" s="19">
        <f t="shared" si="25"/>
        <v>-7.1222701385393146</v>
      </c>
      <c r="Y313" s="29"/>
    </row>
    <row r="314" spans="9:25" x14ac:dyDescent="0.3">
      <c r="I314">
        <v>310</v>
      </c>
      <c r="J314" s="19">
        <f>$B$5*Data!F312/Data!F311</f>
        <v>204680491.28035346</v>
      </c>
      <c r="K314" s="19">
        <f>$B$6*Data!I312/Data!I311</f>
        <v>204451244.27419016</v>
      </c>
      <c r="L314" s="19">
        <f>$B$7*Data!L312/Data!L311</f>
        <v>206078066.66861463</v>
      </c>
      <c r="M314" s="19">
        <f>$B$8*Data!O312/Data!O311</f>
        <v>204110238.15781546</v>
      </c>
      <c r="N314" s="19">
        <f>$B$9*Data!R312/Data!R311</f>
        <v>198861253.75494376</v>
      </c>
      <c r="O314" s="19">
        <f t="shared" si="26"/>
        <v>1018181294.1359174</v>
      </c>
      <c r="P314" s="19">
        <f t="shared" si="23"/>
        <v>18181294.135917425</v>
      </c>
      <c r="Q314" s="19">
        <f t="shared" si="24"/>
        <v>-18181294.135917425</v>
      </c>
      <c r="R314" s="19">
        <f t="shared" si="25"/>
        <v>-18.181294135917426</v>
      </c>
      <c r="Y314" s="29"/>
    </row>
    <row r="315" spans="9:25" x14ac:dyDescent="0.3">
      <c r="I315">
        <v>311</v>
      </c>
      <c r="J315" s="19">
        <f>$B$5*Data!F313/Data!F312</f>
        <v>198557588.69737804</v>
      </c>
      <c r="K315" s="19">
        <f>$B$6*Data!I313/Data!I312</f>
        <v>198401423.56918502</v>
      </c>
      <c r="L315" s="19">
        <f>$B$7*Data!L313/Data!L312</f>
        <v>197121389.42231426</v>
      </c>
      <c r="M315" s="19">
        <f>$B$8*Data!O313/Data!O312</f>
        <v>198568800.94770494</v>
      </c>
      <c r="N315" s="19">
        <f>$B$9*Data!R313/Data!R312</f>
        <v>199610485.47021803</v>
      </c>
      <c r="O315" s="19">
        <f t="shared" si="26"/>
        <v>992259688.10680032</v>
      </c>
      <c r="P315" s="19">
        <f t="shared" si="23"/>
        <v>-7740311.8931996822</v>
      </c>
      <c r="Q315" s="19">
        <f t="shared" si="24"/>
        <v>7740311.8931996822</v>
      </c>
      <c r="R315" s="19">
        <f t="shared" si="25"/>
        <v>7.7403118931996824</v>
      </c>
      <c r="Y315" s="29"/>
    </row>
    <row r="316" spans="9:25" x14ac:dyDescent="0.3">
      <c r="I316">
        <v>312</v>
      </c>
      <c r="J316" s="19">
        <f>$B$5*Data!F314/Data!F313</f>
        <v>200684141.9216601</v>
      </c>
      <c r="K316" s="19">
        <f>$B$6*Data!I314/Data!I313</f>
        <v>201154333.94162416</v>
      </c>
      <c r="L316" s="19">
        <f>$B$7*Data!L314/Data!L313</f>
        <v>200320316.12182</v>
      </c>
      <c r="M316" s="19">
        <f>$B$8*Data!O314/Data!O313</f>
        <v>200624271.71892592</v>
      </c>
      <c r="N316" s="19">
        <f>$B$9*Data!R314/Data!R313</f>
        <v>199785882.11001605</v>
      </c>
      <c r="O316" s="19">
        <f t="shared" si="26"/>
        <v>1002568945.8140461</v>
      </c>
      <c r="P316" s="19">
        <f t="shared" si="23"/>
        <v>2568945.8140461445</v>
      </c>
      <c r="Q316" s="19">
        <f t="shared" si="24"/>
        <v>-2568945.8140461445</v>
      </c>
      <c r="R316" s="19">
        <f t="shared" si="25"/>
        <v>-2.5689458140461445</v>
      </c>
      <c r="Y316" s="29"/>
    </row>
    <row r="317" spans="9:25" x14ac:dyDescent="0.3">
      <c r="I317">
        <v>313</v>
      </c>
      <c r="J317" s="19">
        <f>$B$5*Data!F315/Data!F314</f>
        <v>199938153.58284831</v>
      </c>
      <c r="K317" s="19">
        <f>$B$6*Data!I315/Data!I314</f>
        <v>199945303.85565382</v>
      </c>
      <c r="L317" s="19">
        <f>$B$7*Data!L315/Data!L314</f>
        <v>200258088.554151</v>
      </c>
      <c r="M317" s="19">
        <f>$B$8*Data!O315/Data!O314</f>
        <v>200009385.34339553</v>
      </c>
      <c r="N317" s="19">
        <f>$B$9*Data!R315/Data!R314</f>
        <v>200451509.90555105</v>
      </c>
      <c r="O317" s="19">
        <f t="shared" si="26"/>
        <v>1000602441.2415997</v>
      </c>
      <c r="P317" s="19">
        <f t="shared" si="23"/>
        <v>602441.24159967899</v>
      </c>
      <c r="Q317" s="19">
        <f t="shared" si="24"/>
        <v>-602441.24159967899</v>
      </c>
      <c r="R317" s="19">
        <f t="shared" si="25"/>
        <v>-0.60244124159967904</v>
      </c>
      <c r="Y317" s="29"/>
    </row>
    <row r="318" spans="9:25" x14ac:dyDescent="0.3">
      <c r="I318">
        <v>314</v>
      </c>
      <c r="J318" s="19">
        <f>$B$5*Data!F316/Data!F315</f>
        <v>200272253.38834518</v>
      </c>
      <c r="K318" s="19">
        <f>$B$6*Data!I316/Data!I315</f>
        <v>199891818.41196328</v>
      </c>
      <c r="L318" s="19">
        <f>$B$7*Data!L316/Data!L315</f>
        <v>201177271.28049928</v>
      </c>
      <c r="M318" s="19">
        <f>$B$8*Data!O316/Data!O315</f>
        <v>199640166.21256873</v>
      </c>
      <c r="N318" s="19">
        <f>$B$9*Data!R316/Data!R315</f>
        <v>199251511.7168124</v>
      </c>
      <c r="O318" s="19">
        <f t="shared" si="26"/>
        <v>1000233021.0101888</v>
      </c>
      <c r="P318" s="19">
        <f t="shared" si="23"/>
        <v>233021.01018881798</v>
      </c>
      <c r="Q318" s="19">
        <f t="shared" si="24"/>
        <v>-233021.01018881798</v>
      </c>
      <c r="R318" s="19">
        <f t="shared" si="25"/>
        <v>-0.23302101018881799</v>
      </c>
      <c r="Y318" s="29"/>
    </row>
    <row r="319" spans="9:25" x14ac:dyDescent="0.3">
      <c r="I319">
        <v>315</v>
      </c>
      <c r="J319" s="19">
        <f>$B$5*Data!F317/Data!F316</f>
        <v>201096975.4941152</v>
      </c>
      <c r="K319" s="19">
        <f>$B$6*Data!I317/Data!I316</f>
        <v>200756335.33140287</v>
      </c>
      <c r="L319" s="19">
        <f>$B$7*Data!L317/Data!L316</f>
        <v>202783205.15619189</v>
      </c>
      <c r="M319" s="19">
        <f>$B$8*Data!O317/Data!O316</f>
        <v>200291435.99252114</v>
      </c>
      <c r="N319" s="19">
        <f>$B$9*Data!R317/Data!R316</f>
        <v>200860747.33101028</v>
      </c>
      <c r="O319" s="19">
        <f t="shared" si="26"/>
        <v>1005788699.3052413</v>
      </c>
      <c r="P319" s="19">
        <f t="shared" si="23"/>
        <v>5788699.3052413464</v>
      </c>
      <c r="Q319" s="19">
        <f t="shared" si="24"/>
        <v>-5788699.3052413464</v>
      </c>
      <c r="R319" s="19">
        <f t="shared" si="25"/>
        <v>-5.7886993052413462</v>
      </c>
      <c r="Y319" s="29"/>
    </row>
    <row r="320" spans="9:25" x14ac:dyDescent="0.3">
      <c r="J320" s="19"/>
      <c r="K320" s="19"/>
      <c r="L320" s="19"/>
      <c r="M320" s="19"/>
      <c r="N320" s="19"/>
      <c r="O320" s="19"/>
      <c r="P320" s="19"/>
      <c r="Q320" s="19"/>
      <c r="R320" s="19"/>
      <c r="Y320" s="29"/>
    </row>
    <row r="321" spans="10:25" x14ac:dyDescent="0.3">
      <c r="J321" s="19"/>
      <c r="K321" s="19"/>
      <c r="L321" s="19"/>
      <c r="M321" s="19"/>
      <c r="N321" s="19"/>
      <c r="O321" s="19"/>
      <c r="P321" s="19"/>
      <c r="Q321" s="19"/>
      <c r="R321" s="19"/>
      <c r="Y321" s="29"/>
    </row>
    <row r="322" spans="10:25" x14ac:dyDescent="0.3">
      <c r="J322" s="19"/>
      <c r="K322" s="19"/>
      <c r="L322" s="19"/>
      <c r="M322" s="19"/>
      <c r="N322" s="19"/>
      <c r="O322" s="19"/>
      <c r="P322" s="19"/>
      <c r="Q322" s="19"/>
      <c r="R322" s="19"/>
      <c r="Y322" s="29"/>
    </row>
    <row r="323" spans="10:25" x14ac:dyDescent="0.3">
      <c r="J323" s="19"/>
      <c r="K323" s="19"/>
      <c r="L323" s="19"/>
      <c r="M323" s="19"/>
      <c r="N323" s="19"/>
      <c r="O323" s="19"/>
      <c r="P323" s="19"/>
      <c r="Q323" s="19"/>
      <c r="R323" s="19"/>
      <c r="Y323" s="29"/>
    </row>
    <row r="324" spans="10:25" x14ac:dyDescent="0.3">
      <c r="J324" s="19"/>
      <c r="K324" s="19"/>
      <c r="L324" s="19"/>
      <c r="M324" s="19"/>
      <c r="N324" s="19"/>
      <c r="O324" s="19"/>
      <c r="P324" s="19"/>
      <c r="Q324" s="19"/>
      <c r="R324" s="19"/>
      <c r="Y324" s="29"/>
    </row>
    <row r="325" spans="10:25" x14ac:dyDescent="0.3">
      <c r="J325" s="19"/>
      <c r="K325" s="19"/>
      <c r="L325" s="19"/>
      <c r="M325" s="19"/>
      <c r="N325" s="19"/>
      <c r="O325" s="19"/>
      <c r="P325" s="19"/>
      <c r="Q325" s="19"/>
      <c r="R325" s="19"/>
      <c r="Y325" s="29"/>
    </row>
    <row r="326" spans="10:25" x14ac:dyDescent="0.3">
      <c r="J326" s="19"/>
      <c r="K326" s="19"/>
      <c r="L326" s="19"/>
      <c r="M326" s="19"/>
      <c r="N326" s="19"/>
      <c r="O326" s="19"/>
      <c r="P326" s="19"/>
      <c r="Q326" s="19"/>
      <c r="R326" s="19"/>
      <c r="Y326" s="29"/>
    </row>
    <row r="327" spans="10:25" x14ac:dyDescent="0.3">
      <c r="J327" s="19"/>
      <c r="K327" s="19"/>
      <c r="L327" s="19"/>
      <c r="M327" s="19"/>
      <c r="N327" s="19"/>
      <c r="O327" s="19"/>
      <c r="P327" s="19"/>
      <c r="Q327" s="19"/>
      <c r="R327" s="19"/>
      <c r="Y327" s="29"/>
    </row>
    <row r="328" spans="10:25" x14ac:dyDescent="0.3">
      <c r="J328" s="19"/>
      <c r="K328" s="19"/>
      <c r="L328" s="19"/>
      <c r="M328" s="19"/>
      <c r="N328" s="19"/>
      <c r="O328" s="19"/>
      <c r="P328" s="19"/>
      <c r="Q328" s="19"/>
      <c r="R328" s="19"/>
      <c r="Y328" s="29"/>
    </row>
    <row r="329" spans="10:25" x14ac:dyDescent="0.3">
      <c r="J329" s="19"/>
      <c r="K329" s="19"/>
      <c r="L329" s="19"/>
      <c r="M329" s="19"/>
      <c r="N329" s="19"/>
      <c r="O329" s="19"/>
      <c r="P329" s="19"/>
      <c r="Q329" s="19"/>
      <c r="R329" s="19"/>
      <c r="Y329" s="29"/>
    </row>
    <row r="330" spans="10:25" x14ac:dyDescent="0.3">
      <c r="J330" s="19"/>
      <c r="K330" s="19"/>
      <c r="L330" s="19"/>
      <c r="M330" s="19"/>
      <c r="N330" s="19"/>
      <c r="O330" s="19"/>
      <c r="P330" s="19"/>
      <c r="Q330" s="19"/>
      <c r="R330" s="19"/>
      <c r="Y330" s="29"/>
    </row>
    <row r="331" spans="10:25" x14ac:dyDescent="0.3">
      <c r="J331" s="19"/>
      <c r="K331" s="19"/>
      <c r="L331" s="19"/>
      <c r="M331" s="19"/>
      <c r="N331" s="19"/>
      <c r="O331" s="19"/>
      <c r="P331" s="19"/>
      <c r="Q331" s="19"/>
      <c r="R331" s="19"/>
      <c r="Y331" s="29"/>
    </row>
    <row r="332" spans="10:25" x14ac:dyDescent="0.3">
      <c r="J332" s="19"/>
      <c r="K332" s="19"/>
      <c r="L332" s="19"/>
      <c r="M332" s="19"/>
      <c r="N332" s="19"/>
      <c r="O332" s="19"/>
      <c r="P332" s="19"/>
      <c r="Q332" s="19"/>
      <c r="R332" s="19"/>
      <c r="Y332" s="29"/>
    </row>
    <row r="333" spans="10:25" x14ac:dyDescent="0.3">
      <c r="J333" s="19"/>
      <c r="K333" s="19"/>
      <c r="L333" s="19"/>
      <c r="M333" s="19"/>
      <c r="N333" s="19"/>
      <c r="O333" s="19"/>
      <c r="P333" s="19"/>
      <c r="Q333" s="19"/>
      <c r="R333" s="19"/>
      <c r="Y333" s="29"/>
    </row>
    <row r="334" spans="10:25" x14ac:dyDescent="0.3">
      <c r="J334" s="19"/>
      <c r="K334" s="19"/>
      <c r="L334" s="19"/>
      <c r="M334" s="19"/>
      <c r="N334" s="19"/>
      <c r="O334" s="19"/>
      <c r="P334" s="19"/>
      <c r="Q334" s="19"/>
      <c r="R334" s="19"/>
      <c r="Y334" s="29"/>
    </row>
    <row r="335" spans="10:25" x14ac:dyDescent="0.3">
      <c r="J335" s="19"/>
      <c r="K335" s="19"/>
      <c r="L335" s="19"/>
      <c r="M335" s="19"/>
      <c r="N335" s="19"/>
      <c r="O335" s="19"/>
      <c r="P335" s="19"/>
      <c r="Q335" s="19"/>
      <c r="R335" s="19"/>
      <c r="Y335" s="29"/>
    </row>
    <row r="336" spans="10:25" x14ac:dyDescent="0.3">
      <c r="J336" s="19"/>
      <c r="K336" s="19"/>
      <c r="L336" s="19"/>
      <c r="M336" s="19"/>
      <c r="N336" s="19"/>
      <c r="O336" s="19"/>
      <c r="P336" s="19"/>
      <c r="Q336" s="19"/>
      <c r="R336" s="19"/>
      <c r="Y336" s="29"/>
    </row>
    <row r="337" spans="10:25" x14ac:dyDescent="0.3">
      <c r="J337" s="19"/>
      <c r="K337" s="19"/>
      <c r="L337" s="19"/>
      <c r="M337" s="19"/>
      <c r="N337" s="19"/>
      <c r="O337" s="19"/>
      <c r="P337" s="19"/>
      <c r="Q337" s="19"/>
      <c r="R337" s="19"/>
      <c r="Y337" s="29"/>
    </row>
    <row r="338" spans="10:25" x14ac:dyDescent="0.3">
      <c r="J338" s="19"/>
      <c r="K338" s="19"/>
      <c r="L338" s="19"/>
      <c r="M338" s="19"/>
      <c r="N338" s="19"/>
      <c r="O338" s="19"/>
      <c r="P338" s="19"/>
      <c r="Q338" s="19"/>
      <c r="R338" s="19"/>
      <c r="Y338" s="29"/>
    </row>
    <row r="339" spans="10:25" x14ac:dyDescent="0.3">
      <c r="J339" s="19"/>
      <c r="K339" s="19"/>
      <c r="L339" s="19"/>
      <c r="M339" s="19"/>
      <c r="N339" s="19"/>
      <c r="O339" s="19"/>
      <c r="P339" s="19"/>
      <c r="Q339" s="19"/>
      <c r="R339" s="19"/>
      <c r="Y339" s="29"/>
    </row>
    <row r="340" spans="10:25" x14ac:dyDescent="0.3">
      <c r="J340" s="19"/>
      <c r="K340" s="19"/>
      <c r="L340" s="19"/>
      <c r="M340" s="19"/>
      <c r="N340" s="19"/>
      <c r="O340" s="19"/>
      <c r="P340" s="19"/>
      <c r="Q340" s="19"/>
      <c r="R340" s="19"/>
      <c r="Y340" s="29"/>
    </row>
    <row r="341" spans="10:25" x14ac:dyDescent="0.3">
      <c r="J341" s="19"/>
      <c r="K341" s="19"/>
      <c r="L341" s="19"/>
      <c r="M341" s="19"/>
      <c r="N341" s="19"/>
      <c r="O341" s="19"/>
      <c r="P341" s="19"/>
      <c r="Q341" s="19"/>
      <c r="R341" s="19"/>
      <c r="Y341" s="29"/>
    </row>
    <row r="342" spans="10:25" x14ac:dyDescent="0.3">
      <c r="J342" s="19"/>
      <c r="K342" s="19"/>
      <c r="L342" s="19"/>
      <c r="M342" s="19"/>
      <c r="N342" s="19"/>
      <c r="O342" s="19"/>
      <c r="P342" s="19"/>
      <c r="Q342" s="19"/>
      <c r="R342" s="19"/>
      <c r="Y342" s="29"/>
    </row>
    <row r="343" spans="10:25" x14ac:dyDescent="0.3">
      <c r="J343" s="19"/>
      <c r="K343" s="19"/>
      <c r="L343" s="19"/>
      <c r="M343" s="19"/>
      <c r="N343" s="19"/>
      <c r="O343" s="19"/>
      <c r="P343" s="19"/>
      <c r="Q343" s="19"/>
      <c r="R343" s="19"/>
      <c r="Y343" s="29"/>
    </row>
    <row r="344" spans="10:25" x14ac:dyDescent="0.3">
      <c r="J344" s="19"/>
      <c r="K344" s="19"/>
      <c r="L344" s="19"/>
      <c r="M344" s="19"/>
      <c r="N344" s="19"/>
      <c r="O344" s="19"/>
      <c r="P344" s="19"/>
      <c r="Q344" s="19"/>
      <c r="R344" s="19"/>
      <c r="Y344" s="29"/>
    </row>
    <row r="345" spans="10:25" x14ac:dyDescent="0.3">
      <c r="J345" s="19"/>
      <c r="K345" s="19"/>
      <c r="L345" s="19"/>
      <c r="M345" s="19"/>
      <c r="N345" s="19"/>
      <c r="O345" s="19"/>
      <c r="P345" s="19"/>
      <c r="Q345" s="19"/>
      <c r="R345" s="19"/>
      <c r="Y345" s="29"/>
    </row>
    <row r="346" spans="10:25" x14ac:dyDescent="0.3">
      <c r="J346" s="19"/>
      <c r="K346" s="19"/>
      <c r="L346" s="19"/>
      <c r="M346" s="19"/>
      <c r="N346" s="19"/>
      <c r="O346" s="19"/>
      <c r="P346" s="19"/>
      <c r="Q346" s="19"/>
      <c r="R346" s="19"/>
      <c r="Y346" s="29"/>
    </row>
    <row r="347" spans="10:25" x14ac:dyDescent="0.3">
      <c r="J347" s="19"/>
      <c r="K347" s="19"/>
      <c r="L347" s="19"/>
      <c r="M347" s="19"/>
      <c r="N347" s="19"/>
      <c r="O347" s="19"/>
      <c r="P347" s="19"/>
      <c r="Q347" s="19"/>
      <c r="R347" s="19"/>
      <c r="Y347" s="29"/>
    </row>
    <row r="348" spans="10:25" x14ac:dyDescent="0.3">
      <c r="J348" s="19"/>
      <c r="K348" s="19"/>
      <c r="L348" s="19"/>
      <c r="M348" s="19"/>
      <c r="N348" s="19"/>
      <c r="O348" s="19"/>
      <c r="P348" s="19"/>
      <c r="Q348" s="19"/>
      <c r="R348" s="19"/>
      <c r="Y348" s="29"/>
    </row>
    <row r="349" spans="10:25" x14ac:dyDescent="0.3">
      <c r="J349" s="19"/>
      <c r="K349" s="19"/>
      <c r="L349" s="19"/>
      <c r="M349" s="19"/>
      <c r="N349" s="19"/>
      <c r="O349" s="19"/>
      <c r="P349" s="19"/>
      <c r="Q349" s="19"/>
      <c r="R349" s="19"/>
      <c r="Y349" s="29"/>
    </row>
    <row r="350" spans="10:25" x14ac:dyDescent="0.3">
      <c r="J350" s="19"/>
      <c r="K350" s="19"/>
      <c r="L350" s="19"/>
      <c r="M350" s="19"/>
      <c r="N350" s="19"/>
      <c r="O350" s="19"/>
      <c r="P350" s="19"/>
      <c r="Q350" s="19"/>
      <c r="R350" s="19"/>
      <c r="Y350" s="29"/>
    </row>
    <row r="351" spans="10:25" x14ac:dyDescent="0.3">
      <c r="J351" s="19"/>
      <c r="K351" s="19"/>
      <c r="L351" s="19"/>
      <c r="M351" s="19"/>
      <c r="N351" s="19"/>
      <c r="O351" s="19"/>
      <c r="P351" s="19"/>
      <c r="Q351" s="19"/>
      <c r="R351" s="19"/>
      <c r="Y351" s="29"/>
    </row>
    <row r="352" spans="10:25" x14ac:dyDescent="0.3">
      <c r="J352" s="19"/>
      <c r="K352" s="19"/>
      <c r="L352" s="19"/>
      <c r="M352" s="19"/>
      <c r="N352" s="19"/>
      <c r="O352" s="19"/>
      <c r="P352" s="19"/>
      <c r="Q352" s="19"/>
      <c r="R352" s="19"/>
      <c r="Y352" s="29"/>
    </row>
    <row r="353" spans="10:25" x14ac:dyDescent="0.3">
      <c r="J353" s="19"/>
      <c r="K353" s="19"/>
      <c r="L353" s="19"/>
      <c r="M353" s="19"/>
      <c r="N353" s="19"/>
      <c r="O353" s="19"/>
      <c r="P353" s="19"/>
      <c r="Q353" s="19"/>
      <c r="R353" s="19"/>
      <c r="Y353" s="29"/>
    </row>
    <row r="354" spans="10:25" x14ac:dyDescent="0.3">
      <c r="J354" s="19"/>
      <c r="K354" s="19"/>
      <c r="L354" s="19"/>
      <c r="M354" s="19"/>
      <c r="N354" s="19"/>
      <c r="O354" s="19"/>
      <c r="P354" s="19"/>
      <c r="Q354" s="19"/>
      <c r="R354" s="19"/>
      <c r="Y354" s="29"/>
    </row>
    <row r="355" spans="10:25" x14ac:dyDescent="0.3">
      <c r="J355" s="19"/>
      <c r="K355" s="19"/>
      <c r="L355" s="19"/>
      <c r="M355" s="19"/>
      <c r="N355" s="19"/>
      <c r="O355" s="19"/>
      <c r="P355" s="19"/>
      <c r="Q355" s="19"/>
      <c r="R355" s="19"/>
      <c r="Y355" s="29"/>
    </row>
    <row r="356" spans="10:25" x14ac:dyDescent="0.3">
      <c r="J356" s="19"/>
      <c r="K356" s="19"/>
      <c r="L356" s="19"/>
      <c r="M356" s="19"/>
      <c r="N356" s="19"/>
      <c r="O356" s="19"/>
      <c r="P356" s="19"/>
      <c r="Q356" s="19"/>
      <c r="R356" s="19"/>
      <c r="Y356" s="29"/>
    </row>
    <row r="357" spans="10:25" x14ac:dyDescent="0.3">
      <c r="J357" s="19"/>
      <c r="K357" s="19"/>
      <c r="L357" s="19"/>
      <c r="M357" s="19"/>
      <c r="N357" s="19"/>
      <c r="O357" s="19"/>
      <c r="P357" s="19"/>
      <c r="Q357" s="19"/>
      <c r="R357" s="19"/>
      <c r="Y357" s="29"/>
    </row>
    <row r="358" spans="10:25" x14ac:dyDescent="0.3">
      <c r="J358" s="19"/>
      <c r="K358" s="19"/>
      <c r="L358" s="19"/>
      <c r="M358" s="19"/>
      <c r="N358" s="19"/>
      <c r="O358" s="19"/>
      <c r="P358" s="19"/>
      <c r="Q358" s="19"/>
      <c r="R358" s="19"/>
      <c r="Y358" s="29"/>
    </row>
    <row r="359" spans="10:25" x14ac:dyDescent="0.3">
      <c r="J359" s="19"/>
      <c r="K359" s="19"/>
      <c r="L359" s="19"/>
      <c r="M359" s="19"/>
      <c r="N359" s="19"/>
      <c r="O359" s="19"/>
      <c r="P359" s="19"/>
      <c r="Q359" s="19"/>
      <c r="R359" s="19"/>
      <c r="Y359" s="29"/>
    </row>
    <row r="360" spans="10:25" x14ac:dyDescent="0.3">
      <c r="J360" s="19"/>
      <c r="K360" s="19"/>
      <c r="L360" s="19"/>
      <c r="M360" s="19"/>
      <c r="N360" s="19"/>
      <c r="O360" s="19"/>
      <c r="P360" s="19"/>
      <c r="Q360" s="19"/>
      <c r="R360" s="19"/>
      <c r="Y360" s="29"/>
    </row>
    <row r="361" spans="10:25" x14ac:dyDescent="0.3">
      <c r="J361" s="19"/>
      <c r="K361" s="19"/>
      <c r="L361" s="19"/>
      <c r="M361" s="19"/>
      <c r="N361" s="19"/>
      <c r="O361" s="19"/>
      <c r="P361" s="19"/>
      <c r="Q361" s="19"/>
      <c r="R361" s="19"/>
      <c r="Y361" s="29"/>
    </row>
    <row r="362" spans="10:25" x14ac:dyDescent="0.3">
      <c r="J362" s="19"/>
      <c r="K362" s="19"/>
      <c r="L362" s="19"/>
      <c r="M362" s="19"/>
      <c r="N362" s="19"/>
      <c r="O362" s="19"/>
      <c r="P362" s="19"/>
      <c r="Q362" s="19"/>
      <c r="R362" s="19"/>
      <c r="Y362" s="29"/>
    </row>
    <row r="363" spans="10:25" x14ac:dyDescent="0.3">
      <c r="J363" s="19"/>
      <c r="K363" s="19"/>
      <c r="L363" s="19"/>
      <c r="M363" s="19"/>
      <c r="N363" s="19"/>
      <c r="O363" s="19"/>
      <c r="P363" s="19"/>
      <c r="Q363" s="19"/>
      <c r="R363" s="19"/>
      <c r="Y363" s="29"/>
    </row>
    <row r="364" spans="10:25" x14ac:dyDescent="0.3">
      <c r="J364" s="19"/>
      <c r="K364" s="19"/>
      <c r="L364" s="19"/>
      <c r="M364" s="19"/>
      <c r="N364" s="19"/>
      <c r="O364" s="19"/>
      <c r="P364" s="19"/>
      <c r="Q364" s="19"/>
      <c r="R364" s="19"/>
      <c r="Y364" s="29"/>
    </row>
    <row r="365" spans="10:25" x14ac:dyDescent="0.3">
      <c r="J365" s="19"/>
      <c r="K365" s="19"/>
      <c r="L365" s="19"/>
      <c r="M365" s="19"/>
      <c r="N365" s="19"/>
      <c r="O365" s="19"/>
      <c r="P365" s="19"/>
      <c r="Q365" s="19"/>
      <c r="R365" s="19"/>
      <c r="Y365" s="29"/>
    </row>
    <row r="366" spans="10:25" x14ac:dyDescent="0.3">
      <c r="J366" s="19"/>
      <c r="K366" s="19"/>
      <c r="L366" s="19"/>
      <c r="M366" s="19"/>
      <c r="N366" s="19"/>
      <c r="O366" s="19"/>
      <c r="P366" s="19"/>
      <c r="Q366" s="19"/>
      <c r="R366" s="19"/>
      <c r="Y366" s="29"/>
    </row>
    <row r="367" spans="10:25" x14ac:dyDescent="0.3">
      <c r="J367" s="19"/>
      <c r="K367" s="19"/>
      <c r="L367" s="19"/>
      <c r="M367" s="19"/>
      <c r="N367" s="19"/>
      <c r="O367" s="19"/>
      <c r="P367" s="19"/>
      <c r="Q367" s="19"/>
      <c r="R367" s="19"/>
      <c r="Y367" s="29"/>
    </row>
    <row r="368" spans="10:25" x14ac:dyDescent="0.3">
      <c r="J368" s="19"/>
      <c r="K368" s="19"/>
      <c r="L368" s="19"/>
      <c r="M368" s="19"/>
      <c r="N368" s="19"/>
      <c r="O368" s="19"/>
      <c r="P368" s="19"/>
      <c r="Q368" s="19"/>
      <c r="R368" s="19"/>
      <c r="Y368" s="29"/>
    </row>
    <row r="369" spans="10:25" x14ac:dyDescent="0.3">
      <c r="J369" s="19"/>
      <c r="K369" s="19"/>
      <c r="L369" s="19"/>
      <c r="M369" s="19"/>
      <c r="N369" s="19"/>
      <c r="O369" s="19"/>
      <c r="P369" s="19"/>
      <c r="Q369" s="19"/>
      <c r="R369" s="19"/>
      <c r="Y369" s="29"/>
    </row>
    <row r="370" spans="10:25" x14ac:dyDescent="0.3">
      <c r="J370" s="19"/>
      <c r="K370" s="19"/>
      <c r="L370" s="19"/>
      <c r="M370" s="19"/>
      <c r="N370" s="19"/>
      <c r="O370" s="19"/>
      <c r="P370" s="19"/>
      <c r="Q370" s="19"/>
      <c r="R370" s="19"/>
      <c r="Y370" s="29"/>
    </row>
    <row r="371" spans="10:25" x14ac:dyDescent="0.3">
      <c r="J371" s="19"/>
      <c r="K371" s="19"/>
      <c r="L371" s="19"/>
      <c r="M371" s="19"/>
      <c r="N371" s="19"/>
      <c r="O371" s="19"/>
      <c r="P371" s="19"/>
      <c r="Q371" s="19"/>
      <c r="R371" s="19"/>
      <c r="Y371" s="29"/>
    </row>
    <row r="372" spans="10:25" x14ac:dyDescent="0.3">
      <c r="J372" s="19"/>
      <c r="K372" s="19"/>
      <c r="L372" s="19"/>
      <c r="M372" s="19"/>
      <c r="N372" s="19"/>
      <c r="O372" s="19"/>
      <c r="P372" s="19"/>
      <c r="Q372" s="19"/>
      <c r="R372" s="19"/>
      <c r="Y372" s="29"/>
    </row>
    <row r="373" spans="10:25" x14ac:dyDescent="0.3">
      <c r="J373" s="19"/>
      <c r="K373" s="19"/>
      <c r="L373" s="19"/>
      <c r="M373" s="19"/>
      <c r="N373" s="19"/>
      <c r="O373" s="19"/>
      <c r="P373" s="19"/>
      <c r="Q373" s="19"/>
      <c r="R373" s="19"/>
      <c r="Y373" s="29"/>
    </row>
    <row r="374" spans="10:25" x14ac:dyDescent="0.3">
      <c r="J374" s="19"/>
      <c r="K374" s="19"/>
      <c r="L374" s="19"/>
      <c r="M374" s="19"/>
      <c r="N374" s="19"/>
      <c r="O374" s="19"/>
      <c r="P374" s="19"/>
      <c r="Q374" s="19"/>
      <c r="R374" s="19"/>
      <c r="Y374" s="29"/>
    </row>
    <row r="375" spans="10:25" x14ac:dyDescent="0.3">
      <c r="J375" s="19"/>
      <c r="K375" s="19"/>
      <c r="L375" s="19"/>
      <c r="M375" s="19"/>
      <c r="N375" s="19"/>
      <c r="O375" s="19"/>
      <c r="P375" s="19"/>
      <c r="Q375" s="19"/>
      <c r="R375" s="19"/>
      <c r="Y375" s="29"/>
    </row>
    <row r="376" spans="10:25" x14ac:dyDescent="0.3">
      <c r="J376" s="19"/>
      <c r="K376" s="19"/>
      <c r="L376" s="19"/>
      <c r="M376" s="19"/>
      <c r="N376" s="19"/>
      <c r="O376" s="19"/>
      <c r="P376" s="19"/>
      <c r="Q376" s="19"/>
      <c r="R376" s="19"/>
      <c r="Y376" s="29"/>
    </row>
    <row r="377" spans="10:25" x14ac:dyDescent="0.3">
      <c r="J377" s="19"/>
      <c r="K377" s="19"/>
      <c r="L377" s="19"/>
      <c r="M377" s="19"/>
      <c r="N377" s="19"/>
      <c r="O377" s="19"/>
      <c r="P377" s="19"/>
      <c r="Q377" s="19"/>
      <c r="R377" s="19"/>
      <c r="Y377" s="29"/>
    </row>
    <row r="378" spans="10:25" x14ac:dyDescent="0.3">
      <c r="J378" s="19"/>
      <c r="K378" s="19"/>
      <c r="L378" s="19"/>
      <c r="M378" s="19"/>
      <c r="N378" s="19"/>
      <c r="O378" s="19"/>
      <c r="P378" s="19"/>
      <c r="Q378" s="19"/>
      <c r="R378" s="19"/>
      <c r="Y378" s="29"/>
    </row>
    <row r="379" spans="10:25" x14ac:dyDescent="0.3">
      <c r="J379" s="19"/>
      <c r="K379" s="19"/>
      <c r="L379" s="19"/>
      <c r="M379" s="19"/>
      <c r="N379" s="19"/>
      <c r="O379" s="19"/>
      <c r="P379" s="19"/>
      <c r="Q379" s="19"/>
      <c r="R379" s="19"/>
      <c r="Y379" s="29"/>
    </row>
    <row r="380" spans="10:25" x14ac:dyDescent="0.3">
      <c r="J380" s="19"/>
      <c r="K380" s="19"/>
      <c r="L380" s="19"/>
      <c r="M380" s="19"/>
      <c r="N380" s="19"/>
      <c r="O380" s="19"/>
      <c r="P380" s="19"/>
      <c r="Q380" s="19"/>
      <c r="R380" s="19"/>
      <c r="Y380" s="29"/>
    </row>
    <row r="381" spans="10:25" x14ac:dyDescent="0.3">
      <c r="J381" s="19"/>
      <c r="K381" s="19"/>
      <c r="L381" s="19"/>
      <c r="M381" s="19"/>
      <c r="N381" s="19"/>
      <c r="O381" s="19"/>
      <c r="P381" s="19"/>
      <c r="Q381" s="19"/>
      <c r="R381" s="19"/>
      <c r="Y381" s="29"/>
    </row>
    <row r="382" spans="10:25" x14ac:dyDescent="0.3">
      <c r="J382" s="19"/>
      <c r="K382" s="19"/>
      <c r="L382" s="19"/>
      <c r="M382" s="19"/>
      <c r="N382" s="19"/>
      <c r="O382" s="19"/>
      <c r="P382" s="19"/>
      <c r="Q382" s="19"/>
      <c r="R382" s="19"/>
      <c r="Y382" s="29"/>
    </row>
    <row r="383" spans="10:25" x14ac:dyDescent="0.3">
      <c r="J383" s="19"/>
      <c r="K383" s="19"/>
      <c r="L383" s="19"/>
      <c r="M383" s="19"/>
      <c r="N383" s="19"/>
      <c r="O383" s="19"/>
      <c r="P383" s="19"/>
      <c r="Q383" s="19"/>
      <c r="R383" s="19"/>
      <c r="Y383" s="29"/>
    </row>
    <row r="384" spans="10:25" x14ac:dyDescent="0.3">
      <c r="J384" s="19"/>
      <c r="K384" s="19"/>
      <c r="L384" s="19"/>
      <c r="M384" s="19"/>
      <c r="N384" s="19"/>
      <c r="O384" s="19"/>
      <c r="P384" s="19"/>
      <c r="Q384" s="19"/>
      <c r="R384" s="19"/>
      <c r="Y384" s="29"/>
    </row>
    <row r="385" spans="10:25" x14ac:dyDescent="0.3">
      <c r="J385" s="19"/>
      <c r="K385" s="19"/>
      <c r="L385" s="19"/>
      <c r="M385" s="19"/>
      <c r="N385" s="19"/>
      <c r="O385" s="19"/>
      <c r="P385" s="19"/>
      <c r="Q385" s="19"/>
      <c r="R385" s="19"/>
      <c r="Y385" s="29"/>
    </row>
    <row r="386" spans="10:25" x14ac:dyDescent="0.3">
      <c r="J386" s="19"/>
      <c r="K386" s="19"/>
      <c r="L386" s="19"/>
      <c r="M386" s="19"/>
      <c r="N386" s="19"/>
      <c r="O386" s="19"/>
      <c r="P386" s="19"/>
      <c r="Q386" s="19"/>
      <c r="R386" s="19"/>
      <c r="Y386" s="29"/>
    </row>
    <row r="387" spans="10:25" x14ac:dyDescent="0.3">
      <c r="J387" s="19"/>
      <c r="K387" s="19"/>
      <c r="L387" s="19"/>
      <c r="M387" s="19"/>
      <c r="N387" s="19"/>
      <c r="O387" s="19"/>
      <c r="P387" s="19"/>
      <c r="Q387" s="19"/>
      <c r="R387" s="19"/>
      <c r="Y387" s="29"/>
    </row>
    <row r="388" spans="10:25" x14ac:dyDescent="0.3">
      <c r="J388" s="19"/>
      <c r="K388" s="19"/>
      <c r="L388" s="19"/>
      <c r="M388" s="19"/>
      <c r="N388" s="19"/>
      <c r="O388" s="19"/>
      <c r="P388" s="19"/>
      <c r="Q388" s="19"/>
      <c r="R388" s="19"/>
      <c r="Y388" s="29"/>
    </row>
    <row r="389" spans="10:25" x14ac:dyDescent="0.3">
      <c r="J389" s="19"/>
      <c r="K389" s="19"/>
      <c r="L389" s="19"/>
      <c r="M389" s="19"/>
      <c r="N389" s="19"/>
      <c r="O389" s="19"/>
      <c r="P389" s="19"/>
      <c r="Q389" s="19"/>
      <c r="R389" s="19"/>
      <c r="Y389" s="29"/>
    </row>
    <row r="390" spans="10:25" x14ac:dyDescent="0.3">
      <c r="J390" s="19"/>
      <c r="K390" s="19"/>
      <c r="L390" s="19"/>
      <c r="M390" s="19"/>
      <c r="N390" s="19"/>
      <c r="O390" s="19"/>
      <c r="P390" s="19"/>
      <c r="Q390" s="19"/>
      <c r="R390" s="19"/>
      <c r="Y390" s="29"/>
    </row>
    <row r="391" spans="10:25" x14ac:dyDescent="0.3">
      <c r="J391" s="19"/>
      <c r="K391" s="19"/>
      <c r="L391" s="19"/>
      <c r="M391" s="19"/>
      <c r="N391" s="19"/>
      <c r="O391" s="19"/>
      <c r="P391" s="19"/>
      <c r="Q391" s="19"/>
      <c r="R391" s="19"/>
      <c r="Y391" s="29"/>
    </row>
    <row r="392" spans="10:25" x14ac:dyDescent="0.3">
      <c r="J392" s="19"/>
      <c r="K392" s="19"/>
      <c r="L392" s="19"/>
      <c r="M392" s="19"/>
      <c r="N392" s="19"/>
      <c r="O392" s="19"/>
      <c r="P392" s="19"/>
      <c r="Q392" s="19"/>
      <c r="R392" s="19"/>
      <c r="Y392" s="29"/>
    </row>
    <row r="393" spans="10:25" x14ac:dyDescent="0.3">
      <c r="J393" s="19"/>
      <c r="K393" s="19"/>
      <c r="L393" s="19"/>
      <c r="M393" s="19"/>
      <c r="N393" s="19"/>
      <c r="O393" s="19"/>
      <c r="P393" s="19"/>
      <c r="Q393" s="19"/>
      <c r="R393" s="19"/>
      <c r="Y393" s="29"/>
    </row>
    <row r="394" spans="10:25" x14ac:dyDescent="0.3">
      <c r="J394" s="19"/>
      <c r="K394" s="19"/>
      <c r="L394" s="19"/>
      <c r="M394" s="19"/>
      <c r="N394" s="19"/>
      <c r="O394" s="19"/>
      <c r="P394" s="19"/>
      <c r="Q394" s="19"/>
      <c r="R394" s="19"/>
      <c r="Y394" s="29"/>
    </row>
    <row r="395" spans="10:25" x14ac:dyDescent="0.3">
      <c r="J395" s="19"/>
      <c r="K395" s="19"/>
      <c r="L395" s="19"/>
      <c r="M395" s="19"/>
      <c r="N395" s="19"/>
      <c r="O395" s="19"/>
      <c r="P395" s="19"/>
      <c r="Q395" s="19"/>
      <c r="R395" s="19"/>
      <c r="Y395" s="29"/>
    </row>
    <row r="396" spans="10:25" x14ac:dyDescent="0.3">
      <c r="J396" s="19"/>
      <c r="K396" s="19"/>
      <c r="L396" s="19"/>
      <c r="M396" s="19"/>
      <c r="N396" s="19"/>
      <c r="O396" s="19"/>
      <c r="P396" s="19"/>
      <c r="Q396" s="19"/>
      <c r="R396" s="19"/>
      <c r="Y396" s="29"/>
    </row>
    <row r="397" spans="10:25" x14ac:dyDescent="0.3">
      <c r="J397" s="19"/>
      <c r="K397" s="19"/>
      <c r="L397" s="19"/>
      <c r="M397" s="19"/>
      <c r="N397" s="19"/>
      <c r="O397" s="19"/>
      <c r="P397" s="19"/>
      <c r="Q397" s="19"/>
      <c r="R397" s="19"/>
      <c r="Y397" s="29"/>
    </row>
    <row r="398" spans="10:25" x14ac:dyDescent="0.3">
      <c r="J398" s="19"/>
      <c r="K398" s="19"/>
      <c r="L398" s="19"/>
      <c r="M398" s="19"/>
      <c r="N398" s="19"/>
      <c r="O398" s="19"/>
      <c r="P398" s="19"/>
      <c r="Q398" s="19"/>
      <c r="R398" s="19"/>
      <c r="Y398" s="29"/>
    </row>
    <row r="399" spans="10:25" x14ac:dyDescent="0.3">
      <c r="J399" s="19"/>
      <c r="K399" s="19"/>
      <c r="L399" s="19"/>
      <c r="M399" s="19"/>
      <c r="N399" s="19"/>
      <c r="O399" s="19"/>
      <c r="P399" s="19"/>
      <c r="Q399" s="19"/>
      <c r="R399" s="19"/>
      <c r="Y399" s="29"/>
    </row>
    <row r="400" spans="10:25" x14ac:dyDescent="0.3">
      <c r="J400" s="19"/>
      <c r="K400" s="19"/>
      <c r="L400" s="19"/>
      <c r="M400" s="19"/>
      <c r="N400" s="19"/>
      <c r="O400" s="19"/>
      <c r="P400" s="19"/>
      <c r="Q400" s="19"/>
      <c r="R400" s="19"/>
      <c r="Y400" s="29"/>
    </row>
    <row r="401" spans="10:25" x14ac:dyDescent="0.3">
      <c r="J401" s="19"/>
      <c r="K401" s="19"/>
      <c r="L401" s="19"/>
      <c r="M401" s="19"/>
      <c r="N401" s="19"/>
      <c r="O401" s="19"/>
      <c r="P401" s="19"/>
      <c r="Q401" s="19"/>
      <c r="R401" s="19"/>
      <c r="Y401" s="29"/>
    </row>
    <row r="402" spans="10:25" x14ac:dyDescent="0.3">
      <c r="J402" s="19"/>
      <c r="K402" s="19"/>
      <c r="L402" s="19"/>
      <c r="M402" s="19"/>
      <c r="N402" s="19"/>
      <c r="O402" s="19"/>
      <c r="P402" s="19"/>
      <c r="Q402" s="19"/>
      <c r="R402" s="19"/>
      <c r="Y402" s="29"/>
    </row>
    <row r="403" spans="10:25" x14ac:dyDescent="0.3">
      <c r="J403" s="19"/>
      <c r="K403" s="19"/>
      <c r="L403" s="19"/>
      <c r="M403" s="19"/>
      <c r="N403" s="19"/>
      <c r="O403" s="19"/>
      <c r="P403" s="19"/>
      <c r="Q403" s="19"/>
      <c r="R403" s="19"/>
      <c r="Y403" s="29"/>
    </row>
    <row r="404" spans="10:25" x14ac:dyDescent="0.3">
      <c r="J404" s="19"/>
      <c r="K404" s="19"/>
      <c r="L404" s="19"/>
      <c r="M404" s="19"/>
      <c r="N404" s="19"/>
      <c r="O404" s="19"/>
      <c r="P404" s="19"/>
      <c r="Q404" s="19"/>
      <c r="R404" s="19"/>
      <c r="Y404" s="29"/>
    </row>
    <row r="405" spans="10:25" x14ac:dyDescent="0.3">
      <c r="J405" s="19"/>
      <c r="K405" s="19"/>
      <c r="L405" s="19"/>
      <c r="M405" s="19"/>
      <c r="N405" s="19"/>
      <c r="O405" s="19"/>
      <c r="P405" s="19"/>
      <c r="Q405" s="19"/>
      <c r="R405" s="19"/>
      <c r="Y405" s="29"/>
    </row>
    <row r="406" spans="10:25" x14ac:dyDescent="0.3">
      <c r="J406" s="19"/>
      <c r="K406" s="19"/>
      <c r="L406" s="19"/>
      <c r="M406" s="19"/>
      <c r="N406" s="19"/>
      <c r="O406" s="19"/>
      <c r="P406" s="19"/>
      <c r="Q406" s="19"/>
      <c r="R406" s="19"/>
      <c r="Y406" s="29"/>
    </row>
    <row r="407" spans="10:25" x14ac:dyDescent="0.3">
      <c r="J407" s="19"/>
      <c r="K407" s="19"/>
      <c r="L407" s="19"/>
      <c r="M407" s="19"/>
      <c r="N407" s="19"/>
      <c r="O407" s="19"/>
      <c r="P407" s="19"/>
      <c r="Q407" s="19"/>
      <c r="R407" s="19"/>
      <c r="Y407" s="29"/>
    </row>
    <row r="408" spans="10:25" x14ac:dyDescent="0.3">
      <c r="J408" s="19"/>
      <c r="K408" s="19"/>
      <c r="L408" s="19"/>
      <c r="M408" s="19"/>
      <c r="N408" s="19"/>
      <c r="O408" s="19"/>
      <c r="P408" s="19"/>
      <c r="Q408" s="19"/>
      <c r="R408" s="19"/>
      <c r="Y408" s="29"/>
    </row>
    <row r="409" spans="10:25" x14ac:dyDescent="0.3">
      <c r="J409" s="19"/>
      <c r="K409" s="19"/>
      <c r="L409" s="19"/>
      <c r="M409" s="19"/>
      <c r="N409" s="19"/>
      <c r="O409" s="19"/>
      <c r="P409" s="19"/>
      <c r="Q409" s="19"/>
      <c r="R409" s="19"/>
      <c r="Y409" s="29"/>
    </row>
    <row r="410" spans="10:25" x14ac:dyDescent="0.3">
      <c r="J410" s="19"/>
      <c r="K410" s="19"/>
      <c r="L410" s="19"/>
      <c r="M410" s="19"/>
      <c r="N410" s="19"/>
      <c r="O410" s="19"/>
      <c r="P410" s="19"/>
      <c r="Q410" s="19"/>
      <c r="R410" s="19"/>
      <c r="Y410" s="29"/>
    </row>
    <row r="411" spans="10:25" x14ac:dyDescent="0.3">
      <c r="J411" s="19"/>
      <c r="K411" s="19"/>
      <c r="L411" s="19"/>
      <c r="M411" s="19"/>
      <c r="N411" s="19"/>
      <c r="O411" s="19"/>
      <c r="P411" s="19"/>
      <c r="Q411" s="19"/>
      <c r="R411" s="19"/>
      <c r="Y411" s="29"/>
    </row>
    <row r="412" spans="10:25" x14ac:dyDescent="0.3">
      <c r="J412" s="19"/>
      <c r="K412" s="19"/>
      <c r="L412" s="19"/>
      <c r="M412" s="19"/>
      <c r="N412" s="19"/>
      <c r="O412" s="19"/>
      <c r="P412" s="19"/>
      <c r="Q412" s="19"/>
      <c r="R412" s="19"/>
      <c r="Y412" s="29"/>
    </row>
    <row r="413" spans="10:25" x14ac:dyDescent="0.3">
      <c r="J413" s="19"/>
      <c r="K413" s="19"/>
      <c r="L413" s="19"/>
      <c r="M413" s="19"/>
      <c r="N413" s="19"/>
      <c r="O413" s="19"/>
      <c r="P413" s="19"/>
      <c r="Q413" s="19"/>
      <c r="R413" s="19"/>
      <c r="Y413" s="29"/>
    </row>
    <row r="414" spans="10:25" x14ac:dyDescent="0.3">
      <c r="J414" s="19"/>
      <c r="K414" s="19"/>
      <c r="L414" s="19"/>
      <c r="M414" s="19"/>
      <c r="N414" s="19"/>
      <c r="O414" s="19"/>
      <c r="P414" s="19"/>
      <c r="Q414" s="19"/>
      <c r="R414" s="19"/>
      <c r="Y414" s="29"/>
    </row>
    <row r="415" spans="10:25" x14ac:dyDescent="0.3">
      <c r="J415" s="19"/>
      <c r="K415" s="19"/>
      <c r="L415" s="19"/>
      <c r="M415" s="19"/>
      <c r="N415" s="19"/>
      <c r="O415" s="19"/>
      <c r="P415" s="19"/>
      <c r="Q415" s="19"/>
      <c r="R415" s="19"/>
      <c r="Y415" s="29"/>
    </row>
    <row r="416" spans="10:25" x14ac:dyDescent="0.3">
      <c r="J416" s="19"/>
      <c r="K416" s="19"/>
      <c r="L416" s="19"/>
      <c r="M416" s="19"/>
      <c r="N416" s="19"/>
      <c r="O416" s="19"/>
      <c r="P416" s="19"/>
      <c r="Q416" s="19"/>
      <c r="R416" s="19"/>
      <c r="Y416" s="29"/>
    </row>
    <row r="417" spans="10:25" x14ac:dyDescent="0.3">
      <c r="J417" s="19"/>
      <c r="K417" s="19"/>
      <c r="L417" s="19"/>
      <c r="M417" s="19"/>
      <c r="N417" s="19"/>
      <c r="O417" s="19"/>
      <c r="P417" s="19"/>
      <c r="Q417" s="19"/>
      <c r="R417" s="19"/>
      <c r="Y417" s="29"/>
    </row>
    <row r="418" spans="10:25" x14ac:dyDescent="0.3">
      <c r="J418" s="19"/>
      <c r="K418" s="19"/>
      <c r="L418" s="19"/>
      <c r="M418" s="19"/>
      <c r="N418" s="19"/>
      <c r="O418" s="19"/>
      <c r="P418" s="19"/>
      <c r="Q418" s="19"/>
      <c r="R418" s="19"/>
      <c r="Y418" s="29"/>
    </row>
    <row r="419" spans="10:25" x14ac:dyDescent="0.3">
      <c r="J419" s="19"/>
      <c r="K419" s="19"/>
      <c r="L419" s="19"/>
      <c r="M419" s="19"/>
      <c r="N419" s="19"/>
      <c r="O419" s="19"/>
      <c r="P419" s="19"/>
      <c r="Q419" s="19"/>
      <c r="R419" s="19"/>
      <c r="Y419" s="29"/>
    </row>
    <row r="420" spans="10:25" x14ac:dyDescent="0.3">
      <c r="J420" s="19"/>
      <c r="K420" s="19"/>
      <c r="L420" s="19"/>
      <c r="M420" s="19"/>
      <c r="N420" s="19"/>
      <c r="O420" s="19"/>
      <c r="P420" s="19"/>
      <c r="Q420" s="19"/>
      <c r="R420" s="19"/>
      <c r="Y420" s="29"/>
    </row>
    <row r="421" spans="10:25" x14ac:dyDescent="0.3">
      <c r="J421" s="19"/>
      <c r="K421" s="19"/>
      <c r="L421" s="19"/>
      <c r="M421" s="19"/>
      <c r="N421" s="19"/>
      <c r="O421" s="19"/>
      <c r="P421" s="19"/>
      <c r="Q421" s="19"/>
      <c r="R421" s="19"/>
      <c r="Y421" s="29"/>
    </row>
    <row r="422" spans="10:25" x14ac:dyDescent="0.3">
      <c r="J422" s="19"/>
      <c r="K422" s="19"/>
      <c r="L422" s="19"/>
      <c r="M422" s="19"/>
      <c r="N422" s="19"/>
      <c r="O422" s="19"/>
      <c r="P422" s="19"/>
      <c r="Q422" s="19"/>
      <c r="R422" s="19"/>
      <c r="Y422" s="29"/>
    </row>
    <row r="423" spans="10:25" x14ac:dyDescent="0.3">
      <c r="J423" s="19"/>
      <c r="K423" s="19"/>
      <c r="L423" s="19"/>
      <c r="M423" s="19"/>
      <c r="N423" s="19"/>
      <c r="O423" s="19"/>
      <c r="P423" s="19"/>
      <c r="Q423" s="19"/>
      <c r="R423" s="19"/>
      <c r="Y423" s="29"/>
    </row>
    <row r="424" spans="10:25" x14ac:dyDescent="0.3">
      <c r="J424" s="19"/>
      <c r="K424" s="19"/>
      <c r="L424" s="19"/>
      <c r="M424" s="19"/>
      <c r="N424" s="19"/>
      <c r="O424" s="19"/>
      <c r="P424" s="19"/>
      <c r="Q424" s="19"/>
      <c r="R424" s="19"/>
      <c r="Y424" s="29"/>
    </row>
    <row r="425" spans="10:25" x14ac:dyDescent="0.3">
      <c r="J425" s="19"/>
      <c r="K425" s="19"/>
      <c r="L425" s="19"/>
      <c r="M425" s="19"/>
      <c r="N425" s="19"/>
      <c r="O425" s="19"/>
      <c r="P425" s="19"/>
      <c r="Q425" s="19"/>
      <c r="R425" s="19"/>
      <c r="Y425" s="29"/>
    </row>
    <row r="426" spans="10:25" x14ac:dyDescent="0.3">
      <c r="J426" s="19"/>
      <c r="K426" s="19"/>
      <c r="L426" s="19"/>
      <c r="M426" s="19"/>
      <c r="N426" s="19"/>
      <c r="O426" s="19"/>
      <c r="P426" s="19"/>
      <c r="Q426" s="19"/>
      <c r="R426" s="19"/>
      <c r="Y426" s="29"/>
    </row>
    <row r="427" spans="10:25" x14ac:dyDescent="0.3">
      <c r="J427" s="19"/>
      <c r="K427" s="19"/>
      <c r="L427" s="19"/>
      <c r="M427" s="19"/>
      <c r="N427" s="19"/>
      <c r="O427" s="19"/>
      <c r="P427" s="19"/>
      <c r="Q427" s="19"/>
      <c r="R427" s="19"/>
      <c r="Y427" s="29"/>
    </row>
    <row r="428" spans="10:25" x14ac:dyDescent="0.3">
      <c r="J428" s="19"/>
      <c r="K428" s="19"/>
      <c r="L428" s="19"/>
      <c r="M428" s="19"/>
      <c r="N428" s="19"/>
      <c r="O428" s="19"/>
      <c r="P428" s="19"/>
      <c r="Q428" s="19"/>
      <c r="R428" s="19"/>
      <c r="Y428" s="29"/>
    </row>
    <row r="429" spans="10:25" x14ac:dyDescent="0.3">
      <c r="J429" s="19"/>
      <c r="K429" s="19"/>
      <c r="L429" s="19"/>
      <c r="M429" s="19"/>
      <c r="N429" s="19"/>
      <c r="O429" s="19"/>
      <c r="P429" s="19"/>
      <c r="Q429" s="19"/>
      <c r="R429" s="19"/>
      <c r="Y429" s="29"/>
    </row>
    <row r="430" spans="10:25" x14ac:dyDescent="0.3">
      <c r="J430" s="19"/>
      <c r="K430" s="19"/>
      <c r="L430" s="19"/>
      <c r="M430" s="19"/>
      <c r="N430" s="19"/>
      <c r="O430" s="19"/>
      <c r="P430" s="19"/>
      <c r="Q430" s="19"/>
      <c r="R430" s="19"/>
      <c r="Y430" s="29"/>
    </row>
    <row r="431" spans="10:25" x14ac:dyDescent="0.3">
      <c r="J431" s="19"/>
      <c r="K431" s="19"/>
      <c r="L431" s="19"/>
      <c r="M431" s="19"/>
      <c r="N431" s="19"/>
      <c r="O431" s="19"/>
      <c r="P431" s="19"/>
      <c r="Q431" s="19"/>
      <c r="R431" s="19"/>
      <c r="Y431" s="29"/>
    </row>
    <row r="432" spans="10:25" x14ac:dyDescent="0.3">
      <c r="J432" s="19"/>
      <c r="K432" s="19"/>
      <c r="L432" s="19"/>
      <c r="M432" s="19"/>
      <c r="N432" s="19"/>
      <c r="O432" s="19"/>
      <c r="P432" s="19"/>
      <c r="Q432" s="19"/>
      <c r="R432" s="19"/>
      <c r="Y432" s="29"/>
    </row>
    <row r="433" spans="10:25" x14ac:dyDescent="0.3">
      <c r="J433" s="19"/>
      <c r="K433" s="19"/>
      <c r="L433" s="19"/>
      <c r="M433" s="19"/>
      <c r="N433" s="19"/>
      <c r="O433" s="19"/>
      <c r="P433" s="19"/>
      <c r="Q433" s="19"/>
      <c r="R433" s="19"/>
      <c r="Y433" s="29"/>
    </row>
    <row r="434" spans="10:25" x14ac:dyDescent="0.3">
      <c r="J434" s="19"/>
      <c r="K434" s="19"/>
      <c r="L434" s="19"/>
      <c r="M434" s="19"/>
      <c r="N434" s="19"/>
      <c r="O434" s="19"/>
      <c r="P434" s="19"/>
      <c r="Q434" s="19"/>
      <c r="R434" s="19"/>
      <c r="Y434" s="29"/>
    </row>
    <row r="435" spans="10:25" x14ac:dyDescent="0.3">
      <c r="J435" s="19"/>
      <c r="K435" s="19"/>
      <c r="L435" s="19"/>
      <c r="M435" s="19"/>
      <c r="N435" s="19"/>
      <c r="O435" s="19"/>
      <c r="P435" s="19"/>
      <c r="Q435" s="19"/>
      <c r="R435" s="19"/>
      <c r="Y435" s="29"/>
    </row>
    <row r="436" spans="10:25" x14ac:dyDescent="0.3">
      <c r="J436" s="19"/>
      <c r="K436" s="19"/>
      <c r="L436" s="19"/>
      <c r="M436" s="19"/>
      <c r="N436" s="19"/>
      <c r="O436" s="19"/>
      <c r="P436" s="19"/>
      <c r="Q436" s="19"/>
      <c r="R436" s="19"/>
      <c r="Y436" s="29"/>
    </row>
    <row r="437" spans="10:25" x14ac:dyDescent="0.3">
      <c r="J437" s="19"/>
      <c r="K437" s="19"/>
      <c r="L437" s="19"/>
      <c r="M437" s="19"/>
      <c r="N437" s="19"/>
      <c r="O437" s="19"/>
      <c r="P437" s="19"/>
      <c r="Q437" s="19"/>
      <c r="R437" s="19"/>
      <c r="Y437" s="29"/>
    </row>
    <row r="438" spans="10:25" x14ac:dyDescent="0.3">
      <c r="J438" s="19"/>
      <c r="K438" s="19"/>
      <c r="L438" s="19"/>
      <c r="M438" s="19"/>
      <c r="N438" s="19"/>
      <c r="O438" s="19"/>
      <c r="P438" s="19"/>
      <c r="Q438" s="19"/>
      <c r="R438" s="19"/>
      <c r="Y438" s="29"/>
    </row>
    <row r="439" spans="10:25" x14ac:dyDescent="0.3">
      <c r="J439" s="19"/>
      <c r="K439" s="19"/>
      <c r="L439" s="19"/>
      <c r="M439" s="19"/>
      <c r="N439" s="19"/>
      <c r="O439" s="19"/>
      <c r="P439" s="19"/>
      <c r="Q439" s="19"/>
      <c r="R439" s="19"/>
      <c r="Y439" s="29"/>
    </row>
    <row r="440" spans="10:25" x14ac:dyDescent="0.3">
      <c r="J440" s="19"/>
      <c r="K440" s="19"/>
      <c r="L440" s="19"/>
      <c r="M440" s="19"/>
      <c r="N440" s="19"/>
      <c r="O440" s="19"/>
      <c r="P440" s="19"/>
      <c r="Q440" s="19"/>
      <c r="R440" s="19"/>
      <c r="Y440" s="29"/>
    </row>
    <row r="441" spans="10:25" x14ac:dyDescent="0.3">
      <c r="J441" s="19"/>
      <c r="K441" s="19"/>
      <c r="L441" s="19"/>
      <c r="M441" s="19"/>
      <c r="N441" s="19"/>
      <c r="O441" s="19"/>
      <c r="P441" s="19"/>
      <c r="Q441" s="19"/>
      <c r="R441" s="19"/>
      <c r="Y441" s="29"/>
    </row>
    <row r="442" spans="10:25" x14ac:dyDescent="0.3">
      <c r="J442" s="19"/>
      <c r="K442" s="19"/>
      <c r="L442" s="19"/>
      <c r="M442" s="19"/>
      <c r="N442" s="19"/>
      <c r="O442" s="19"/>
      <c r="P442" s="19"/>
      <c r="Q442" s="19"/>
      <c r="R442" s="19"/>
      <c r="Y442" s="29"/>
    </row>
    <row r="443" spans="10:25" x14ac:dyDescent="0.3">
      <c r="J443" s="19"/>
      <c r="K443" s="19"/>
      <c r="L443" s="19"/>
      <c r="M443" s="19"/>
      <c r="N443" s="19"/>
      <c r="O443" s="19"/>
      <c r="P443" s="19"/>
      <c r="Q443" s="19"/>
      <c r="R443" s="19"/>
      <c r="Y443" s="29"/>
    </row>
    <row r="444" spans="10:25" x14ac:dyDescent="0.3">
      <c r="J444" s="19"/>
      <c r="K444" s="19"/>
      <c r="L444" s="19"/>
      <c r="M444" s="19"/>
      <c r="N444" s="19"/>
      <c r="O444" s="19"/>
      <c r="P444" s="19"/>
      <c r="Q444" s="19"/>
      <c r="R444" s="19"/>
      <c r="Y444" s="29"/>
    </row>
    <row r="445" spans="10:25" x14ac:dyDescent="0.3">
      <c r="J445" s="19"/>
      <c r="K445" s="19"/>
      <c r="L445" s="19"/>
      <c r="M445" s="19"/>
      <c r="N445" s="19"/>
      <c r="O445" s="19"/>
      <c r="P445" s="19"/>
      <c r="Q445" s="19"/>
      <c r="R445" s="19"/>
      <c r="Y445" s="29"/>
    </row>
    <row r="446" spans="10:25" x14ac:dyDescent="0.3">
      <c r="J446" s="19"/>
      <c r="K446" s="19"/>
      <c r="L446" s="19"/>
      <c r="M446" s="19"/>
      <c r="N446" s="19"/>
      <c r="O446" s="19"/>
      <c r="P446" s="19"/>
      <c r="Q446" s="19"/>
      <c r="R446" s="19"/>
      <c r="Y446" s="29"/>
    </row>
    <row r="447" spans="10:25" x14ac:dyDescent="0.3">
      <c r="J447" s="19"/>
      <c r="K447" s="19"/>
      <c r="L447" s="19"/>
      <c r="M447" s="19"/>
      <c r="N447" s="19"/>
      <c r="O447" s="19"/>
      <c r="P447" s="19"/>
      <c r="Q447" s="19"/>
      <c r="R447" s="19"/>
      <c r="Y447" s="29"/>
    </row>
    <row r="448" spans="10:25" x14ac:dyDescent="0.3">
      <c r="J448" s="19"/>
      <c r="K448" s="19"/>
      <c r="L448" s="19"/>
      <c r="M448" s="19"/>
      <c r="N448" s="19"/>
      <c r="O448" s="19"/>
      <c r="P448" s="19"/>
      <c r="Q448" s="19"/>
      <c r="R448" s="19"/>
      <c r="Y448" s="29"/>
    </row>
    <row r="449" spans="10:25" x14ac:dyDescent="0.3">
      <c r="J449" s="19"/>
      <c r="K449" s="19"/>
      <c r="L449" s="19"/>
      <c r="M449" s="19"/>
      <c r="N449" s="19"/>
      <c r="O449" s="19"/>
      <c r="P449" s="19"/>
      <c r="Q449" s="19"/>
      <c r="R449" s="19"/>
      <c r="Y449" s="29"/>
    </row>
    <row r="450" spans="10:25" x14ac:dyDescent="0.3">
      <c r="J450" s="19"/>
      <c r="K450" s="19"/>
      <c r="L450" s="19"/>
      <c r="M450" s="19"/>
      <c r="N450" s="19"/>
      <c r="O450" s="19"/>
      <c r="P450" s="19"/>
      <c r="Q450" s="19"/>
      <c r="R450" s="19"/>
      <c r="Y450" s="29"/>
    </row>
    <row r="451" spans="10:25" x14ac:dyDescent="0.3">
      <c r="J451" s="19"/>
      <c r="K451" s="19"/>
      <c r="L451" s="19"/>
      <c r="M451" s="19"/>
      <c r="N451" s="19"/>
      <c r="O451" s="19"/>
      <c r="P451" s="19"/>
      <c r="Q451" s="19"/>
      <c r="R451" s="19"/>
      <c r="Y451" s="29"/>
    </row>
    <row r="452" spans="10:25" x14ac:dyDescent="0.3">
      <c r="J452" s="19"/>
      <c r="K452" s="19"/>
      <c r="L452" s="19"/>
      <c r="M452" s="19"/>
      <c r="N452" s="19"/>
      <c r="O452" s="19"/>
      <c r="P452" s="19"/>
      <c r="Q452" s="19"/>
      <c r="R452" s="19"/>
      <c r="Y452" s="29"/>
    </row>
    <row r="453" spans="10:25" x14ac:dyDescent="0.3">
      <c r="J453" s="19"/>
      <c r="K453" s="19"/>
      <c r="L453" s="19"/>
      <c r="M453" s="19"/>
      <c r="N453" s="19"/>
      <c r="O453" s="19"/>
      <c r="P453" s="19"/>
      <c r="Q453" s="19"/>
      <c r="R453" s="19"/>
      <c r="Y453" s="29"/>
    </row>
    <row r="454" spans="10:25" x14ac:dyDescent="0.3">
      <c r="J454" s="19"/>
      <c r="K454" s="19"/>
      <c r="L454" s="19"/>
      <c r="M454" s="19"/>
      <c r="N454" s="19"/>
      <c r="O454" s="19"/>
      <c r="P454" s="19"/>
      <c r="Q454" s="19"/>
      <c r="R454" s="19"/>
      <c r="Y454" s="29"/>
    </row>
    <row r="455" spans="10:25" x14ac:dyDescent="0.3">
      <c r="J455" s="19"/>
      <c r="K455" s="19"/>
      <c r="L455" s="19"/>
      <c r="M455" s="19"/>
      <c r="N455" s="19"/>
      <c r="O455" s="19"/>
      <c r="P455" s="19"/>
      <c r="Q455" s="19"/>
      <c r="R455" s="19"/>
      <c r="Y455" s="29"/>
    </row>
    <row r="456" spans="10:25" x14ac:dyDescent="0.3">
      <c r="J456" s="19"/>
      <c r="K456" s="19"/>
      <c r="L456" s="19"/>
      <c r="M456" s="19"/>
      <c r="N456" s="19"/>
      <c r="O456" s="19"/>
      <c r="P456" s="19"/>
      <c r="Q456" s="19"/>
      <c r="R456" s="19"/>
      <c r="Y456" s="29"/>
    </row>
    <row r="457" spans="10:25" x14ac:dyDescent="0.3">
      <c r="J457" s="19"/>
      <c r="K457" s="19"/>
      <c r="L457" s="19"/>
      <c r="M457" s="19"/>
      <c r="N457" s="19"/>
      <c r="O457" s="19"/>
      <c r="P457" s="19"/>
      <c r="Q457" s="19"/>
      <c r="R457" s="19"/>
      <c r="Y457" s="29"/>
    </row>
    <row r="458" spans="10:25" x14ac:dyDescent="0.3">
      <c r="J458" s="19"/>
      <c r="K458" s="19"/>
      <c r="L458" s="19"/>
      <c r="M458" s="19"/>
      <c r="N458" s="19"/>
      <c r="O458" s="19"/>
      <c r="P458" s="19"/>
      <c r="Q458" s="19"/>
      <c r="R458" s="19"/>
      <c r="Y458" s="29"/>
    </row>
    <row r="459" spans="10:25" x14ac:dyDescent="0.3">
      <c r="J459" s="19"/>
      <c r="K459" s="19"/>
      <c r="L459" s="19"/>
      <c r="M459" s="19"/>
      <c r="N459" s="19"/>
      <c r="O459" s="19"/>
      <c r="P459" s="19"/>
      <c r="Q459" s="19"/>
      <c r="R459" s="19"/>
      <c r="Y459" s="29"/>
    </row>
    <row r="460" spans="10:25" x14ac:dyDescent="0.3">
      <c r="J460" s="19"/>
      <c r="K460" s="19"/>
      <c r="L460" s="19"/>
      <c r="M460" s="19"/>
      <c r="N460" s="19"/>
      <c r="O460" s="19"/>
      <c r="P460" s="19"/>
      <c r="Q460" s="19"/>
      <c r="R460" s="19"/>
      <c r="Y460" s="29"/>
    </row>
    <row r="461" spans="10:25" x14ac:dyDescent="0.3">
      <c r="J461" s="19"/>
      <c r="K461" s="19"/>
      <c r="L461" s="19"/>
      <c r="M461" s="19"/>
      <c r="N461" s="19"/>
      <c r="O461" s="19"/>
      <c r="P461" s="19"/>
      <c r="Q461" s="19"/>
      <c r="R461" s="19"/>
      <c r="Y461" s="29"/>
    </row>
    <row r="462" spans="10:25" x14ac:dyDescent="0.3">
      <c r="J462" s="19"/>
      <c r="K462" s="19"/>
      <c r="L462" s="19"/>
      <c r="M462" s="19"/>
      <c r="N462" s="19"/>
      <c r="O462" s="19"/>
      <c r="P462" s="19"/>
      <c r="Q462" s="19"/>
      <c r="R462" s="19"/>
      <c r="Y462" s="29"/>
    </row>
    <row r="463" spans="10:25" x14ac:dyDescent="0.3">
      <c r="J463" s="19"/>
      <c r="K463" s="19"/>
      <c r="L463" s="19"/>
      <c r="M463" s="19"/>
      <c r="N463" s="19"/>
      <c r="O463" s="19"/>
      <c r="P463" s="19"/>
      <c r="Q463" s="19"/>
      <c r="R463" s="19"/>
      <c r="Y463" s="29"/>
    </row>
    <row r="464" spans="10:25" x14ac:dyDescent="0.3">
      <c r="J464" s="19"/>
      <c r="K464" s="19"/>
      <c r="L464" s="19"/>
      <c r="M464" s="19"/>
      <c r="N464" s="19"/>
      <c r="O464" s="19"/>
      <c r="P464" s="19"/>
      <c r="Q464" s="19"/>
      <c r="R464" s="19"/>
      <c r="Y464" s="29"/>
    </row>
    <row r="465" spans="10:25" x14ac:dyDescent="0.3">
      <c r="J465" s="19"/>
      <c r="K465" s="19"/>
      <c r="L465" s="19"/>
      <c r="M465" s="19"/>
      <c r="N465" s="19"/>
      <c r="O465" s="19"/>
      <c r="P465" s="19"/>
      <c r="Q465" s="19"/>
      <c r="R465" s="19"/>
      <c r="Y465" s="29"/>
    </row>
    <row r="466" spans="10:25" x14ac:dyDescent="0.3">
      <c r="J466" s="19"/>
      <c r="K466" s="19"/>
      <c r="L466" s="19"/>
      <c r="M466" s="19"/>
      <c r="N466" s="19"/>
      <c r="O466" s="19"/>
      <c r="P466" s="19"/>
      <c r="Q466" s="19"/>
      <c r="R466" s="19"/>
      <c r="Y466" s="29"/>
    </row>
    <row r="467" spans="10:25" x14ac:dyDescent="0.3">
      <c r="J467" s="19"/>
      <c r="K467" s="19"/>
      <c r="L467" s="19"/>
      <c r="M467" s="19"/>
      <c r="N467" s="19"/>
      <c r="O467" s="19"/>
      <c r="P467" s="19"/>
      <c r="Q467" s="19"/>
      <c r="R467" s="19"/>
      <c r="Y467" s="29"/>
    </row>
    <row r="468" spans="10:25" x14ac:dyDescent="0.3">
      <c r="J468" s="19"/>
      <c r="K468" s="19"/>
      <c r="L468" s="19"/>
      <c r="M468" s="19"/>
      <c r="N468" s="19"/>
      <c r="O468" s="19"/>
      <c r="P468" s="19"/>
      <c r="Q468" s="19"/>
      <c r="R468" s="19"/>
      <c r="Y468" s="29"/>
    </row>
    <row r="469" spans="10:25" x14ac:dyDescent="0.3">
      <c r="J469" s="19"/>
      <c r="K469" s="19"/>
      <c r="L469" s="19"/>
      <c r="M469" s="19"/>
      <c r="N469" s="19"/>
      <c r="O469" s="19"/>
      <c r="P469" s="19"/>
      <c r="Q469" s="19"/>
      <c r="R469" s="19"/>
      <c r="Y469" s="29"/>
    </row>
    <row r="470" spans="10:25" x14ac:dyDescent="0.3">
      <c r="J470" s="19"/>
      <c r="K470" s="19"/>
      <c r="L470" s="19"/>
      <c r="M470" s="19"/>
      <c r="N470" s="19"/>
      <c r="O470" s="19"/>
      <c r="P470" s="19"/>
      <c r="Q470" s="19"/>
      <c r="R470" s="19"/>
      <c r="Y470" s="29"/>
    </row>
    <row r="471" spans="10:25" x14ac:dyDescent="0.3">
      <c r="J471" s="19"/>
      <c r="K471" s="19"/>
      <c r="L471" s="19"/>
      <c r="M471" s="19"/>
      <c r="N471" s="19"/>
      <c r="O471" s="19"/>
      <c r="P471" s="19"/>
      <c r="Q471" s="19"/>
      <c r="R471" s="19"/>
      <c r="Y471" s="29"/>
    </row>
    <row r="472" spans="10:25" x14ac:dyDescent="0.3">
      <c r="J472" s="19"/>
      <c r="K472" s="19"/>
      <c r="L472" s="19"/>
      <c r="M472" s="19"/>
      <c r="N472" s="19"/>
      <c r="O472" s="19"/>
      <c r="P472" s="19"/>
      <c r="Q472" s="19"/>
      <c r="R472" s="19"/>
      <c r="Y472" s="29"/>
    </row>
    <row r="473" spans="10:25" x14ac:dyDescent="0.3">
      <c r="J473" s="19"/>
      <c r="K473" s="19"/>
      <c r="L473" s="19"/>
      <c r="M473" s="19"/>
      <c r="N473" s="19"/>
      <c r="O473" s="19"/>
      <c r="P473" s="19"/>
      <c r="Q473" s="19"/>
      <c r="R473" s="19"/>
      <c r="Y473" s="29"/>
    </row>
    <row r="474" spans="10:25" x14ac:dyDescent="0.3">
      <c r="J474" s="19"/>
      <c r="K474" s="19"/>
      <c r="L474" s="19"/>
      <c r="M474" s="19"/>
      <c r="N474" s="19"/>
      <c r="O474" s="19"/>
      <c r="P474" s="19"/>
      <c r="Q474" s="19"/>
      <c r="R474" s="19"/>
      <c r="Y474" s="29"/>
    </row>
    <row r="475" spans="10:25" x14ac:dyDescent="0.3">
      <c r="J475" s="19"/>
      <c r="K475" s="19"/>
      <c r="L475" s="19"/>
      <c r="M475" s="19"/>
      <c r="N475" s="19"/>
      <c r="O475" s="19"/>
      <c r="P475" s="19"/>
      <c r="Q475" s="19"/>
      <c r="R475" s="19"/>
      <c r="Y475" s="29"/>
    </row>
    <row r="476" spans="10:25" x14ac:dyDescent="0.3">
      <c r="J476" s="19"/>
      <c r="K476" s="19"/>
      <c r="L476" s="19"/>
      <c r="M476" s="19"/>
      <c r="N476" s="19"/>
      <c r="O476" s="19"/>
      <c r="P476" s="19"/>
      <c r="Q476" s="19"/>
      <c r="R476" s="19"/>
      <c r="Y476" s="29"/>
    </row>
    <row r="477" spans="10:25" x14ac:dyDescent="0.3">
      <c r="J477" s="19"/>
      <c r="K477" s="19"/>
      <c r="L477" s="19"/>
      <c r="M477" s="19"/>
      <c r="N477" s="19"/>
      <c r="O477" s="19"/>
      <c r="P477" s="19"/>
      <c r="Q477" s="19"/>
      <c r="R477" s="19"/>
      <c r="Y477" s="29"/>
    </row>
    <row r="478" spans="10:25" x14ac:dyDescent="0.3">
      <c r="J478" s="19"/>
      <c r="K478" s="19"/>
      <c r="L478" s="19"/>
      <c r="M478" s="19"/>
      <c r="N478" s="19"/>
      <c r="O478" s="19"/>
      <c r="P478" s="19"/>
      <c r="Q478" s="19"/>
      <c r="R478" s="19"/>
      <c r="Y478" s="29"/>
    </row>
    <row r="479" spans="10:25" x14ac:dyDescent="0.3">
      <c r="J479" s="19"/>
      <c r="K479" s="19"/>
      <c r="L479" s="19"/>
      <c r="M479" s="19"/>
      <c r="N479" s="19"/>
      <c r="O479" s="19"/>
      <c r="P479" s="19"/>
      <c r="Q479" s="19"/>
      <c r="R479" s="19"/>
      <c r="Y479" s="29"/>
    </row>
    <row r="480" spans="10:25" x14ac:dyDescent="0.3">
      <c r="J480" s="19"/>
      <c r="K480" s="19"/>
      <c r="L480" s="19"/>
      <c r="M480" s="19"/>
      <c r="N480" s="19"/>
      <c r="O480" s="19"/>
      <c r="P480" s="19"/>
      <c r="Q480" s="19"/>
      <c r="R480" s="19"/>
      <c r="Y480" s="29"/>
    </row>
    <row r="481" spans="10:25" x14ac:dyDescent="0.3">
      <c r="J481" s="19"/>
      <c r="K481" s="19"/>
      <c r="L481" s="19"/>
      <c r="M481" s="19"/>
      <c r="N481" s="19"/>
      <c r="O481" s="19"/>
      <c r="P481" s="19"/>
      <c r="Q481" s="19"/>
      <c r="R481" s="19"/>
      <c r="Y481" s="29"/>
    </row>
    <row r="482" spans="10:25" x14ac:dyDescent="0.3">
      <c r="J482" s="19"/>
      <c r="K482" s="19"/>
      <c r="L482" s="19"/>
      <c r="M482" s="19"/>
      <c r="N482" s="19"/>
      <c r="O482" s="19"/>
      <c r="P482" s="19"/>
      <c r="Q482" s="19"/>
      <c r="R482" s="19"/>
      <c r="Y482" s="29"/>
    </row>
    <row r="483" spans="10:25" x14ac:dyDescent="0.3">
      <c r="J483" s="19"/>
      <c r="K483" s="19"/>
      <c r="L483" s="19"/>
      <c r="M483" s="19"/>
      <c r="N483" s="19"/>
      <c r="O483" s="19"/>
      <c r="P483" s="19"/>
      <c r="Q483" s="19"/>
      <c r="R483" s="19"/>
      <c r="Y483" s="29"/>
    </row>
    <row r="484" spans="10:25" x14ac:dyDescent="0.3">
      <c r="J484" s="19"/>
      <c r="K484" s="19"/>
      <c r="L484" s="19"/>
      <c r="M484" s="19"/>
      <c r="N484" s="19"/>
      <c r="O484" s="19"/>
      <c r="P484" s="19"/>
      <c r="Q484" s="19"/>
      <c r="R484" s="19"/>
      <c r="Y484" s="29"/>
    </row>
    <row r="485" spans="10:25" x14ac:dyDescent="0.3">
      <c r="J485" s="19"/>
      <c r="K485" s="19"/>
      <c r="L485" s="19"/>
      <c r="M485" s="19"/>
      <c r="N485" s="19"/>
      <c r="O485" s="19"/>
      <c r="P485" s="19"/>
      <c r="Q485" s="19"/>
      <c r="R485" s="19"/>
      <c r="Y485" s="29"/>
    </row>
    <row r="486" spans="10:25" x14ac:dyDescent="0.3">
      <c r="J486" s="19"/>
      <c r="K486" s="19"/>
      <c r="L486" s="19"/>
      <c r="M486" s="19"/>
      <c r="N486" s="19"/>
      <c r="O486" s="19"/>
      <c r="P486" s="19"/>
      <c r="Q486" s="19"/>
      <c r="R486" s="19"/>
      <c r="Y486" s="29"/>
    </row>
    <row r="487" spans="10:25" x14ac:dyDescent="0.3">
      <c r="J487" s="19"/>
      <c r="K487" s="19"/>
      <c r="L487" s="19"/>
      <c r="M487" s="19"/>
      <c r="N487" s="19"/>
      <c r="O487" s="19"/>
      <c r="P487" s="19"/>
      <c r="Q487" s="19"/>
      <c r="R487" s="19"/>
      <c r="Y487" s="29"/>
    </row>
    <row r="488" spans="10:25" x14ac:dyDescent="0.3">
      <c r="J488" s="19"/>
      <c r="K488" s="19"/>
      <c r="L488" s="19"/>
      <c r="M488" s="19"/>
      <c r="N488" s="19"/>
      <c r="O488" s="19"/>
      <c r="P488" s="19"/>
      <c r="Q488" s="19"/>
      <c r="R488" s="19"/>
      <c r="Y488" s="29"/>
    </row>
    <row r="489" spans="10:25" x14ac:dyDescent="0.3">
      <c r="J489" s="19"/>
      <c r="K489" s="19"/>
      <c r="L489" s="19"/>
      <c r="M489" s="19"/>
      <c r="N489" s="19"/>
      <c r="O489" s="19"/>
      <c r="P489" s="19"/>
      <c r="Q489" s="19"/>
      <c r="R489" s="19"/>
      <c r="Y489" s="29"/>
    </row>
    <row r="490" spans="10:25" x14ac:dyDescent="0.3">
      <c r="J490" s="19"/>
      <c r="K490" s="19"/>
      <c r="L490" s="19"/>
      <c r="M490" s="19"/>
      <c r="N490" s="19"/>
      <c r="O490" s="19"/>
      <c r="P490" s="19"/>
      <c r="Q490" s="19"/>
      <c r="R490" s="19"/>
      <c r="Y490" s="29"/>
    </row>
    <row r="491" spans="10:25" x14ac:dyDescent="0.3">
      <c r="J491" s="19"/>
      <c r="K491" s="19"/>
      <c r="L491" s="19"/>
      <c r="M491" s="19"/>
      <c r="N491" s="19"/>
      <c r="O491" s="19"/>
      <c r="P491" s="19"/>
      <c r="Q491" s="19"/>
      <c r="R491" s="19"/>
      <c r="Y491" s="29"/>
    </row>
    <row r="492" spans="10:25" x14ac:dyDescent="0.3">
      <c r="J492" s="19"/>
      <c r="K492" s="19"/>
      <c r="L492" s="19"/>
      <c r="M492" s="19"/>
      <c r="N492" s="19"/>
      <c r="O492" s="19"/>
      <c r="P492" s="19"/>
      <c r="Q492" s="19"/>
      <c r="R492" s="19"/>
      <c r="Y492" s="29"/>
    </row>
    <row r="493" spans="10:25" x14ac:dyDescent="0.3">
      <c r="J493" s="19"/>
      <c r="K493" s="19"/>
      <c r="L493" s="19"/>
      <c r="M493" s="19"/>
      <c r="N493" s="19"/>
      <c r="O493" s="19"/>
      <c r="P493" s="19"/>
      <c r="Q493" s="19"/>
      <c r="R493" s="19"/>
      <c r="Y493" s="29"/>
    </row>
    <row r="494" spans="10:25" x14ac:dyDescent="0.3">
      <c r="J494" s="19"/>
      <c r="K494" s="19"/>
      <c r="L494" s="19"/>
      <c r="M494" s="19"/>
      <c r="N494" s="19"/>
      <c r="O494" s="19"/>
      <c r="P494" s="19"/>
      <c r="Q494" s="19"/>
      <c r="R494" s="19"/>
      <c r="Y494" s="29"/>
    </row>
    <row r="495" spans="10:25" x14ac:dyDescent="0.3">
      <c r="J495" s="19"/>
      <c r="K495" s="19"/>
      <c r="L495" s="19"/>
      <c r="M495" s="19"/>
      <c r="N495" s="19"/>
      <c r="O495" s="19"/>
      <c r="P495" s="19"/>
      <c r="Q495" s="19"/>
      <c r="R495" s="19"/>
      <c r="Y495" s="29"/>
    </row>
    <row r="496" spans="10:25" x14ac:dyDescent="0.3">
      <c r="J496" s="19"/>
      <c r="K496" s="19"/>
      <c r="L496" s="19"/>
      <c r="M496" s="19"/>
      <c r="N496" s="19"/>
      <c r="O496" s="19"/>
      <c r="P496" s="19"/>
      <c r="Q496" s="19"/>
      <c r="R496" s="19"/>
      <c r="Y496" s="29"/>
    </row>
    <row r="497" spans="10:25" x14ac:dyDescent="0.3">
      <c r="J497" s="19"/>
      <c r="K497" s="19"/>
      <c r="L497" s="19"/>
      <c r="M497" s="19"/>
      <c r="N497" s="19"/>
      <c r="O497" s="19"/>
      <c r="P497" s="19"/>
      <c r="Q497" s="19"/>
      <c r="R497" s="19"/>
      <c r="Y497" s="29"/>
    </row>
    <row r="498" spans="10:25" x14ac:dyDescent="0.3">
      <c r="J498" s="19"/>
      <c r="K498" s="19"/>
      <c r="L498" s="19"/>
      <c r="M498" s="19"/>
      <c r="N498" s="19"/>
      <c r="O498" s="19"/>
      <c r="P498" s="19"/>
      <c r="Q498" s="19"/>
      <c r="R498" s="19"/>
      <c r="Y498" s="29"/>
    </row>
    <row r="499" spans="10:25" x14ac:dyDescent="0.3">
      <c r="J499" s="19"/>
      <c r="K499" s="19"/>
      <c r="L499" s="19"/>
      <c r="M499" s="19"/>
      <c r="N499" s="19"/>
      <c r="O499" s="19"/>
      <c r="P499" s="19"/>
      <c r="Q499" s="19"/>
      <c r="R499" s="19"/>
      <c r="Y499" s="29"/>
    </row>
    <row r="500" spans="10:25" x14ac:dyDescent="0.3">
      <c r="J500" s="19"/>
      <c r="K500" s="19"/>
      <c r="L500" s="19"/>
      <c r="M500" s="19"/>
      <c r="N500" s="19"/>
      <c r="O500" s="19"/>
      <c r="P500" s="19"/>
      <c r="Q500" s="19"/>
      <c r="R500" s="19"/>
      <c r="Y500" s="29"/>
    </row>
    <row r="501" spans="10:25" x14ac:dyDescent="0.3">
      <c r="J501" s="19"/>
      <c r="K501" s="19"/>
      <c r="L501" s="19"/>
      <c r="M501" s="19"/>
      <c r="N501" s="19"/>
      <c r="O501" s="19"/>
      <c r="P501" s="19"/>
      <c r="Q501" s="19"/>
      <c r="R501" s="19"/>
      <c r="Y501" s="29"/>
    </row>
    <row r="502" spans="10:25" x14ac:dyDescent="0.3">
      <c r="J502" s="19"/>
      <c r="K502" s="19"/>
      <c r="L502" s="19"/>
      <c r="M502" s="19"/>
      <c r="N502" s="19"/>
      <c r="O502" s="19"/>
      <c r="P502" s="19"/>
      <c r="Q502" s="19"/>
      <c r="R502" s="19"/>
      <c r="Y502" s="29"/>
    </row>
    <row r="503" spans="10:25" x14ac:dyDescent="0.3">
      <c r="J503" s="19"/>
      <c r="K503" s="19"/>
      <c r="L503" s="19"/>
      <c r="M503" s="19"/>
      <c r="N503" s="19"/>
      <c r="O503" s="19"/>
      <c r="P503" s="19"/>
      <c r="Q503" s="19"/>
      <c r="R503" s="19"/>
      <c r="Y503" s="29"/>
    </row>
    <row r="504" spans="10:25" x14ac:dyDescent="0.3">
      <c r="J504" s="19"/>
      <c r="K504" s="19"/>
      <c r="L504" s="19"/>
      <c r="M504" s="19"/>
      <c r="N504" s="19"/>
      <c r="O504" s="19"/>
      <c r="P504" s="19"/>
      <c r="Q504" s="19"/>
      <c r="R504" s="19"/>
      <c r="Y504" s="29"/>
    </row>
    <row r="505" spans="10:25" x14ac:dyDescent="0.3">
      <c r="J505" s="19"/>
      <c r="K505" s="19"/>
      <c r="L505" s="19"/>
      <c r="M505" s="19"/>
      <c r="N505" s="19"/>
      <c r="O505" s="19"/>
      <c r="P505" s="19"/>
      <c r="Q505" s="19"/>
      <c r="R505" s="19"/>
    </row>
  </sheetData>
  <pageMargins left="0.7" right="0.7" top="0.75" bottom="0.75" header="0.3" footer="0.3"/>
  <pageSetup orientation="portrait" horizontalDpi="1200" verticalDpi="1200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505"/>
  <sheetViews>
    <sheetView topLeftCell="A14" zoomScale="85" zoomScaleNormal="85" zoomScalePageLayoutView="90" workbookViewId="0">
      <selection activeCell="C25" sqref="C25"/>
    </sheetView>
  </sheetViews>
  <sheetFormatPr defaultColWidth="8.88671875" defaultRowHeight="14.4" x14ac:dyDescent="0.3"/>
  <cols>
    <col min="1" max="1" width="14.109375" customWidth="1"/>
    <col min="2" max="2" width="17.109375" bestFit="1" customWidth="1"/>
    <col min="3" max="3" width="12" customWidth="1"/>
    <col min="4" max="4" width="12.6640625" bestFit="1" customWidth="1"/>
    <col min="5" max="5" width="11.44140625" bestFit="1" customWidth="1"/>
    <col min="6" max="7" width="11.44140625" customWidth="1"/>
    <col min="8" max="8" width="2.88671875" style="23" customWidth="1"/>
    <col min="11" max="11" width="2.44140625" style="23" customWidth="1"/>
    <col min="12" max="12" width="5.44140625" bestFit="1" customWidth="1"/>
    <col min="14" max="14" width="8.88671875" style="19"/>
    <col min="15" max="15" width="3.109375" style="23" customWidth="1"/>
  </cols>
  <sheetData>
    <row r="1" spans="1:14" x14ac:dyDescent="0.3">
      <c r="A1" s="7" t="s">
        <v>5</v>
      </c>
      <c r="B1" s="3">
        <v>45293</v>
      </c>
    </row>
    <row r="3" spans="1:14" x14ac:dyDescent="0.3">
      <c r="A3" s="7" t="s">
        <v>9</v>
      </c>
      <c r="M3" s="21" t="s">
        <v>10</v>
      </c>
    </row>
    <row r="4" spans="1:14" x14ac:dyDescent="0.3">
      <c r="A4" s="21" t="s">
        <v>6</v>
      </c>
      <c r="B4" s="21" t="s">
        <v>7</v>
      </c>
      <c r="C4" s="21" t="s">
        <v>8</v>
      </c>
      <c r="D4" s="21"/>
      <c r="E4" s="21"/>
      <c r="F4" s="21"/>
      <c r="G4" s="21"/>
      <c r="I4" s="21" t="s">
        <v>1</v>
      </c>
      <c r="J4" s="21" t="s">
        <v>16</v>
      </c>
      <c r="K4" s="24"/>
      <c r="L4" s="21" t="s">
        <v>49</v>
      </c>
      <c r="M4" s="21" t="s">
        <v>1</v>
      </c>
      <c r="N4" s="22" t="s">
        <v>16</v>
      </c>
    </row>
    <row r="5" spans="1:14" x14ac:dyDescent="0.3">
      <c r="A5" s="7" t="s">
        <v>30</v>
      </c>
      <c r="B5" s="19">
        <v>200000000</v>
      </c>
      <c r="C5" s="19">
        <f>Data!F2</f>
        <v>2148.1095259420381</v>
      </c>
      <c r="D5" s="25"/>
      <c r="E5" s="25"/>
      <c r="F5" s="25"/>
      <c r="G5" s="25"/>
      <c r="I5">
        <f>'$ Portfolio Loss'!$I5</f>
        <v>1</v>
      </c>
      <c r="J5" s="19">
        <f>'$ Portfolio Loss'!$R5</f>
        <v>6.8680997198442224</v>
      </c>
      <c r="L5">
        <v>1</v>
      </c>
      <c r="M5">
        <f>'$ Portfolio Loss'!$I304</f>
        <v>300</v>
      </c>
      <c r="N5" s="19">
        <f>'$ Portfolio Loss'!$R304</f>
        <v>136.49908282215583</v>
      </c>
    </row>
    <row r="6" spans="1:14" x14ac:dyDescent="0.3">
      <c r="A6" s="7" t="s">
        <v>46</v>
      </c>
      <c r="B6" s="19">
        <v>200000000</v>
      </c>
      <c r="C6" s="19">
        <f>Data!I2</f>
        <v>1380.5693813575588</v>
      </c>
      <c r="D6" s="25"/>
      <c r="E6" s="25"/>
      <c r="F6" s="25"/>
      <c r="G6" s="25"/>
      <c r="I6">
        <f>'$ Portfolio Loss'!$I6</f>
        <v>2</v>
      </c>
      <c r="J6" s="19">
        <f>'$ Portfolio Loss'!$R6</f>
        <v>-3.7099040134418009</v>
      </c>
      <c r="L6">
        <v>2</v>
      </c>
      <c r="M6">
        <f>'$ Portfolio Loss'!$I186</f>
        <v>182</v>
      </c>
      <c r="N6" s="19">
        <f>'$ Portfolio Loss'!$R186</f>
        <v>81.009313556189653</v>
      </c>
    </row>
    <row r="7" spans="1:14" x14ac:dyDescent="0.3">
      <c r="A7" s="7" t="s">
        <v>47</v>
      </c>
      <c r="B7" s="19">
        <v>200000000</v>
      </c>
      <c r="C7" s="19">
        <f>Data!L2</f>
        <v>475.30804171198258</v>
      </c>
      <c r="D7" s="25"/>
      <c r="E7" s="25"/>
      <c r="F7" s="25"/>
      <c r="G7" s="25"/>
      <c r="I7">
        <f>'$ Portfolio Loss'!$I7</f>
        <v>3</v>
      </c>
      <c r="J7" s="19">
        <f>'$ Portfolio Loss'!$R7</f>
        <v>8.6898776253383154</v>
      </c>
      <c r="L7">
        <v>3</v>
      </c>
      <c r="M7">
        <f>'$ Portfolio Loss'!$I14</f>
        <v>10</v>
      </c>
      <c r="N7" s="19">
        <f>'$ Portfolio Loss'!$R14</f>
        <v>40.399220253571393</v>
      </c>
    </row>
    <row r="8" spans="1:14" x14ac:dyDescent="0.3">
      <c r="A8" s="7" t="s">
        <v>41</v>
      </c>
      <c r="B8" s="19">
        <v>200000000</v>
      </c>
      <c r="C8" s="19">
        <f>Data!O2</f>
        <v>725.80513082976131</v>
      </c>
      <c r="D8" s="25"/>
      <c r="E8" s="25"/>
      <c r="F8" s="25"/>
      <c r="G8" s="25"/>
      <c r="I8">
        <f>'$ Portfolio Loss'!$I8</f>
        <v>4</v>
      </c>
      <c r="J8" s="19">
        <f>'$ Portfolio Loss'!$R8</f>
        <v>22.376267616043805</v>
      </c>
      <c r="L8">
        <v>4</v>
      </c>
      <c r="M8">
        <f>'$ Portfolio Loss'!$I187</f>
        <v>183</v>
      </c>
      <c r="N8" s="19">
        <f>'$ Portfolio Loss'!$R187</f>
        <v>37.140800868900534</v>
      </c>
    </row>
    <row r="9" spans="1:14" x14ac:dyDescent="0.3">
      <c r="A9" s="7" t="s">
        <v>44</v>
      </c>
      <c r="B9" s="19">
        <v>200000000</v>
      </c>
      <c r="C9" s="19">
        <f>Data!R2</f>
        <v>420.53483462350459</v>
      </c>
      <c r="I9">
        <f>'$ Portfolio Loss'!$I9</f>
        <v>5</v>
      </c>
      <c r="J9" s="19">
        <f>'$ Portfolio Loss'!$R9</f>
        <v>5.928020450423479</v>
      </c>
      <c r="L9">
        <v>5</v>
      </c>
      <c r="M9">
        <f>'$ Portfolio Loss'!$I279</f>
        <v>275</v>
      </c>
      <c r="N9" s="19">
        <f>'$ Portfolio Loss'!$R279</f>
        <v>35.972034145971534</v>
      </c>
    </row>
    <row r="10" spans="1:14" x14ac:dyDescent="0.3">
      <c r="B10" s="20">
        <f>SUM(B5:B9)</f>
        <v>1000000000</v>
      </c>
      <c r="I10">
        <f>'$ Portfolio Loss'!$I10</f>
        <v>6</v>
      </c>
      <c r="J10" s="19">
        <f>'$ Portfolio Loss'!$R10</f>
        <v>5.1544066681878569</v>
      </c>
      <c r="L10">
        <v>6</v>
      </c>
      <c r="M10">
        <f>'$ Portfolio Loss'!$I190</f>
        <v>186</v>
      </c>
      <c r="N10" s="19">
        <f>'$ Portfolio Loss'!$R190</f>
        <v>33.059894936240433</v>
      </c>
    </row>
    <row r="11" spans="1:14" x14ac:dyDescent="0.3">
      <c r="I11">
        <f>'$ Portfolio Loss'!$I11</f>
        <v>7</v>
      </c>
      <c r="J11" s="19">
        <f>'$ Portfolio Loss'!$R11</f>
        <v>-13.654390523549438</v>
      </c>
      <c r="L11">
        <v>7</v>
      </c>
      <c r="M11">
        <f>'$ Portfolio Loss'!$I210</f>
        <v>206</v>
      </c>
      <c r="N11" s="19">
        <f>'$ Portfolio Loss'!$R210</f>
        <v>28.496349071360232</v>
      </c>
    </row>
    <row r="12" spans="1:14" x14ac:dyDescent="0.3">
      <c r="A12" s="7" t="s">
        <v>16</v>
      </c>
      <c r="I12">
        <f>'$ Portfolio Loss'!$I12</f>
        <v>8</v>
      </c>
      <c r="J12" s="19">
        <f>'$ Portfolio Loss'!$R12</f>
        <v>3.2750483901110887</v>
      </c>
      <c r="L12">
        <v>8</v>
      </c>
      <c r="M12">
        <f>'$ Portfolio Loss'!$I17</f>
        <v>13</v>
      </c>
      <c r="N12" s="19">
        <f>'$ Portfolio Loss'!$R17</f>
        <v>28.230477825598715</v>
      </c>
    </row>
    <row r="13" spans="1:14" x14ac:dyDescent="0.3">
      <c r="A13" s="7" t="s">
        <v>21</v>
      </c>
      <c r="B13" s="31">
        <f>COUNT($I$5:$I$319)</f>
        <v>315</v>
      </c>
      <c r="I13">
        <f>'$ Portfolio Loss'!$I13</f>
        <v>9</v>
      </c>
      <c r="J13" s="19">
        <f>'$ Portfolio Loss'!$R13</f>
        <v>26.791435484536411</v>
      </c>
      <c r="L13">
        <v>9</v>
      </c>
      <c r="M13">
        <f>'$ Portfolio Loss'!$I45</f>
        <v>41</v>
      </c>
      <c r="N13" s="19">
        <f>'$ Portfolio Loss'!$R45</f>
        <v>27.484348793624402</v>
      </c>
    </row>
    <row r="14" spans="1:14" x14ac:dyDescent="0.3">
      <c r="A14" s="7" t="s">
        <v>12</v>
      </c>
      <c r="B14" s="30">
        <f>MIN($J$5:$J$319)</f>
        <v>-62.380728288762569</v>
      </c>
      <c r="I14">
        <f>'$ Portfolio Loss'!$I14</f>
        <v>10</v>
      </c>
      <c r="J14" s="19">
        <f>'$ Portfolio Loss'!$R14</f>
        <v>40.399220253571393</v>
      </c>
      <c r="L14">
        <v>10</v>
      </c>
      <c r="M14">
        <f>'$ Portfolio Loss'!$I13</f>
        <v>9</v>
      </c>
      <c r="N14" s="19">
        <f>'$ Portfolio Loss'!$R13</f>
        <v>26.791435484536411</v>
      </c>
    </row>
    <row r="15" spans="1:14" x14ac:dyDescent="0.3">
      <c r="A15" s="7" t="s">
        <v>11</v>
      </c>
      <c r="B15" s="30">
        <f>MAX($J$5:$J$319)</f>
        <v>136.49908282215583</v>
      </c>
      <c r="I15">
        <f>'$ Portfolio Loss'!$I15</f>
        <v>11</v>
      </c>
      <c r="J15" s="19">
        <f>'$ Portfolio Loss'!$R15</f>
        <v>-7.5264611821949483</v>
      </c>
      <c r="L15">
        <v>11</v>
      </c>
      <c r="M15">
        <f>'$ Portfolio Loss'!$I23</f>
        <v>19</v>
      </c>
      <c r="N15" s="19">
        <f>'$ Portfolio Loss'!$R23</f>
        <v>26.542436763794303</v>
      </c>
    </row>
    <row r="16" spans="1:14" x14ac:dyDescent="0.3">
      <c r="A16" s="7" t="s">
        <v>2</v>
      </c>
      <c r="B16" s="30">
        <f>AVERAGE($J$5:$J$319)</f>
        <v>-1.1385906338585963</v>
      </c>
      <c r="I16">
        <f>'$ Portfolio Loss'!$I16</f>
        <v>12</v>
      </c>
      <c r="J16" s="19">
        <f>'$ Portfolio Loss'!$R16</f>
        <v>8.495230763407827</v>
      </c>
      <c r="L16">
        <v>12</v>
      </c>
      <c r="M16">
        <f>'$ Portfolio Loss'!$I296</f>
        <v>292</v>
      </c>
      <c r="N16" s="19">
        <f>'$ Portfolio Loss'!$R296</f>
        <v>25.856078930974007</v>
      </c>
    </row>
    <row r="17" spans="1:14" x14ac:dyDescent="0.3">
      <c r="A17" s="7" t="s">
        <v>15</v>
      </c>
      <c r="B17" s="30">
        <f>_xlfn.STDEV.S($J$5:$J$319)</f>
        <v>18.276864235164435</v>
      </c>
      <c r="I17">
        <f>'$ Portfolio Loss'!$I17</f>
        <v>13</v>
      </c>
      <c r="J17" s="19">
        <f>'$ Portfolio Loss'!$R17</f>
        <v>28.230477825598715</v>
      </c>
      <c r="L17">
        <v>13</v>
      </c>
      <c r="M17">
        <f>'$ Portfolio Loss'!$I58</f>
        <v>54</v>
      </c>
      <c r="N17" s="19">
        <f>'$ Portfolio Loss'!$R58</f>
        <v>25.381080925219059</v>
      </c>
    </row>
    <row r="18" spans="1:14" x14ac:dyDescent="0.3">
      <c r="A18" s="7" t="s">
        <v>3</v>
      </c>
      <c r="B18" s="30">
        <f>SKEW($J$5:$J$319)</f>
        <v>1.2960061161704428</v>
      </c>
      <c r="E18" s="1"/>
      <c r="F18" s="1"/>
      <c r="I18">
        <f>'$ Portfolio Loss'!$I18</f>
        <v>14</v>
      </c>
      <c r="J18" s="19">
        <f>'$ Portfolio Loss'!$R18</f>
        <v>-28.079815511728526</v>
      </c>
      <c r="L18">
        <v>14</v>
      </c>
      <c r="M18">
        <f>'$ Portfolio Loss'!$I293</f>
        <v>289</v>
      </c>
      <c r="N18" s="19">
        <f>'$ Portfolio Loss'!$R293</f>
        <v>24.474231197404862</v>
      </c>
    </row>
    <row r="19" spans="1:14" x14ac:dyDescent="0.3">
      <c r="A19" s="7" t="s">
        <v>4</v>
      </c>
      <c r="B19" s="30">
        <f>KURT($J$5:$J$319)</f>
        <v>10.835218771510595</v>
      </c>
      <c r="C19" s="19"/>
      <c r="I19">
        <f>'$ Portfolio Loss'!$I19</f>
        <v>15</v>
      </c>
      <c r="J19" s="19">
        <f>'$ Portfolio Loss'!$R19</f>
        <v>-41.54422268737018</v>
      </c>
      <c r="L19">
        <v>15</v>
      </c>
      <c r="M19">
        <f>'$ Portfolio Loss'!$I119</f>
        <v>115</v>
      </c>
      <c r="N19" s="19">
        <f>'$ Portfolio Loss'!$R119</f>
        <v>24.063951138277172</v>
      </c>
    </row>
    <row r="20" spans="1:14" x14ac:dyDescent="0.3">
      <c r="I20">
        <f>'$ Portfolio Loss'!$I20</f>
        <v>16</v>
      </c>
      <c r="J20" s="19">
        <f>'$ Portfolio Loss'!$R20</f>
        <v>-21.658187912484646</v>
      </c>
      <c r="L20">
        <v>16</v>
      </c>
      <c r="M20">
        <f>'$ Portfolio Loss'!$I95</f>
        <v>91</v>
      </c>
      <c r="N20" s="19">
        <f>'$ Portfolio Loss'!$R95</f>
        <v>23.704043288554072</v>
      </c>
    </row>
    <row r="21" spans="1:14" x14ac:dyDescent="0.3">
      <c r="I21">
        <f>'$ Portfolio Loss'!$I21</f>
        <v>17</v>
      </c>
      <c r="J21" s="19">
        <f>'$ Portfolio Loss'!$R21</f>
        <v>20.595811698857904</v>
      </c>
      <c r="L21">
        <v>17</v>
      </c>
      <c r="M21">
        <f>'$ Portfolio Loss'!$I311</f>
        <v>307</v>
      </c>
      <c r="N21" s="19">
        <f>'$ Portfolio Loss'!$R311</f>
        <v>23.139443185060262</v>
      </c>
    </row>
    <row r="22" spans="1:14" x14ac:dyDescent="0.3">
      <c r="A22" s="7" t="s">
        <v>34</v>
      </c>
      <c r="D22" s="21"/>
      <c r="E22" s="21"/>
      <c r="F22" s="21"/>
      <c r="G22" s="21"/>
      <c r="I22">
        <f>'$ Portfolio Loss'!$I22</f>
        <v>18</v>
      </c>
      <c r="J22" s="19">
        <f>'$ Portfolio Loss'!$R22</f>
        <v>-9.4806255269205568</v>
      </c>
      <c r="L22">
        <v>18</v>
      </c>
      <c r="M22">
        <f>'$ Portfolio Loss'!$I294</f>
        <v>290</v>
      </c>
      <c r="N22" s="19">
        <f>'$ Portfolio Loss'!$R294</f>
        <v>23.039656321314812</v>
      </c>
    </row>
    <row r="23" spans="1:14" x14ac:dyDescent="0.3">
      <c r="A23" s="7" t="s">
        <v>17</v>
      </c>
      <c r="B23" s="7" t="s">
        <v>19</v>
      </c>
      <c r="C23" s="21" t="s">
        <v>18</v>
      </c>
      <c r="D23" s="1"/>
      <c r="E23" s="1"/>
      <c r="F23" s="1"/>
      <c r="G23" s="1"/>
      <c r="I23">
        <f>'$ Portfolio Loss'!$I23</f>
        <v>19</v>
      </c>
      <c r="J23" s="19">
        <f>'$ Portfolio Loss'!$R23</f>
        <v>26.542436763794303</v>
      </c>
      <c r="L23">
        <v>19</v>
      </c>
      <c r="M23">
        <f>'$ Portfolio Loss'!$I133</f>
        <v>129</v>
      </c>
      <c r="N23" s="19">
        <f>'$ Portfolio Loss'!$R133</f>
        <v>22.485592787600279</v>
      </c>
    </row>
    <row r="24" spans="1:14" x14ac:dyDescent="0.3">
      <c r="A24" s="2">
        <v>0.995</v>
      </c>
      <c r="B24" s="1">
        <f>_xlfn.PERCENTILE.EXC($J$5:$J$319,A24)</f>
        <v>104.31501664789633</v>
      </c>
      <c r="C24" s="1">
        <f>SUMIF($J$5:$J$319,"&gt;"&amp;B24)/COUNTIF($J$5:$J$319,"&gt;"&amp;B24)</f>
        <v>136.49908282215583</v>
      </c>
      <c r="D24" s="37"/>
      <c r="E24" s="37"/>
      <c r="F24" s="37"/>
      <c r="G24" s="37"/>
      <c r="I24">
        <f>'$ Portfolio Loss'!$I24</f>
        <v>20</v>
      </c>
      <c r="J24" s="19">
        <f>'$ Portfolio Loss'!$R24</f>
        <v>16.556646965486646</v>
      </c>
      <c r="L24">
        <v>20</v>
      </c>
      <c r="M24">
        <f>'$ Portfolio Loss'!$I8</f>
        <v>4</v>
      </c>
      <c r="N24" s="19">
        <f>'$ Portfolio Loss'!$R8</f>
        <v>22.376267616043805</v>
      </c>
    </row>
    <row r="25" spans="1:14" x14ac:dyDescent="0.3">
      <c r="A25" s="36">
        <v>0.99</v>
      </c>
      <c r="B25" s="1">
        <f>_xlfn.PERCENTILE.EXC($J$5:$J$319,A25)</f>
        <v>39.877873152023973</v>
      </c>
      <c r="C25" s="1">
        <f t="shared" ref="C25:C43" si="0">SUMIF($J$5:$J$319,"&gt;"&amp;B25)/COUNTIF($J$5:$J$319,"&gt;"&amp;B25)</f>
        <v>85.969205543972294</v>
      </c>
      <c r="D25" s="1"/>
      <c r="E25" s="1"/>
      <c r="F25" s="1"/>
      <c r="G25" s="1"/>
      <c r="I25">
        <f>'$ Portfolio Loss'!$I25</f>
        <v>21</v>
      </c>
      <c r="J25" s="19">
        <f>'$ Portfolio Loss'!$R25</f>
        <v>-6.877926741204023</v>
      </c>
      <c r="L25">
        <v>21</v>
      </c>
      <c r="M25">
        <f>'$ Portfolio Loss'!$I72</f>
        <v>68</v>
      </c>
      <c r="N25" s="19">
        <f>'$ Portfolio Loss'!$R72</f>
        <v>21.053577494633199</v>
      </c>
    </row>
    <row r="26" spans="1:14" x14ac:dyDescent="0.3">
      <c r="A26" s="2">
        <v>0.98499999999999999</v>
      </c>
      <c r="B26" s="1">
        <f t="shared" ref="B26:B43" si="1">_xlfn.PERCENTILE.EXC($J$5:$J$319,A26)</f>
        <v>36.275913493933061</v>
      </c>
      <c r="C26" s="1">
        <f t="shared" si="0"/>
        <v>73.762104375204359</v>
      </c>
      <c r="D26" s="1"/>
      <c r="E26" s="1"/>
      <c r="F26" s="1"/>
      <c r="G26" s="1"/>
      <c r="I26">
        <f>'$ Portfolio Loss'!$I26</f>
        <v>22</v>
      </c>
      <c r="J26" s="19">
        <f>'$ Portfolio Loss'!$R26</f>
        <v>2.6968251211432217</v>
      </c>
      <c r="L26">
        <v>22</v>
      </c>
      <c r="M26">
        <f>'$ Portfolio Loss'!$I21</f>
        <v>17</v>
      </c>
      <c r="N26" s="19">
        <f>'$ Portfolio Loss'!$R21</f>
        <v>20.595811698857904</v>
      </c>
    </row>
    <row r="27" spans="1:14" x14ac:dyDescent="0.3">
      <c r="A27" s="2">
        <v>0.98</v>
      </c>
      <c r="B27" s="1">
        <f t="shared" si="1"/>
        <v>31.5995602594788</v>
      </c>
      <c r="C27" s="1">
        <f t="shared" si="0"/>
        <v>60.680057763838228</v>
      </c>
      <c r="D27" s="1"/>
      <c r="E27" s="1"/>
      <c r="F27" s="1"/>
      <c r="G27" s="1"/>
      <c r="I27">
        <f>'$ Portfolio Loss'!$I27</f>
        <v>23</v>
      </c>
      <c r="J27" s="19">
        <f>'$ Portfolio Loss'!$R27</f>
        <v>2.0132931568976642</v>
      </c>
      <c r="L27">
        <v>23</v>
      </c>
      <c r="M27">
        <f>'$ Portfolio Loss'!$I70</f>
        <v>66</v>
      </c>
      <c r="N27" s="19">
        <f>'$ Portfolio Loss'!$R70</f>
        <v>19.948785491507412</v>
      </c>
    </row>
    <row r="28" spans="1:14" x14ac:dyDescent="0.3">
      <c r="A28" s="2">
        <v>0.97499999999999998</v>
      </c>
      <c r="B28" s="1">
        <f t="shared" si="1"/>
        <v>28.257064950174858</v>
      </c>
      <c r="C28" s="1">
        <f t="shared" si="0"/>
        <v>56.082385093484227</v>
      </c>
      <c r="D28" s="1"/>
      <c r="E28" s="1"/>
      <c r="F28" s="1"/>
      <c r="G28" s="1"/>
      <c r="I28">
        <f>'$ Portfolio Loss'!$I28</f>
        <v>24</v>
      </c>
      <c r="J28" s="19">
        <f>'$ Portfolio Loss'!$R28</f>
        <v>-48.027187468540667</v>
      </c>
      <c r="L28">
        <v>24</v>
      </c>
      <c r="M28">
        <f>'$ Portfolio Loss'!$I243</f>
        <v>239</v>
      </c>
      <c r="N28" s="19">
        <f>'$ Portfolio Loss'!$R243</f>
        <v>19.866957988964081</v>
      </c>
    </row>
    <row r="29" spans="1:14" x14ac:dyDescent="0.3">
      <c r="A29" s="2">
        <v>0.97</v>
      </c>
      <c r="B29" s="1">
        <f t="shared" si="1"/>
        <v>27.151750405262153</v>
      </c>
      <c r="C29" s="1">
        <f t="shared" si="0"/>
        <v>49.810169141512525</v>
      </c>
      <c r="D29" s="1"/>
      <c r="E29" s="1"/>
      <c r="F29" s="1"/>
      <c r="G29" s="1"/>
      <c r="I29">
        <f>'$ Portfolio Loss'!$I29</f>
        <v>25</v>
      </c>
      <c r="J29" s="19">
        <f>'$ Portfolio Loss'!$R29</f>
        <v>7.8661047735856773</v>
      </c>
      <c r="L29">
        <v>25</v>
      </c>
      <c r="M29">
        <f>'$ Portfolio Loss'!$I137</f>
        <v>133</v>
      </c>
      <c r="N29" s="19">
        <f>'$ Portfolio Loss'!$R137</f>
        <v>19.780622694604872</v>
      </c>
    </row>
    <row r="30" spans="1:14" x14ac:dyDescent="0.3">
      <c r="A30" s="2">
        <v>0.96499999999999997</v>
      </c>
      <c r="B30" s="1">
        <f t="shared" si="1"/>
        <v>26.501255293825082</v>
      </c>
      <c r="C30" s="1">
        <f t="shared" si="0"/>
        <v>45.602308592903938</v>
      </c>
      <c r="D30" s="1"/>
      <c r="E30" s="1"/>
      <c r="F30" s="1"/>
      <c r="G30" s="1"/>
      <c r="I30">
        <f>'$ Portfolio Loss'!$I30</f>
        <v>26</v>
      </c>
      <c r="J30" s="19">
        <f>'$ Portfolio Loss'!$R30</f>
        <v>9.5804998320612906</v>
      </c>
      <c r="L30">
        <v>26</v>
      </c>
      <c r="M30">
        <f>'$ Portfolio Loss'!$I212</f>
        <v>208</v>
      </c>
      <c r="N30" s="19">
        <f>'$ Portfolio Loss'!$R212</f>
        <v>19.488502460363151</v>
      </c>
    </row>
    <row r="31" spans="1:14" x14ac:dyDescent="0.3">
      <c r="A31" s="2">
        <v>0.96</v>
      </c>
      <c r="B31" s="1">
        <f t="shared" si="1"/>
        <v>25.552080207290846</v>
      </c>
      <c r="C31" s="1">
        <f t="shared" si="0"/>
        <v>43.95678945440978</v>
      </c>
      <c r="D31" s="1"/>
      <c r="E31" s="1"/>
      <c r="F31" s="1"/>
      <c r="G31" s="1"/>
      <c r="I31">
        <f>'$ Portfolio Loss'!$I31</f>
        <v>27</v>
      </c>
      <c r="J31" s="19">
        <f>'$ Portfolio Loss'!$R31</f>
        <v>11.163725752216219</v>
      </c>
      <c r="L31">
        <v>27</v>
      </c>
      <c r="M31">
        <f>'$ Portfolio Loss'!$I285</f>
        <v>281</v>
      </c>
      <c r="N31" s="19">
        <f>'$ Portfolio Loss'!$R285</f>
        <v>19.388726850362779</v>
      </c>
    </row>
    <row r="32" spans="1:14" x14ac:dyDescent="0.3">
      <c r="A32" s="2">
        <v>0.95499999999999996</v>
      </c>
      <c r="B32" s="1">
        <f t="shared" si="1"/>
        <v>24.383969584396759</v>
      </c>
      <c r="C32" s="1">
        <f t="shared" si="0"/>
        <v>41.238341826824389</v>
      </c>
      <c r="D32" s="1"/>
      <c r="E32" s="1"/>
      <c r="F32" s="1"/>
      <c r="G32" s="1"/>
      <c r="I32">
        <f>'$ Portfolio Loss'!$I32</f>
        <v>28</v>
      </c>
      <c r="J32" s="19">
        <f>'$ Portfolio Loss'!$R32</f>
        <v>-12.042211121222973</v>
      </c>
      <c r="L32">
        <v>28</v>
      </c>
      <c r="M32">
        <f>'$ Portfolio Loss'!$I218</f>
        <v>214</v>
      </c>
      <c r="N32" s="19">
        <f>'$ Portfolio Loss'!$R218</f>
        <v>18.781270563981415</v>
      </c>
    </row>
    <row r="33" spans="1:14" x14ac:dyDescent="0.3">
      <c r="A33" s="2">
        <v>0.95</v>
      </c>
      <c r="B33" s="1">
        <f t="shared" si="1"/>
        <v>23.776024858498687</v>
      </c>
      <c r="C33" s="1">
        <f t="shared" si="0"/>
        <v>40.093382447587906</v>
      </c>
      <c r="D33" s="1"/>
      <c r="E33" s="1"/>
      <c r="F33" s="1"/>
      <c r="G33" s="1"/>
      <c r="I33">
        <f>'$ Portfolio Loss'!$I33</f>
        <v>29</v>
      </c>
      <c r="J33" s="19">
        <f>'$ Portfolio Loss'!$R33</f>
        <v>-3.6123870886712073</v>
      </c>
      <c r="L33">
        <v>29</v>
      </c>
      <c r="M33">
        <f>'$ Portfolio Loss'!$I100</f>
        <v>96</v>
      </c>
      <c r="N33" s="19">
        <f>'$ Portfolio Loss'!$R100</f>
        <v>18.658421639122366</v>
      </c>
    </row>
    <row r="34" spans="1:14" x14ac:dyDescent="0.3">
      <c r="A34" s="2">
        <v>0.94499999999999995</v>
      </c>
      <c r="B34" s="1">
        <f t="shared" si="1"/>
        <v>23.101524176836993</v>
      </c>
      <c r="C34" s="1">
        <f t="shared" si="0"/>
        <v>38.132013128672526</v>
      </c>
      <c r="D34" s="1"/>
      <c r="E34" s="1"/>
      <c r="F34" s="1"/>
      <c r="G34" s="1"/>
      <c r="I34">
        <f>'$ Portfolio Loss'!$I34</f>
        <v>30</v>
      </c>
      <c r="J34" s="19">
        <f>'$ Portfolio Loss'!$R34</f>
        <v>-29.408320606259583</v>
      </c>
      <c r="L34">
        <v>30</v>
      </c>
      <c r="M34">
        <f>'$ Portfolio Loss'!$I41</f>
        <v>37</v>
      </c>
      <c r="N34" s="19">
        <f>'$ Portfolio Loss'!$R41</f>
        <v>18.478809594886542</v>
      </c>
    </row>
    <row r="35" spans="1:14" x14ac:dyDescent="0.3">
      <c r="A35" s="2">
        <v>0.94</v>
      </c>
      <c r="B35" s="1">
        <f t="shared" si="1"/>
        <v>22.507755328948839</v>
      </c>
      <c r="C35" s="1">
        <f t="shared" si="0"/>
        <v>37.293548861597088</v>
      </c>
      <c r="D35" s="1"/>
      <c r="E35" s="1"/>
      <c r="F35" s="1"/>
      <c r="G35" s="1"/>
      <c r="I35">
        <f>'$ Portfolio Loss'!$I35</f>
        <v>31</v>
      </c>
      <c r="J35" s="19">
        <f>'$ Portfolio Loss'!$R35</f>
        <v>4.4963935196657179</v>
      </c>
      <c r="L35">
        <v>31</v>
      </c>
      <c r="M35">
        <f>'$ Portfolio Loss'!$I97</f>
        <v>93</v>
      </c>
      <c r="N35" s="19">
        <f>'$ Portfolio Loss'!$R97</f>
        <v>18.041551644984246</v>
      </c>
    </row>
    <row r="36" spans="1:14" x14ac:dyDescent="0.3">
      <c r="A36" s="2">
        <v>0.93500000000000005</v>
      </c>
      <c r="B36" s="1">
        <f t="shared" si="1"/>
        <v>21.662014950482124</v>
      </c>
      <c r="C36" s="1">
        <f t="shared" si="0"/>
        <v>35.807286995619592</v>
      </c>
      <c r="D36" s="1"/>
      <c r="E36" s="1"/>
      <c r="F36" s="1"/>
      <c r="G36" s="1"/>
      <c r="I36">
        <f>'$ Portfolio Loss'!$I36</f>
        <v>32</v>
      </c>
      <c r="J36" s="19">
        <f>'$ Portfolio Loss'!$R36</f>
        <v>-20.329542828097104</v>
      </c>
      <c r="L36">
        <v>32</v>
      </c>
      <c r="M36">
        <f>'$ Portfolio Loss'!$I164</f>
        <v>160</v>
      </c>
      <c r="N36" s="19">
        <f>'$ Portfolio Loss'!$R164</f>
        <v>17.957570186961053</v>
      </c>
    </row>
    <row r="37" spans="1:14" x14ac:dyDescent="0.3">
      <c r="A37" s="2">
        <v>0.93</v>
      </c>
      <c r="B37" s="1">
        <f t="shared" si="1"/>
        <v>20.51816855397584</v>
      </c>
      <c r="C37" s="1">
        <f t="shared" si="0"/>
        <v>34.445233141176502</v>
      </c>
      <c r="D37" s="1"/>
      <c r="E37" s="1"/>
      <c r="F37" s="1"/>
      <c r="G37" s="1"/>
      <c r="I37">
        <f>'$ Portfolio Loss'!$I37</f>
        <v>33</v>
      </c>
      <c r="J37" s="19">
        <f>'$ Portfolio Loss'!$R37</f>
        <v>-20.290737397518395</v>
      </c>
      <c r="L37">
        <v>33</v>
      </c>
      <c r="M37">
        <f>'$ Portfolio Loss'!$I61</f>
        <v>57</v>
      </c>
      <c r="N37" s="19">
        <f>'$ Portfolio Loss'!$R61</f>
        <v>17.333299984312056</v>
      </c>
    </row>
    <row r="38" spans="1:14" x14ac:dyDescent="0.3">
      <c r="A38" s="2">
        <v>0.92500000000000004</v>
      </c>
      <c r="B38" s="1">
        <f t="shared" si="1"/>
        <v>19.891506239727082</v>
      </c>
      <c r="C38" s="1">
        <f t="shared" si="0"/>
        <v>33.814952808582191</v>
      </c>
      <c r="D38" s="1"/>
      <c r="E38" s="1"/>
      <c r="F38" s="1"/>
      <c r="G38" s="1"/>
      <c r="I38">
        <f>'$ Portfolio Loss'!$I38</f>
        <v>34</v>
      </c>
      <c r="J38" s="19">
        <f>'$ Portfolio Loss'!$R38</f>
        <v>-0.76895461986398694</v>
      </c>
      <c r="L38">
        <v>34</v>
      </c>
      <c r="M38">
        <f>'$ Portfolio Loss'!$I273</f>
        <v>269</v>
      </c>
      <c r="N38" s="19">
        <f>'$ Portfolio Loss'!$R273</f>
        <v>17.241482419643521</v>
      </c>
    </row>
    <row r="39" spans="1:14" x14ac:dyDescent="0.3">
      <c r="A39" s="2">
        <v>0.92</v>
      </c>
      <c r="B39" s="1">
        <f t="shared" si="1"/>
        <v>19.698829029017197</v>
      </c>
      <c r="C39" s="1">
        <f t="shared" si="0"/>
        <v>32.695659811238372</v>
      </c>
      <c r="D39" s="1"/>
      <c r="E39" s="1"/>
      <c r="F39" s="1"/>
      <c r="G39" s="1"/>
      <c r="I39">
        <f>'$ Portfolio Loss'!$I39</f>
        <v>35</v>
      </c>
      <c r="J39" s="19">
        <f>'$ Portfolio Loss'!$R39</f>
        <v>5.6892253972493414</v>
      </c>
      <c r="L39">
        <v>35</v>
      </c>
      <c r="M39">
        <f>'$ Portfolio Loss'!$I129</f>
        <v>125</v>
      </c>
      <c r="N39" s="19">
        <f>'$ Portfolio Loss'!$R129</f>
        <v>17.235562308607339</v>
      </c>
    </row>
    <row r="40" spans="1:14" x14ac:dyDescent="0.3">
      <c r="A40" s="2">
        <v>0.91500000000000004</v>
      </c>
      <c r="B40" s="1">
        <f t="shared" si="1"/>
        <v>19.40269543576283</v>
      </c>
      <c r="C40" s="1">
        <f t="shared" si="0"/>
        <v>32.187692220820097</v>
      </c>
      <c r="D40" s="1"/>
      <c r="E40" s="1"/>
      <c r="F40" s="1"/>
      <c r="G40" s="1"/>
      <c r="I40">
        <f>'$ Portfolio Loss'!$I40</f>
        <v>36</v>
      </c>
      <c r="J40" s="19">
        <f>'$ Portfolio Loss'!$R40</f>
        <v>-12.826514873774528</v>
      </c>
      <c r="L40">
        <v>36</v>
      </c>
      <c r="M40">
        <f>'$ Portfolio Loss'!$I143</f>
        <v>139</v>
      </c>
      <c r="N40" s="19">
        <f>'$ Portfolio Loss'!$R143</f>
        <v>16.857227163432956</v>
      </c>
    </row>
    <row r="41" spans="1:14" x14ac:dyDescent="0.3">
      <c r="A41" s="2">
        <v>0.91</v>
      </c>
      <c r="B41" s="1">
        <f t="shared" si="1"/>
        <v>18.727217037043435</v>
      </c>
      <c r="C41" s="1">
        <f t="shared" si="0"/>
        <v>31.251785541273808</v>
      </c>
      <c r="D41" s="1"/>
      <c r="E41" s="1"/>
      <c r="F41" s="1"/>
      <c r="G41" s="1"/>
      <c r="I41">
        <f>'$ Portfolio Loss'!$I41</f>
        <v>37</v>
      </c>
      <c r="J41" s="19">
        <f>'$ Portfolio Loss'!$R41</f>
        <v>18.478809594886542</v>
      </c>
      <c r="L41">
        <v>37</v>
      </c>
      <c r="M41">
        <f>'$ Portfolio Loss'!$I115</f>
        <v>111</v>
      </c>
      <c r="N41" s="19">
        <f>'$ Portfolio Loss'!$R115</f>
        <v>16.667890549984811</v>
      </c>
    </row>
    <row r="42" spans="1:14" x14ac:dyDescent="0.3">
      <c r="A42" s="2">
        <v>0.90500000000000003</v>
      </c>
      <c r="B42" s="1">
        <f t="shared" si="1"/>
        <v>18.470064435888503</v>
      </c>
      <c r="C42" s="1">
        <f t="shared" si="0"/>
        <v>30.406240879655851</v>
      </c>
      <c r="D42" s="1"/>
      <c r="E42" s="1"/>
      <c r="F42" s="1"/>
      <c r="G42" s="1"/>
      <c r="I42">
        <f>'$ Portfolio Loss'!$I42</f>
        <v>38</v>
      </c>
      <c r="J42" s="19">
        <f>'$ Portfolio Loss'!$R42</f>
        <v>2.7809832864127157</v>
      </c>
      <c r="L42">
        <v>38</v>
      </c>
      <c r="M42">
        <f>'$ Portfolio Loss'!$I24</f>
        <v>20</v>
      </c>
      <c r="N42" s="19">
        <f>'$ Portfolio Loss'!$R24</f>
        <v>16.556646965486646</v>
      </c>
    </row>
    <row r="43" spans="1:14" x14ac:dyDescent="0.3">
      <c r="A43" s="2">
        <v>0.9</v>
      </c>
      <c r="B43" s="1">
        <f t="shared" si="1"/>
        <v>17.991162770170334</v>
      </c>
      <c r="C43" s="1">
        <f t="shared" si="0"/>
        <v>30.007379936601929</v>
      </c>
      <c r="I43">
        <f>'$ Portfolio Loss'!$I43</f>
        <v>39</v>
      </c>
      <c r="J43" s="19">
        <f>'$ Portfolio Loss'!$R43</f>
        <v>-7.4176659776650666</v>
      </c>
      <c r="L43">
        <v>39</v>
      </c>
      <c r="M43">
        <f>'$ Portfolio Loss'!$I98</f>
        <v>94</v>
      </c>
      <c r="N43" s="19">
        <f>'$ Portfolio Loss'!$R98</f>
        <v>15.28632989916408</v>
      </c>
    </row>
    <row r="44" spans="1:14" x14ac:dyDescent="0.3">
      <c r="I44">
        <f>'$ Portfolio Loss'!$I44</f>
        <v>40</v>
      </c>
      <c r="J44" s="19">
        <f>'$ Portfolio Loss'!$R44</f>
        <v>2.3835503987958431</v>
      </c>
      <c r="L44">
        <v>40</v>
      </c>
      <c r="M44">
        <f>'$ Portfolio Loss'!$I267</f>
        <v>263</v>
      </c>
      <c r="N44" s="19">
        <f>'$ Portfolio Loss'!$R267</f>
        <v>15.177585904068827</v>
      </c>
    </row>
    <row r="45" spans="1:14" x14ac:dyDescent="0.3">
      <c r="A45" s="2"/>
      <c r="I45">
        <f>'$ Portfolio Loss'!$I45</f>
        <v>41</v>
      </c>
      <c r="J45" s="19">
        <f>'$ Portfolio Loss'!$R45</f>
        <v>27.484348793624402</v>
      </c>
      <c r="L45">
        <v>41</v>
      </c>
      <c r="M45">
        <f>'$ Portfolio Loss'!$I130</f>
        <v>126</v>
      </c>
      <c r="N45" s="19">
        <f>'$ Portfolio Loss'!$R130</f>
        <v>15.124045667454482</v>
      </c>
    </row>
    <row r="46" spans="1:14" x14ac:dyDescent="0.3">
      <c r="A46" s="7"/>
      <c r="B46" s="37"/>
      <c r="C46" s="37"/>
      <c r="D46" s="37"/>
      <c r="E46" s="37"/>
      <c r="F46" s="37"/>
      <c r="G46" s="37"/>
      <c r="I46">
        <f>'$ Portfolio Loss'!$I46</f>
        <v>42</v>
      </c>
      <c r="J46" s="19">
        <f>'$ Portfolio Loss'!$R46</f>
        <v>-20.147060210735916</v>
      </c>
      <c r="L46">
        <v>42</v>
      </c>
      <c r="M46">
        <f>'$ Portfolio Loss'!$I276</f>
        <v>272</v>
      </c>
      <c r="N46" s="19">
        <f>'$ Portfolio Loss'!$R276</f>
        <v>14.973511287038326</v>
      </c>
    </row>
    <row r="47" spans="1:14" x14ac:dyDescent="0.3">
      <c r="I47">
        <f>'$ Portfolio Loss'!$I47</f>
        <v>43</v>
      </c>
      <c r="J47" s="19">
        <f>'$ Portfolio Loss'!$R47</f>
        <v>10.239611494979382</v>
      </c>
      <c r="L47">
        <v>43</v>
      </c>
      <c r="M47">
        <f>'$ Portfolio Loss'!$I140</f>
        <v>136</v>
      </c>
      <c r="N47" s="19">
        <f>'$ Portfolio Loss'!$R140</f>
        <v>14.959071369357108</v>
      </c>
    </row>
    <row r="48" spans="1:14" x14ac:dyDescent="0.3">
      <c r="I48">
        <f>'$ Portfolio Loss'!$I48</f>
        <v>44</v>
      </c>
      <c r="J48" s="19">
        <f>'$ Portfolio Loss'!$R48</f>
        <v>-8.0822088673042067</v>
      </c>
      <c r="L48">
        <v>44</v>
      </c>
      <c r="M48">
        <f>'$ Portfolio Loss'!$I167</f>
        <v>163</v>
      </c>
      <c r="N48" s="19">
        <f>'$ Portfolio Loss'!$R167</f>
        <v>14.48169377954185</v>
      </c>
    </row>
    <row r="49" spans="9:14" x14ac:dyDescent="0.3">
      <c r="I49">
        <f>'$ Portfolio Loss'!$I49</f>
        <v>45</v>
      </c>
      <c r="J49" s="19">
        <f>'$ Portfolio Loss'!$R49</f>
        <v>-15.06799722976637</v>
      </c>
      <c r="L49">
        <v>45</v>
      </c>
      <c r="M49">
        <f>'$ Portfolio Loss'!$I232</f>
        <v>228</v>
      </c>
      <c r="N49" s="19">
        <f>'$ Portfolio Loss'!$R232</f>
        <v>14.458743415777922</v>
      </c>
    </row>
    <row r="50" spans="9:14" x14ac:dyDescent="0.3">
      <c r="I50">
        <f>'$ Portfolio Loss'!$I50</f>
        <v>46</v>
      </c>
      <c r="J50" s="19">
        <f>'$ Portfolio Loss'!$R50</f>
        <v>-35.10303784958267</v>
      </c>
      <c r="L50">
        <v>46</v>
      </c>
      <c r="M50">
        <f>'$ Portfolio Loss'!$I55</f>
        <v>51</v>
      </c>
      <c r="N50" s="19">
        <f>'$ Portfolio Loss'!$R55</f>
        <v>14.415331318858266</v>
      </c>
    </row>
    <row r="51" spans="9:14" x14ac:dyDescent="0.3">
      <c r="I51">
        <f>'$ Portfolio Loss'!$I51</f>
        <v>47</v>
      </c>
      <c r="J51" s="19">
        <f>'$ Portfolio Loss'!$R51</f>
        <v>0.17837172282540797</v>
      </c>
      <c r="L51">
        <v>47</v>
      </c>
      <c r="M51">
        <f>'$ Portfolio Loss'!$I64</f>
        <v>60</v>
      </c>
      <c r="N51" s="19">
        <f>'$ Portfolio Loss'!$R64</f>
        <v>14.048489144422531</v>
      </c>
    </row>
    <row r="52" spans="9:14" x14ac:dyDescent="0.3">
      <c r="I52">
        <f>'$ Portfolio Loss'!$I52</f>
        <v>48</v>
      </c>
      <c r="J52" s="19">
        <f>'$ Portfolio Loss'!$R52</f>
        <v>5.2296468155839442</v>
      </c>
      <c r="L52">
        <v>48</v>
      </c>
      <c r="M52">
        <f>'$ Portfolio Loss'!$I144</f>
        <v>140</v>
      </c>
      <c r="N52" s="19">
        <f>'$ Portfolio Loss'!$R144</f>
        <v>13.970099982157826</v>
      </c>
    </row>
    <row r="53" spans="9:14" x14ac:dyDescent="0.3">
      <c r="I53">
        <f>'$ Portfolio Loss'!$I53</f>
        <v>49</v>
      </c>
      <c r="J53" s="19">
        <f>'$ Portfolio Loss'!$R53</f>
        <v>13.239525945979596</v>
      </c>
      <c r="L53">
        <v>49</v>
      </c>
      <c r="M53">
        <f>'$ Portfolio Loss'!$I300</f>
        <v>296</v>
      </c>
      <c r="N53" s="19">
        <f>'$ Portfolio Loss'!$R300</f>
        <v>13.900553897720814</v>
      </c>
    </row>
    <row r="54" spans="9:14" x14ac:dyDescent="0.3">
      <c r="I54">
        <f>'$ Portfolio Loss'!$I54</f>
        <v>50</v>
      </c>
      <c r="J54" s="19">
        <f>'$ Portfolio Loss'!$R54</f>
        <v>-5.7488875350892545</v>
      </c>
      <c r="L54">
        <v>50</v>
      </c>
      <c r="M54">
        <f>'$ Portfolio Loss'!$I161</f>
        <v>157</v>
      </c>
      <c r="N54" s="19">
        <f>'$ Portfolio Loss'!$R161</f>
        <v>13.654472418457866</v>
      </c>
    </row>
    <row r="55" spans="9:14" x14ac:dyDescent="0.3">
      <c r="I55">
        <f>'$ Portfolio Loss'!$I55</f>
        <v>51</v>
      </c>
      <c r="J55" s="19">
        <f>'$ Portfolio Loss'!$R55</f>
        <v>14.415331318858266</v>
      </c>
      <c r="L55">
        <v>51</v>
      </c>
      <c r="M55">
        <f>'$ Portfolio Loss'!$I109</f>
        <v>105</v>
      </c>
      <c r="N55" s="19">
        <f>'$ Portfolio Loss'!$R109</f>
        <v>13.548695775331259</v>
      </c>
    </row>
    <row r="56" spans="9:14" x14ac:dyDescent="0.3">
      <c r="I56">
        <f>'$ Portfolio Loss'!$I56</f>
        <v>52</v>
      </c>
      <c r="J56" s="19">
        <f>'$ Portfolio Loss'!$R56</f>
        <v>-2.4792019862728121</v>
      </c>
      <c r="L56">
        <v>52</v>
      </c>
      <c r="M56">
        <f>'$ Portfolio Loss'!$I206</f>
        <v>202</v>
      </c>
      <c r="N56" s="19">
        <f>'$ Portfolio Loss'!$R206</f>
        <v>13.491782703768253</v>
      </c>
    </row>
    <row r="57" spans="9:14" x14ac:dyDescent="0.3">
      <c r="I57">
        <f>'$ Portfolio Loss'!$I57</f>
        <v>53</v>
      </c>
      <c r="J57" s="19">
        <f>'$ Portfolio Loss'!$R57</f>
        <v>-17.278643169272662</v>
      </c>
      <c r="L57">
        <v>53</v>
      </c>
      <c r="M57">
        <f>'$ Portfolio Loss'!$I209</f>
        <v>205</v>
      </c>
      <c r="N57" s="19">
        <f>'$ Portfolio Loss'!$R209</f>
        <v>13.308938922253848</v>
      </c>
    </row>
    <row r="58" spans="9:14" x14ac:dyDescent="0.3">
      <c r="I58">
        <f>'$ Portfolio Loss'!$I58</f>
        <v>54</v>
      </c>
      <c r="J58" s="19">
        <f>'$ Portfolio Loss'!$R58</f>
        <v>25.381080925219059</v>
      </c>
      <c r="L58">
        <v>54</v>
      </c>
      <c r="M58">
        <f>'$ Portfolio Loss'!$I53</f>
        <v>49</v>
      </c>
      <c r="N58" s="19">
        <f>'$ Portfolio Loss'!$R53</f>
        <v>13.239525945979596</v>
      </c>
    </row>
    <row r="59" spans="9:14" x14ac:dyDescent="0.3">
      <c r="I59">
        <f>'$ Portfolio Loss'!$I59</f>
        <v>55</v>
      </c>
      <c r="J59" s="19">
        <f>'$ Portfolio Loss'!$R59</f>
        <v>1.2156825145068169</v>
      </c>
      <c r="L59">
        <v>55</v>
      </c>
      <c r="M59">
        <f>'$ Portfolio Loss'!$I124</f>
        <v>120</v>
      </c>
      <c r="N59" s="19">
        <f>'$ Portfolio Loss'!$R124</f>
        <v>13.143827811648608</v>
      </c>
    </row>
    <row r="60" spans="9:14" x14ac:dyDescent="0.3">
      <c r="I60">
        <f>'$ Portfolio Loss'!$I60</f>
        <v>56</v>
      </c>
      <c r="J60" s="19">
        <f>'$ Portfolio Loss'!$R60</f>
        <v>-7.0147997055766584</v>
      </c>
      <c r="L60">
        <v>56</v>
      </c>
      <c r="M60">
        <f>'$ Portfolio Loss'!$I201</f>
        <v>197</v>
      </c>
      <c r="N60" s="19">
        <f>'$ Portfolio Loss'!$R201</f>
        <v>12.893032524746657</v>
      </c>
    </row>
    <row r="61" spans="9:14" x14ac:dyDescent="0.3">
      <c r="I61">
        <f>'$ Portfolio Loss'!$I61</f>
        <v>57</v>
      </c>
      <c r="J61" s="19">
        <f>'$ Portfolio Loss'!$R61</f>
        <v>17.333299984312056</v>
      </c>
      <c r="L61">
        <v>57</v>
      </c>
      <c r="M61">
        <f>'$ Portfolio Loss'!$I101</f>
        <v>97</v>
      </c>
      <c r="N61" s="19">
        <f>'$ Portfolio Loss'!$R101</f>
        <v>12.85196009535265</v>
      </c>
    </row>
    <row r="62" spans="9:14" x14ac:dyDescent="0.3">
      <c r="I62">
        <f>'$ Portfolio Loss'!$I62</f>
        <v>58</v>
      </c>
      <c r="J62" s="19">
        <f>'$ Portfolio Loss'!$R62</f>
        <v>-12.994325704149485</v>
      </c>
      <c r="L62">
        <v>58</v>
      </c>
      <c r="M62">
        <f>'$ Portfolio Loss'!$I192</f>
        <v>188</v>
      </c>
      <c r="N62" s="19">
        <f>'$ Portfolio Loss'!$R192</f>
        <v>12.128498463487029</v>
      </c>
    </row>
    <row r="63" spans="9:14" x14ac:dyDescent="0.3">
      <c r="I63">
        <f>'$ Portfolio Loss'!$I63</f>
        <v>59</v>
      </c>
      <c r="J63" s="19">
        <f>'$ Portfolio Loss'!$R63</f>
        <v>-23.616506478227496</v>
      </c>
      <c r="L63">
        <v>59</v>
      </c>
      <c r="M63">
        <f>'$ Portfolio Loss'!$I303</f>
        <v>299</v>
      </c>
      <c r="N63" s="19">
        <f>'$ Portfolio Loss'!$R303</f>
        <v>11.598615172617793</v>
      </c>
    </row>
    <row r="64" spans="9:14" x14ac:dyDescent="0.3">
      <c r="I64">
        <f>'$ Portfolio Loss'!$I64</f>
        <v>60</v>
      </c>
      <c r="J64" s="19">
        <f>'$ Portfolio Loss'!$R64</f>
        <v>14.048489144422531</v>
      </c>
      <c r="L64">
        <v>60</v>
      </c>
      <c r="M64">
        <f>'$ Portfolio Loss'!$I102</f>
        <v>98</v>
      </c>
      <c r="N64" s="19">
        <f>'$ Portfolio Loss'!$R102</f>
        <v>11.510792895518064</v>
      </c>
    </row>
    <row r="65" spans="9:14" x14ac:dyDescent="0.3">
      <c r="I65">
        <f>'$ Portfolio Loss'!$I65</f>
        <v>61</v>
      </c>
      <c r="J65" s="19">
        <f>'$ Portfolio Loss'!$R65</f>
        <v>3.1979104333106281</v>
      </c>
      <c r="L65">
        <v>61</v>
      </c>
      <c r="M65">
        <f>'$ Portfolio Loss'!$I135</f>
        <v>131</v>
      </c>
      <c r="N65" s="19">
        <f>'$ Portfolio Loss'!$R135</f>
        <v>11.378802255985498</v>
      </c>
    </row>
    <row r="66" spans="9:14" x14ac:dyDescent="0.3">
      <c r="I66">
        <f>'$ Portfolio Loss'!$I66</f>
        <v>62</v>
      </c>
      <c r="J66" s="19">
        <f>'$ Portfolio Loss'!$R66</f>
        <v>-0.58103953235650063</v>
      </c>
      <c r="L66">
        <v>62</v>
      </c>
      <c r="M66">
        <f>'$ Portfolio Loss'!$I31</f>
        <v>27</v>
      </c>
      <c r="N66" s="19">
        <f>'$ Portfolio Loss'!$R31</f>
        <v>11.163725752216219</v>
      </c>
    </row>
    <row r="67" spans="9:14" x14ac:dyDescent="0.3">
      <c r="I67">
        <f>'$ Portfolio Loss'!$I67</f>
        <v>63</v>
      </c>
      <c r="J67" s="19">
        <f>'$ Portfolio Loss'!$R67</f>
        <v>-5.851985875431418</v>
      </c>
      <c r="L67">
        <v>63</v>
      </c>
      <c r="M67">
        <f>'$ Portfolio Loss'!$I87</f>
        <v>83</v>
      </c>
      <c r="N67" s="19">
        <f>'$ Portfolio Loss'!$R87</f>
        <v>11.12422852235961</v>
      </c>
    </row>
    <row r="68" spans="9:14" x14ac:dyDescent="0.3">
      <c r="I68">
        <f>'$ Portfolio Loss'!$I68</f>
        <v>64</v>
      </c>
      <c r="J68" s="19">
        <f>'$ Portfolio Loss'!$R68</f>
        <v>-18.67678621706915</v>
      </c>
      <c r="L68">
        <v>64</v>
      </c>
      <c r="M68">
        <f>'$ Portfolio Loss'!$I233</f>
        <v>229</v>
      </c>
      <c r="N68" s="19">
        <f>'$ Portfolio Loss'!$R233</f>
        <v>10.918395502117633</v>
      </c>
    </row>
    <row r="69" spans="9:14" x14ac:dyDescent="0.3">
      <c r="I69">
        <f>'$ Portfolio Loss'!$I69</f>
        <v>65</v>
      </c>
      <c r="J69" s="19">
        <f>'$ Portfolio Loss'!$R69</f>
        <v>2.0047194742708205</v>
      </c>
      <c r="L69">
        <v>65</v>
      </c>
      <c r="M69">
        <f>'$ Portfolio Loss'!$I108</f>
        <v>104</v>
      </c>
      <c r="N69" s="19">
        <f>'$ Portfolio Loss'!$R108</f>
        <v>10.844313215246796</v>
      </c>
    </row>
    <row r="70" spans="9:14" x14ac:dyDescent="0.3">
      <c r="I70">
        <f>'$ Portfolio Loss'!$I70</f>
        <v>66</v>
      </c>
      <c r="J70" s="19">
        <f>'$ Portfolio Loss'!$R70</f>
        <v>19.948785491507412</v>
      </c>
      <c r="L70">
        <v>66</v>
      </c>
      <c r="M70">
        <f>'$ Portfolio Loss'!$I123</f>
        <v>119</v>
      </c>
      <c r="N70" s="19">
        <f>'$ Portfolio Loss'!$R123</f>
        <v>10.591087826389909</v>
      </c>
    </row>
    <row r="71" spans="9:14" x14ac:dyDescent="0.3">
      <c r="I71">
        <f>'$ Portfolio Loss'!$I71</f>
        <v>67</v>
      </c>
      <c r="J71" s="19">
        <f>'$ Portfolio Loss'!$R71</f>
        <v>3.9215579220541716</v>
      </c>
      <c r="L71">
        <v>67</v>
      </c>
      <c r="M71">
        <f>'$ Portfolio Loss'!$I156</f>
        <v>152</v>
      </c>
      <c r="N71" s="19">
        <f>'$ Portfolio Loss'!$R156</f>
        <v>10.380744744747162</v>
      </c>
    </row>
    <row r="72" spans="9:14" x14ac:dyDescent="0.3">
      <c r="I72">
        <f>'$ Portfolio Loss'!$I72</f>
        <v>68</v>
      </c>
      <c r="J72" s="19">
        <f>'$ Portfolio Loss'!$R72</f>
        <v>21.053577494633199</v>
      </c>
      <c r="L72">
        <v>68</v>
      </c>
      <c r="M72">
        <f>'$ Portfolio Loss'!$I75</f>
        <v>71</v>
      </c>
      <c r="N72" s="19">
        <f>'$ Portfolio Loss'!$R75</f>
        <v>10.375335281963586</v>
      </c>
    </row>
    <row r="73" spans="9:14" x14ac:dyDescent="0.3">
      <c r="I73">
        <f>'$ Portfolio Loss'!$I73</f>
        <v>69</v>
      </c>
      <c r="J73" s="19">
        <f>'$ Portfolio Loss'!$R73</f>
        <v>-1.9209353026148082</v>
      </c>
      <c r="L73">
        <v>69</v>
      </c>
      <c r="M73">
        <f>'$ Portfolio Loss'!$I47</f>
        <v>43</v>
      </c>
      <c r="N73" s="19">
        <f>'$ Portfolio Loss'!$R47</f>
        <v>10.239611494979382</v>
      </c>
    </row>
    <row r="74" spans="9:14" x14ac:dyDescent="0.3">
      <c r="I74">
        <f>'$ Portfolio Loss'!$I74</f>
        <v>70</v>
      </c>
      <c r="J74" s="19">
        <f>'$ Portfolio Loss'!$R74</f>
        <v>-7.2655913306410316</v>
      </c>
      <c r="L74">
        <v>70</v>
      </c>
      <c r="M74">
        <f>'$ Portfolio Loss'!$I249</f>
        <v>245</v>
      </c>
      <c r="N74" s="19">
        <f>'$ Portfolio Loss'!$R249</f>
        <v>10.167197428786158</v>
      </c>
    </row>
    <row r="75" spans="9:14" x14ac:dyDescent="0.3">
      <c r="I75">
        <f>'$ Portfolio Loss'!$I75</f>
        <v>71</v>
      </c>
      <c r="J75" s="19">
        <f>'$ Portfolio Loss'!$R75</f>
        <v>10.375335281963586</v>
      </c>
      <c r="L75">
        <v>71</v>
      </c>
      <c r="M75">
        <f>'$ Portfolio Loss'!$I165</f>
        <v>161</v>
      </c>
      <c r="N75" s="19">
        <f>'$ Portfolio Loss'!$R165</f>
        <v>9.992086916080952</v>
      </c>
    </row>
    <row r="76" spans="9:14" x14ac:dyDescent="0.3">
      <c r="I76">
        <f>'$ Portfolio Loss'!$I76</f>
        <v>72</v>
      </c>
      <c r="J76" s="19">
        <f>'$ Portfolio Loss'!$R76</f>
        <v>-13.517766179144145</v>
      </c>
      <c r="L76">
        <v>72</v>
      </c>
      <c r="M76">
        <f>'$ Portfolio Loss'!$I191</f>
        <v>187</v>
      </c>
      <c r="N76" s="19">
        <f>'$ Portfolio Loss'!$R191</f>
        <v>9.6870527339353565</v>
      </c>
    </row>
    <row r="77" spans="9:14" x14ac:dyDescent="0.3">
      <c r="I77">
        <f>'$ Portfolio Loss'!$I77</f>
        <v>73</v>
      </c>
      <c r="J77" s="19">
        <f>'$ Portfolio Loss'!$R77</f>
        <v>-20.725827652657628</v>
      </c>
      <c r="L77">
        <v>73</v>
      </c>
      <c r="M77">
        <f>'$ Portfolio Loss'!$I247</f>
        <v>243</v>
      </c>
      <c r="N77" s="19">
        <f>'$ Portfolio Loss'!$R247</f>
        <v>9.6327890766043662</v>
      </c>
    </row>
    <row r="78" spans="9:14" x14ac:dyDescent="0.3">
      <c r="I78">
        <f>'$ Portfolio Loss'!$I78</f>
        <v>74</v>
      </c>
      <c r="J78" s="19">
        <f>'$ Portfolio Loss'!$R78</f>
        <v>-25.412725352409364</v>
      </c>
      <c r="L78">
        <v>74</v>
      </c>
      <c r="M78">
        <f>'$ Portfolio Loss'!$I30</f>
        <v>26</v>
      </c>
      <c r="N78" s="19">
        <f>'$ Portfolio Loss'!$R30</f>
        <v>9.5804998320612906</v>
      </c>
    </row>
    <row r="79" spans="9:14" x14ac:dyDescent="0.3">
      <c r="I79">
        <f>'$ Portfolio Loss'!$I79</f>
        <v>75</v>
      </c>
      <c r="J79" s="19">
        <f>'$ Portfolio Loss'!$R79</f>
        <v>-4.4704730498918295</v>
      </c>
      <c r="L79">
        <v>75</v>
      </c>
      <c r="M79">
        <f>'$ Portfolio Loss'!$I263</f>
        <v>259</v>
      </c>
      <c r="N79" s="19">
        <f>'$ Portfolio Loss'!$R263</f>
        <v>9.5313302291131023</v>
      </c>
    </row>
    <row r="80" spans="9:14" x14ac:dyDescent="0.3">
      <c r="I80">
        <f>'$ Portfolio Loss'!$I80</f>
        <v>76</v>
      </c>
      <c r="J80" s="19">
        <f>'$ Portfolio Loss'!$R80</f>
        <v>-26.464903616825939</v>
      </c>
      <c r="L80">
        <v>76</v>
      </c>
      <c r="M80">
        <f>'$ Portfolio Loss'!$I257</f>
        <v>253</v>
      </c>
      <c r="N80" s="19">
        <f>'$ Portfolio Loss'!$R257</f>
        <v>9.4702418726385833</v>
      </c>
    </row>
    <row r="81" spans="9:14" x14ac:dyDescent="0.3">
      <c r="I81">
        <f>'$ Portfolio Loss'!$I81</f>
        <v>77</v>
      </c>
      <c r="J81" s="19">
        <f>'$ Portfolio Loss'!$R81</f>
        <v>-3.195940716852784</v>
      </c>
      <c r="L81">
        <v>77</v>
      </c>
      <c r="M81">
        <f>'$ Portfolio Loss'!$I197</f>
        <v>193</v>
      </c>
      <c r="N81" s="19">
        <f>'$ Portfolio Loss'!$R197</f>
        <v>9.446613784752012</v>
      </c>
    </row>
    <row r="82" spans="9:14" x14ac:dyDescent="0.3">
      <c r="I82">
        <f>'$ Portfolio Loss'!$I82</f>
        <v>78</v>
      </c>
      <c r="J82" s="19">
        <f>'$ Portfolio Loss'!$R82</f>
        <v>1.0862364976127148</v>
      </c>
      <c r="L82">
        <v>78</v>
      </c>
      <c r="M82">
        <f>'$ Portfolio Loss'!$I287</f>
        <v>283</v>
      </c>
      <c r="N82" s="19">
        <f>'$ Portfolio Loss'!$R287</f>
        <v>8.8809855514571669</v>
      </c>
    </row>
    <row r="83" spans="9:14" x14ac:dyDescent="0.3">
      <c r="I83">
        <f>'$ Portfolio Loss'!$I83</f>
        <v>79</v>
      </c>
      <c r="J83" s="19">
        <f>'$ Portfolio Loss'!$R83</f>
        <v>-26.546646925997972</v>
      </c>
      <c r="L83">
        <v>79</v>
      </c>
      <c r="M83">
        <f>'$ Portfolio Loss'!$I299</f>
        <v>295</v>
      </c>
      <c r="N83" s="19">
        <f>'$ Portfolio Loss'!$R299</f>
        <v>8.6976424350928063</v>
      </c>
    </row>
    <row r="84" spans="9:14" x14ac:dyDescent="0.3">
      <c r="I84">
        <f>'$ Portfolio Loss'!$I84</f>
        <v>80</v>
      </c>
      <c r="J84" s="19">
        <f>'$ Portfolio Loss'!$R84</f>
        <v>-18.318249789217354</v>
      </c>
      <c r="L84">
        <v>80</v>
      </c>
      <c r="M84">
        <f>'$ Portfolio Loss'!$I7</f>
        <v>3</v>
      </c>
      <c r="N84" s="19">
        <f>'$ Portfolio Loss'!$R7</f>
        <v>8.6898776253383154</v>
      </c>
    </row>
    <row r="85" spans="9:14" x14ac:dyDescent="0.3">
      <c r="I85">
        <f>'$ Portfolio Loss'!$I85</f>
        <v>81</v>
      </c>
      <c r="J85" s="19">
        <f>'$ Portfolio Loss'!$R85</f>
        <v>-4.4008056924371717</v>
      </c>
      <c r="L85">
        <v>81</v>
      </c>
      <c r="M85">
        <f>'$ Portfolio Loss'!$I16</f>
        <v>12</v>
      </c>
      <c r="N85" s="19">
        <f>'$ Portfolio Loss'!$R16</f>
        <v>8.495230763407827</v>
      </c>
    </row>
    <row r="86" spans="9:14" x14ac:dyDescent="0.3">
      <c r="I86">
        <f>'$ Portfolio Loss'!$I86</f>
        <v>82</v>
      </c>
      <c r="J86" s="19">
        <f>'$ Portfolio Loss'!$R86</f>
        <v>7.0684897019234896</v>
      </c>
      <c r="L86">
        <v>82</v>
      </c>
      <c r="M86">
        <f>'$ Portfolio Loss'!$I246</f>
        <v>242</v>
      </c>
      <c r="N86" s="19">
        <f>'$ Portfolio Loss'!$R246</f>
        <v>8.4238354440810674</v>
      </c>
    </row>
    <row r="87" spans="9:14" x14ac:dyDescent="0.3">
      <c r="I87">
        <f>'$ Portfolio Loss'!$I87</f>
        <v>83</v>
      </c>
      <c r="J87" s="19">
        <f>'$ Portfolio Loss'!$R87</f>
        <v>11.12422852235961</v>
      </c>
      <c r="L87">
        <v>83</v>
      </c>
      <c r="M87">
        <f>'$ Portfolio Loss'!$I29</f>
        <v>25</v>
      </c>
      <c r="N87" s="19">
        <f>'$ Portfolio Loss'!$R29</f>
        <v>7.8661047735856773</v>
      </c>
    </row>
    <row r="88" spans="9:14" x14ac:dyDescent="0.3">
      <c r="I88">
        <f>'$ Portfolio Loss'!$I88</f>
        <v>84</v>
      </c>
      <c r="J88" s="19">
        <f>'$ Portfolio Loss'!$R88</f>
        <v>-16.861863612771629</v>
      </c>
      <c r="L88">
        <v>84</v>
      </c>
      <c r="M88">
        <f>'$ Portfolio Loss'!$I250</f>
        <v>246</v>
      </c>
      <c r="N88" s="19">
        <f>'$ Portfolio Loss'!$R250</f>
        <v>7.7441872217566967</v>
      </c>
    </row>
    <row r="89" spans="9:14" x14ac:dyDescent="0.3">
      <c r="I89">
        <f>'$ Portfolio Loss'!$I89</f>
        <v>85</v>
      </c>
      <c r="J89" s="19">
        <f>'$ Portfolio Loss'!$R89</f>
        <v>-22.804240996327163</v>
      </c>
      <c r="L89">
        <v>85</v>
      </c>
      <c r="M89">
        <f>'$ Portfolio Loss'!$I315</f>
        <v>311</v>
      </c>
      <c r="N89" s="19">
        <f>'$ Portfolio Loss'!$R315</f>
        <v>7.7403118931996824</v>
      </c>
    </row>
    <row r="90" spans="9:14" x14ac:dyDescent="0.3">
      <c r="I90">
        <f>'$ Portfolio Loss'!$I90</f>
        <v>86</v>
      </c>
      <c r="J90" s="19">
        <f>'$ Portfolio Loss'!$R90</f>
        <v>-8.741113230062961</v>
      </c>
      <c r="L90">
        <v>86</v>
      </c>
      <c r="M90">
        <f>'$ Portfolio Loss'!$I136</f>
        <v>132</v>
      </c>
      <c r="N90" s="19">
        <f>'$ Portfolio Loss'!$R136</f>
        <v>7.4808611849004034</v>
      </c>
    </row>
    <row r="91" spans="9:14" x14ac:dyDescent="0.3">
      <c r="I91">
        <f>'$ Portfolio Loss'!$I91</f>
        <v>87</v>
      </c>
      <c r="J91" s="19">
        <f>'$ Portfolio Loss'!$R91</f>
        <v>1.362785347337842</v>
      </c>
      <c r="L91">
        <v>87</v>
      </c>
      <c r="M91">
        <f>'$ Portfolio Loss'!$I256</f>
        <v>252</v>
      </c>
      <c r="N91" s="19">
        <f>'$ Portfolio Loss'!$R256</f>
        <v>7.2358253656623361</v>
      </c>
    </row>
    <row r="92" spans="9:14" x14ac:dyDescent="0.3">
      <c r="I92">
        <f>'$ Portfolio Loss'!$I92</f>
        <v>88</v>
      </c>
      <c r="J92" s="19">
        <f>'$ Portfolio Loss'!$R92</f>
        <v>-16.309522718004228</v>
      </c>
      <c r="L92">
        <v>88</v>
      </c>
      <c r="M92">
        <f>'$ Portfolio Loss'!$I219</f>
        <v>215</v>
      </c>
      <c r="N92" s="19">
        <f>'$ Portfolio Loss'!$R219</f>
        <v>7.0880049301949741</v>
      </c>
    </row>
    <row r="93" spans="9:14" x14ac:dyDescent="0.3">
      <c r="I93">
        <f>'$ Portfolio Loss'!$I93</f>
        <v>89</v>
      </c>
      <c r="J93" s="19">
        <f>'$ Portfolio Loss'!$R93</f>
        <v>-10.577580103795887</v>
      </c>
      <c r="L93">
        <v>89</v>
      </c>
      <c r="M93">
        <f>'$ Portfolio Loss'!$I226</f>
        <v>222</v>
      </c>
      <c r="N93" s="19">
        <f>'$ Portfolio Loss'!$R226</f>
        <v>7.0863196069631575</v>
      </c>
    </row>
    <row r="94" spans="9:14" x14ac:dyDescent="0.3">
      <c r="I94">
        <f>'$ Portfolio Loss'!$I94</f>
        <v>90</v>
      </c>
      <c r="J94" s="19">
        <f>'$ Portfolio Loss'!$R94</f>
        <v>-4.8836940214740041</v>
      </c>
      <c r="L94">
        <v>90</v>
      </c>
      <c r="M94">
        <f>'$ Portfolio Loss'!$I86</f>
        <v>82</v>
      </c>
      <c r="N94" s="19">
        <f>'$ Portfolio Loss'!$R86</f>
        <v>7.0684897019234896</v>
      </c>
    </row>
    <row r="95" spans="9:14" x14ac:dyDescent="0.3">
      <c r="I95">
        <f>'$ Portfolio Loss'!$I95</f>
        <v>91</v>
      </c>
      <c r="J95" s="19">
        <f>'$ Portfolio Loss'!$R95</f>
        <v>23.704043288554072</v>
      </c>
      <c r="L95">
        <v>91</v>
      </c>
      <c r="M95">
        <f>'$ Portfolio Loss'!$I230</f>
        <v>226</v>
      </c>
      <c r="N95" s="19">
        <f>'$ Portfolio Loss'!$R230</f>
        <v>7.0584059355471132</v>
      </c>
    </row>
    <row r="96" spans="9:14" x14ac:dyDescent="0.3">
      <c r="I96">
        <f>'$ Portfolio Loss'!$I96</f>
        <v>92</v>
      </c>
      <c r="J96" s="19">
        <f>'$ Portfolio Loss'!$R96</f>
        <v>1.6216705546586514</v>
      </c>
      <c r="L96">
        <v>92</v>
      </c>
      <c r="M96">
        <f>'$ Portfolio Loss'!$I288</f>
        <v>284</v>
      </c>
      <c r="N96" s="19">
        <f>'$ Portfolio Loss'!$R288</f>
        <v>6.9207914344182013</v>
      </c>
    </row>
    <row r="97" spans="9:14" x14ac:dyDescent="0.3">
      <c r="I97">
        <f>'$ Portfolio Loss'!$I97</f>
        <v>93</v>
      </c>
      <c r="J97" s="19">
        <f>'$ Portfolio Loss'!$R97</f>
        <v>18.041551644984246</v>
      </c>
      <c r="L97">
        <v>93</v>
      </c>
      <c r="M97">
        <f>'$ Portfolio Loss'!$I5</f>
        <v>1</v>
      </c>
      <c r="N97" s="19">
        <f>'$ Portfolio Loss'!$R5</f>
        <v>6.8680997198442224</v>
      </c>
    </row>
    <row r="98" spans="9:14" x14ac:dyDescent="0.3">
      <c r="I98">
        <f>'$ Portfolio Loss'!$I98</f>
        <v>94</v>
      </c>
      <c r="J98" s="19">
        <f>'$ Portfolio Loss'!$R98</f>
        <v>15.28632989916408</v>
      </c>
      <c r="L98">
        <v>94</v>
      </c>
      <c r="M98">
        <f>'$ Portfolio Loss'!$I278</f>
        <v>274</v>
      </c>
      <c r="N98" s="19">
        <f>'$ Portfolio Loss'!$R278</f>
        <v>6.5116523689923289</v>
      </c>
    </row>
    <row r="99" spans="9:14" x14ac:dyDescent="0.3">
      <c r="I99">
        <f>'$ Portfolio Loss'!$I99</f>
        <v>95</v>
      </c>
      <c r="J99" s="19">
        <f>'$ Portfolio Loss'!$R99</f>
        <v>-13.067010090300679</v>
      </c>
      <c r="L99">
        <v>95</v>
      </c>
      <c r="M99">
        <f>'$ Portfolio Loss'!$I275</f>
        <v>271</v>
      </c>
      <c r="N99" s="19">
        <f>'$ Portfolio Loss'!$R275</f>
        <v>6.4209798290779592</v>
      </c>
    </row>
    <row r="100" spans="9:14" x14ac:dyDescent="0.3">
      <c r="I100">
        <f>'$ Portfolio Loss'!$I100</f>
        <v>96</v>
      </c>
      <c r="J100" s="19">
        <f>'$ Portfolio Loss'!$R100</f>
        <v>18.658421639122366</v>
      </c>
      <c r="L100">
        <v>96</v>
      </c>
      <c r="M100">
        <f>'$ Portfolio Loss'!$I211</f>
        <v>207</v>
      </c>
      <c r="N100" s="19">
        <f>'$ Portfolio Loss'!$R211</f>
        <v>6.390181812355995</v>
      </c>
    </row>
    <row r="101" spans="9:14" x14ac:dyDescent="0.3">
      <c r="I101">
        <f>'$ Portfolio Loss'!$I101</f>
        <v>97</v>
      </c>
      <c r="J101" s="19">
        <f>'$ Portfolio Loss'!$R101</f>
        <v>12.85196009535265</v>
      </c>
      <c r="L101">
        <v>97</v>
      </c>
      <c r="M101">
        <f>'$ Portfolio Loss'!$I9</f>
        <v>5</v>
      </c>
      <c r="N101" s="19">
        <f>'$ Portfolio Loss'!$R9</f>
        <v>5.928020450423479</v>
      </c>
    </row>
    <row r="102" spans="9:14" x14ac:dyDescent="0.3">
      <c r="I102">
        <f>'$ Portfolio Loss'!$I102</f>
        <v>98</v>
      </c>
      <c r="J102" s="19">
        <f>'$ Portfolio Loss'!$R102</f>
        <v>11.510792895518064</v>
      </c>
      <c r="L102">
        <v>98</v>
      </c>
      <c r="M102">
        <f>'$ Portfolio Loss'!$I151</f>
        <v>147</v>
      </c>
      <c r="N102" s="19">
        <f>'$ Portfolio Loss'!$R151</f>
        <v>5.9172103448091748</v>
      </c>
    </row>
    <row r="103" spans="9:14" x14ac:dyDescent="0.3">
      <c r="I103">
        <f>'$ Portfolio Loss'!$I103</f>
        <v>99</v>
      </c>
      <c r="J103" s="19">
        <f>'$ Portfolio Loss'!$R103</f>
        <v>-20.578442002954244</v>
      </c>
      <c r="L103">
        <v>99</v>
      </c>
      <c r="M103">
        <f>'$ Portfolio Loss'!$I269</f>
        <v>265</v>
      </c>
      <c r="N103" s="19">
        <f>'$ Portfolio Loss'!$R269</f>
        <v>5.9116436561235188</v>
      </c>
    </row>
    <row r="104" spans="9:14" x14ac:dyDescent="0.3">
      <c r="I104">
        <f>'$ Portfolio Loss'!$I104</f>
        <v>100</v>
      </c>
      <c r="J104" s="19">
        <f>'$ Portfolio Loss'!$R104</f>
        <v>-5.5001814809896947</v>
      </c>
      <c r="L104">
        <v>100</v>
      </c>
      <c r="M104">
        <f>'$ Portfolio Loss'!$I111</f>
        <v>107</v>
      </c>
      <c r="N104" s="19">
        <f>'$ Portfolio Loss'!$R111</f>
        <v>5.8914324648476839</v>
      </c>
    </row>
    <row r="105" spans="9:14" x14ac:dyDescent="0.3">
      <c r="I105">
        <f>'$ Portfolio Loss'!$I105</f>
        <v>101</v>
      </c>
      <c r="J105" s="19">
        <f>'$ Portfolio Loss'!$R105</f>
        <v>2.4370818478124141</v>
      </c>
      <c r="L105">
        <v>101</v>
      </c>
      <c r="M105">
        <f>'$ Portfolio Loss'!$I234</f>
        <v>230</v>
      </c>
      <c r="N105" s="19">
        <f>'$ Portfolio Loss'!$R234</f>
        <v>5.7465726095172167</v>
      </c>
    </row>
    <row r="106" spans="9:14" x14ac:dyDescent="0.3">
      <c r="I106">
        <f>'$ Portfolio Loss'!$I106</f>
        <v>102</v>
      </c>
      <c r="J106" s="19">
        <f>'$ Portfolio Loss'!$R106</f>
        <v>-4.0823420161374804</v>
      </c>
      <c r="L106">
        <v>102</v>
      </c>
      <c r="M106">
        <f>'$ Portfolio Loss'!$I39</f>
        <v>35</v>
      </c>
      <c r="N106" s="19">
        <f>'$ Portfolio Loss'!$R39</f>
        <v>5.6892253972493414</v>
      </c>
    </row>
    <row r="107" spans="9:14" x14ac:dyDescent="0.3">
      <c r="I107">
        <f>'$ Portfolio Loss'!$I107</f>
        <v>103</v>
      </c>
      <c r="J107" s="19">
        <f>'$ Portfolio Loss'!$R107</f>
        <v>5.5429098317619561</v>
      </c>
      <c r="L107">
        <v>103</v>
      </c>
      <c r="M107">
        <f>'$ Portfolio Loss'!$I217</f>
        <v>213</v>
      </c>
      <c r="N107" s="19">
        <f>'$ Portfolio Loss'!$R217</f>
        <v>5.6632082631509304</v>
      </c>
    </row>
    <row r="108" spans="9:14" x14ac:dyDescent="0.3">
      <c r="I108">
        <f>'$ Portfolio Loss'!$I108</f>
        <v>104</v>
      </c>
      <c r="J108" s="19">
        <f>'$ Portfolio Loss'!$R108</f>
        <v>10.844313215246796</v>
      </c>
      <c r="L108">
        <v>104</v>
      </c>
      <c r="M108">
        <f>'$ Portfolio Loss'!$I107</f>
        <v>103</v>
      </c>
      <c r="N108" s="19">
        <f>'$ Portfolio Loss'!$R107</f>
        <v>5.5429098317619561</v>
      </c>
    </row>
    <row r="109" spans="9:14" x14ac:dyDescent="0.3">
      <c r="I109">
        <f>'$ Portfolio Loss'!$I109</f>
        <v>105</v>
      </c>
      <c r="J109" s="19">
        <f>'$ Portfolio Loss'!$R109</f>
        <v>13.548695775331259</v>
      </c>
      <c r="L109">
        <v>105</v>
      </c>
      <c r="M109">
        <f>'$ Portfolio Loss'!$I169</f>
        <v>165</v>
      </c>
      <c r="N109" s="19">
        <f>'$ Portfolio Loss'!$R169</f>
        <v>5.4625491786419156</v>
      </c>
    </row>
    <row r="110" spans="9:14" x14ac:dyDescent="0.3">
      <c r="I110">
        <f>'$ Portfolio Loss'!$I110</f>
        <v>106</v>
      </c>
      <c r="J110" s="19">
        <f>'$ Portfolio Loss'!$R110</f>
        <v>-10.386311795782447</v>
      </c>
      <c r="L110">
        <v>106</v>
      </c>
      <c r="M110">
        <f>'$ Portfolio Loss'!$I202</f>
        <v>198</v>
      </c>
      <c r="N110" s="19">
        <f>'$ Portfolio Loss'!$R202</f>
        <v>5.4121498699214454</v>
      </c>
    </row>
    <row r="111" spans="9:14" x14ac:dyDescent="0.3">
      <c r="I111">
        <f>'$ Portfolio Loss'!$I111</f>
        <v>107</v>
      </c>
      <c r="J111" s="19">
        <f>'$ Portfolio Loss'!$R111</f>
        <v>5.8914324648476839</v>
      </c>
      <c r="L111">
        <v>107</v>
      </c>
      <c r="M111">
        <f>'$ Portfolio Loss'!$I126</f>
        <v>122</v>
      </c>
      <c r="N111" s="19">
        <f>'$ Portfolio Loss'!$R126</f>
        <v>5.2571686665446755</v>
      </c>
    </row>
    <row r="112" spans="9:14" x14ac:dyDescent="0.3">
      <c r="I112">
        <f>'$ Portfolio Loss'!$I112</f>
        <v>108</v>
      </c>
      <c r="J112" s="19">
        <f>'$ Portfolio Loss'!$R112</f>
        <v>2.2281088712741135</v>
      </c>
      <c r="L112">
        <v>108</v>
      </c>
      <c r="M112">
        <f>'$ Portfolio Loss'!$I52</f>
        <v>48</v>
      </c>
      <c r="N112" s="19">
        <f>'$ Portfolio Loss'!$R52</f>
        <v>5.2296468155839442</v>
      </c>
    </row>
    <row r="113" spans="9:14" x14ac:dyDescent="0.3">
      <c r="I113">
        <f>'$ Portfolio Loss'!$I113</f>
        <v>109</v>
      </c>
      <c r="J113" s="19">
        <f>'$ Portfolio Loss'!$R113</f>
        <v>1.2898891789984703</v>
      </c>
      <c r="L113">
        <v>109</v>
      </c>
      <c r="M113">
        <f>'$ Portfolio Loss'!$I142</f>
        <v>138</v>
      </c>
      <c r="N113" s="19">
        <f>'$ Portfolio Loss'!$R142</f>
        <v>5.2158894560327527</v>
      </c>
    </row>
    <row r="114" spans="9:14" x14ac:dyDescent="0.3">
      <c r="I114">
        <f>'$ Portfolio Loss'!$I114</f>
        <v>110</v>
      </c>
      <c r="J114" s="19">
        <f>'$ Portfolio Loss'!$R114</f>
        <v>-25.026891818968295</v>
      </c>
      <c r="L114">
        <v>110</v>
      </c>
      <c r="M114">
        <f>'$ Portfolio Loss'!$I155</f>
        <v>151</v>
      </c>
      <c r="N114" s="19">
        <f>'$ Portfolio Loss'!$R155</f>
        <v>5.1705666610068084</v>
      </c>
    </row>
    <row r="115" spans="9:14" x14ac:dyDescent="0.3">
      <c r="I115">
        <f>'$ Portfolio Loss'!$I115</f>
        <v>111</v>
      </c>
      <c r="J115" s="19">
        <f>'$ Portfolio Loss'!$R115</f>
        <v>16.667890549984811</v>
      </c>
      <c r="L115">
        <v>111</v>
      </c>
      <c r="M115">
        <f>'$ Portfolio Loss'!$I10</f>
        <v>6</v>
      </c>
      <c r="N115" s="19">
        <f>'$ Portfolio Loss'!$R10</f>
        <v>5.1544066681878569</v>
      </c>
    </row>
    <row r="116" spans="9:14" x14ac:dyDescent="0.3">
      <c r="I116">
        <f>'$ Portfolio Loss'!$I116</f>
        <v>112</v>
      </c>
      <c r="J116" s="19">
        <f>'$ Portfolio Loss'!$R116</f>
        <v>1.6916453012752533</v>
      </c>
      <c r="L116">
        <v>112</v>
      </c>
      <c r="M116">
        <f>'$ Portfolio Loss'!$I194</f>
        <v>190</v>
      </c>
      <c r="N116" s="19">
        <f>'$ Portfolio Loss'!$R194</f>
        <v>5.0282356155427692</v>
      </c>
    </row>
    <row r="117" spans="9:14" x14ac:dyDescent="0.3">
      <c r="I117">
        <f>'$ Portfolio Loss'!$I117</f>
        <v>113</v>
      </c>
      <c r="J117" s="19">
        <f>'$ Portfolio Loss'!$R117</f>
        <v>-2.4921209119458196</v>
      </c>
      <c r="L117">
        <v>113</v>
      </c>
      <c r="M117">
        <f>'$ Portfolio Loss'!$I35</f>
        <v>31</v>
      </c>
      <c r="N117" s="19">
        <f>'$ Portfolio Loss'!$R35</f>
        <v>4.4963935196657179</v>
      </c>
    </row>
    <row r="118" spans="9:14" x14ac:dyDescent="0.3">
      <c r="I118">
        <f>'$ Portfolio Loss'!$I118</f>
        <v>114</v>
      </c>
      <c r="J118" s="19">
        <f>'$ Portfolio Loss'!$R118</f>
        <v>-1.8938405270482301</v>
      </c>
      <c r="L118">
        <v>114</v>
      </c>
      <c r="M118">
        <f>'$ Portfolio Loss'!$I158</f>
        <v>154</v>
      </c>
      <c r="N118" s="19">
        <f>'$ Portfolio Loss'!$R158</f>
        <v>4.2162779492958782</v>
      </c>
    </row>
    <row r="119" spans="9:14" x14ac:dyDescent="0.3">
      <c r="I119">
        <f>'$ Portfolio Loss'!$I119</f>
        <v>115</v>
      </c>
      <c r="J119" s="19">
        <f>'$ Portfolio Loss'!$R119</f>
        <v>24.063951138277172</v>
      </c>
      <c r="L119">
        <v>115</v>
      </c>
      <c r="M119">
        <f>'$ Portfolio Loss'!$I71</f>
        <v>67</v>
      </c>
      <c r="N119" s="19">
        <f>'$ Portfolio Loss'!$R71</f>
        <v>3.9215579220541716</v>
      </c>
    </row>
    <row r="120" spans="9:14" x14ac:dyDescent="0.3">
      <c r="I120">
        <f>'$ Portfolio Loss'!$I120</f>
        <v>116</v>
      </c>
      <c r="J120" s="19">
        <f>'$ Portfolio Loss'!$R120</f>
        <v>-1.0407886129490138</v>
      </c>
      <c r="L120">
        <v>116</v>
      </c>
      <c r="M120">
        <f>'$ Portfolio Loss'!$I213</f>
        <v>209</v>
      </c>
      <c r="N120" s="19">
        <f>'$ Portfolio Loss'!$R213</f>
        <v>3.5106759211804865</v>
      </c>
    </row>
    <row r="121" spans="9:14" x14ac:dyDescent="0.3">
      <c r="I121">
        <f>'$ Portfolio Loss'!$I121</f>
        <v>117</v>
      </c>
      <c r="J121" s="19">
        <f>'$ Portfolio Loss'!$R121</f>
        <v>-4.8534405007632975</v>
      </c>
      <c r="L121">
        <v>117</v>
      </c>
      <c r="M121">
        <f>'$ Portfolio Loss'!$I168</f>
        <v>164</v>
      </c>
      <c r="N121" s="19">
        <f>'$ Portfolio Loss'!$R168</f>
        <v>3.4745491986310482</v>
      </c>
    </row>
    <row r="122" spans="9:14" x14ac:dyDescent="0.3">
      <c r="I122">
        <f>'$ Portfolio Loss'!$I122</f>
        <v>118</v>
      </c>
      <c r="J122" s="19">
        <f>'$ Portfolio Loss'!$R122</f>
        <v>-12.497816810507894</v>
      </c>
      <c r="L122">
        <v>118</v>
      </c>
      <c r="M122">
        <f>'$ Portfolio Loss'!$I12</f>
        <v>8</v>
      </c>
      <c r="N122" s="19">
        <f>'$ Portfolio Loss'!$R12</f>
        <v>3.2750483901110887</v>
      </c>
    </row>
    <row r="123" spans="9:14" x14ac:dyDescent="0.3">
      <c r="I123">
        <f>'$ Portfolio Loss'!$I123</f>
        <v>119</v>
      </c>
      <c r="J123" s="19">
        <f>'$ Portfolio Loss'!$R123</f>
        <v>10.591087826389909</v>
      </c>
      <c r="L123">
        <v>119</v>
      </c>
      <c r="M123">
        <f>'$ Portfolio Loss'!$I65</f>
        <v>61</v>
      </c>
      <c r="N123" s="19">
        <f>'$ Portfolio Loss'!$R65</f>
        <v>3.1979104333106281</v>
      </c>
    </row>
    <row r="124" spans="9:14" x14ac:dyDescent="0.3">
      <c r="I124">
        <f>'$ Portfolio Loss'!$I124</f>
        <v>120</v>
      </c>
      <c r="J124" s="19">
        <f>'$ Portfolio Loss'!$R124</f>
        <v>13.143827811648608</v>
      </c>
      <c r="L124">
        <v>120</v>
      </c>
      <c r="M124">
        <f>'$ Portfolio Loss'!$I208</f>
        <v>204</v>
      </c>
      <c r="N124" s="19">
        <f>'$ Portfolio Loss'!$R208</f>
        <v>3.1429879986174107</v>
      </c>
    </row>
    <row r="125" spans="9:14" x14ac:dyDescent="0.3">
      <c r="I125">
        <f>'$ Portfolio Loss'!$I125</f>
        <v>121</v>
      </c>
      <c r="J125" s="19">
        <f>'$ Portfolio Loss'!$R125</f>
        <v>-0.21201357117199898</v>
      </c>
      <c r="L125">
        <v>121</v>
      </c>
      <c r="M125">
        <f>'$ Portfolio Loss'!$I292</f>
        <v>288</v>
      </c>
      <c r="N125" s="19">
        <f>'$ Portfolio Loss'!$R292</f>
        <v>3.1015397080161571</v>
      </c>
    </row>
    <row r="126" spans="9:14" x14ac:dyDescent="0.3">
      <c r="I126">
        <f>'$ Portfolio Loss'!$I126</f>
        <v>122</v>
      </c>
      <c r="J126" s="19">
        <f>'$ Portfolio Loss'!$R126</f>
        <v>5.2571686665446755</v>
      </c>
      <c r="L126">
        <v>122</v>
      </c>
      <c r="M126">
        <f>'$ Portfolio Loss'!$I145</f>
        <v>141</v>
      </c>
      <c r="N126" s="19">
        <f>'$ Portfolio Loss'!$R145</f>
        <v>2.9037208779170514</v>
      </c>
    </row>
    <row r="127" spans="9:14" x14ac:dyDescent="0.3">
      <c r="I127">
        <f>'$ Portfolio Loss'!$I127</f>
        <v>123</v>
      </c>
      <c r="J127" s="19">
        <f>'$ Portfolio Loss'!$R127</f>
        <v>-20.398685759801388</v>
      </c>
      <c r="L127">
        <v>123</v>
      </c>
      <c r="M127">
        <f>'$ Portfolio Loss'!$I248</f>
        <v>244</v>
      </c>
      <c r="N127" s="19">
        <f>'$ Portfolio Loss'!$R248</f>
        <v>2.8145624972712993</v>
      </c>
    </row>
    <row r="128" spans="9:14" x14ac:dyDescent="0.3">
      <c r="I128">
        <f>'$ Portfolio Loss'!$I128</f>
        <v>124</v>
      </c>
      <c r="J128" s="19">
        <f>'$ Portfolio Loss'!$R128</f>
        <v>-22.168406727602004</v>
      </c>
      <c r="L128">
        <v>124</v>
      </c>
      <c r="M128">
        <f>'$ Portfolio Loss'!$I42</f>
        <v>38</v>
      </c>
      <c r="N128" s="19">
        <f>'$ Portfolio Loss'!$R42</f>
        <v>2.7809832864127157</v>
      </c>
    </row>
    <row r="129" spans="9:14" x14ac:dyDescent="0.3">
      <c r="I129">
        <f>'$ Portfolio Loss'!$I129</f>
        <v>125</v>
      </c>
      <c r="J129" s="19">
        <f>'$ Portfolio Loss'!$R129</f>
        <v>17.235562308607339</v>
      </c>
      <c r="L129">
        <v>125</v>
      </c>
      <c r="M129">
        <f>'$ Portfolio Loss'!$I26</f>
        <v>22</v>
      </c>
      <c r="N129" s="19">
        <f>'$ Portfolio Loss'!$R26</f>
        <v>2.6968251211432217</v>
      </c>
    </row>
    <row r="130" spans="9:14" x14ac:dyDescent="0.3">
      <c r="I130">
        <f>'$ Portfolio Loss'!$I130</f>
        <v>126</v>
      </c>
      <c r="J130" s="19">
        <f>'$ Portfolio Loss'!$R130</f>
        <v>15.124045667454482</v>
      </c>
      <c r="L130">
        <v>126</v>
      </c>
      <c r="M130">
        <f>'$ Portfolio Loss'!$I281</f>
        <v>277</v>
      </c>
      <c r="N130" s="19">
        <f>'$ Portfolio Loss'!$R281</f>
        <v>2.6493602277579309</v>
      </c>
    </row>
    <row r="131" spans="9:14" x14ac:dyDescent="0.3">
      <c r="I131">
        <f>'$ Portfolio Loss'!$I131</f>
        <v>127</v>
      </c>
      <c r="J131" s="19">
        <f>'$ Portfolio Loss'!$R131</f>
        <v>1.879678507516265</v>
      </c>
      <c r="L131">
        <v>127</v>
      </c>
      <c r="M131">
        <f>'$ Portfolio Loss'!$I236</f>
        <v>232</v>
      </c>
      <c r="N131" s="19">
        <f>'$ Portfolio Loss'!$R236</f>
        <v>2.6446405208693742</v>
      </c>
    </row>
    <row r="132" spans="9:14" x14ac:dyDescent="0.3">
      <c r="I132">
        <f>'$ Portfolio Loss'!$I132</f>
        <v>128</v>
      </c>
      <c r="J132" s="19">
        <f>'$ Portfolio Loss'!$R132</f>
        <v>-1.0765972177073955</v>
      </c>
      <c r="L132">
        <v>128</v>
      </c>
      <c r="M132">
        <f>'$ Portfolio Loss'!$I241</f>
        <v>237</v>
      </c>
      <c r="N132" s="19">
        <f>'$ Portfolio Loss'!$R241</f>
        <v>2.5736759871299268</v>
      </c>
    </row>
    <row r="133" spans="9:14" x14ac:dyDescent="0.3">
      <c r="I133">
        <f>'$ Portfolio Loss'!$I133</f>
        <v>129</v>
      </c>
      <c r="J133" s="19">
        <f>'$ Portfolio Loss'!$R133</f>
        <v>22.485592787600279</v>
      </c>
      <c r="L133">
        <v>129</v>
      </c>
      <c r="M133">
        <f>'$ Portfolio Loss'!$I222</f>
        <v>218</v>
      </c>
      <c r="N133" s="19">
        <f>'$ Portfolio Loss'!$R222</f>
        <v>2.4404297083393334</v>
      </c>
    </row>
    <row r="134" spans="9:14" x14ac:dyDescent="0.3">
      <c r="I134">
        <f>'$ Portfolio Loss'!$I134</f>
        <v>130</v>
      </c>
      <c r="J134" s="19">
        <f>'$ Portfolio Loss'!$R134</f>
        <v>-15.345720369394542</v>
      </c>
      <c r="L134">
        <v>130</v>
      </c>
      <c r="M134">
        <f>'$ Portfolio Loss'!$I105</f>
        <v>101</v>
      </c>
      <c r="N134" s="19">
        <f>'$ Portfolio Loss'!$R105</f>
        <v>2.4370818478124141</v>
      </c>
    </row>
    <row r="135" spans="9:14" x14ac:dyDescent="0.3">
      <c r="I135">
        <f>'$ Portfolio Loss'!$I135</f>
        <v>131</v>
      </c>
      <c r="J135" s="19">
        <f>'$ Portfolio Loss'!$R135</f>
        <v>11.378802255985498</v>
      </c>
      <c r="L135">
        <v>131</v>
      </c>
      <c r="M135">
        <f>'$ Portfolio Loss'!$I284</f>
        <v>280</v>
      </c>
      <c r="N135" s="19">
        <f>'$ Portfolio Loss'!$R284</f>
        <v>2.4066521943788528</v>
      </c>
    </row>
    <row r="136" spans="9:14" x14ac:dyDescent="0.3">
      <c r="I136">
        <f>'$ Portfolio Loss'!$I136</f>
        <v>132</v>
      </c>
      <c r="J136" s="19">
        <f>'$ Portfolio Loss'!$R136</f>
        <v>7.4808611849004034</v>
      </c>
      <c r="L136">
        <v>132</v>
      </c>
      <c r="M136">
        <f>'$ Portfolio Loss'!$I44</f>
        <v>40</v>
      </c>
      <c r="N136" s="19">
        <f>'$ Portfolio Loss'!$R44</f>
        <v>2.3835503987958431</v>
      </c>
    </row>
    <row r="137" spans="9:14" x14ac:dyDescent="0.3">
      <c r="I137">
        <f>'$ Portfolio Loss'!$I137</f>
        <v>133</v>
      </c>
      <c r="J137" s="19">
        <f>'$ Portfolio Loss'!$R137</f>
        <v>19.780622694604872</v>
      </c>
      <c r="L137">
        <v>133</v>
      </c>
      <c r="M137">
        <f>'$ Portfolio Loss'!$I237</f>
        <v>233</v>
      </c>
      <c r="N137" s="19">
        <f>'$ Portfolio Loss'!$R237</f>
        <v>2.3624773724523784</v>
      </c>
    </row>
    <row r="138" spans="9:14" x14ac:dyDescent="0.3">
      <c r="I138">
        <f>'$ Portfolio Loss'!$I138</f>
        <v>134</v>
      </c>
      <c r="J138" s="19">
        <f>'$ Portfolio Loss'!$R138</f>
        <v>-0.38919571477603915</v>
      </c>
      <c r="L138">
        <v>134</v>
      </c>
      <c r="M138">
        <f>'$ Portfolio Loss'!$I112</f>
        <v>108</v>
      </c>
      <c r="N138" s="19">
        <f>'$ Portfolio Loss'!$R112</f>
        <v>2.2281088712741135</v>
      </c>
    </row>
    <row r="139" spans="9:14" x14ac:dyDescent="0.3">
      <c r="I139">
        <f>'$ Portfolio Loss'!$I139</f>
        <v>135</v>
      </c>
      <c r="J139" s="19">
        <f>'$ Portfolio Loss'!$R139</f>
        <v>-8.3299723260117773</v>
      </c>
      <c r="L139">
        <v>135</v>
      </c>
      <c r="M139">
        <f>'$ Portfolio Loss'!$I261</f>
        <v>257</v>
      </c>
      <c r="N139" s="19">
        <f>'$ Portfolio Loss'!$R261</f>
        <v>2.2080332035858632</v>
      </c>
    </row>
    <row r="140" spans="9:14" x14ac:dyDescent="0.3">
      <c r="I140">
        <f>'$ Portfolio Loss'!$I140</f>
        <v>136</v>
      </c>
      <c r="J140" s="19">
        <f>'$ Portfolio Loss'!$R140</f>
        <v>14.959071369357108</v>
      </c>
      <c r="L140">
        <v>136</v>
      </c>
      <c r="M140">
        <f>'$ Portfolio Loss'!$I220</f>
        <v>216</v>
      </c>
      <c r="N140" s="19">
        <f>'$ Portfolio Loss'!$R220</f>
        <v>2.0268135219905377</v>
      </c>
    </row>
    <row r="141" spans="9:14" x14ac:dyDescent="0.3">
      <c r="I141">
        <f>'$ Portfolio Loss'!$I141</f>
        <v>137</v>
      </c>
      <c r="J141" s="19">
        <f>'$ Portfolio Loss'!$R141</f>
        <v>-20.990408181898953</v>
      </c>
      <c r="L141">
        <v>137</v>
      </c>
      <c r="M141">
        <f>'$ Portfolio Loss'!$I27</f>
        <v>23</v>
      </c>
      <c r="N141" s="19">
        <f>'$ Portfolio Loss'!$R27</f>
        <v>2.0132931568976642</v>
      </c>
    </row>
    <row r="142" spans="9:14" x14ac:dyDescent="0.3">
      <c r="I142">
        <f>'$ Portfolio Loss'!$I142</f>
        <v>138</v>
      </c>
      <c r="J142" s="19">
        <f>'$ Portfolio Loss'!$R142</f>
        <v>5.2158894560327527</v>
      </c>
      <c r="L142">
        <v>138</v>
      </c>
      <c r="M142">
        <f>'$ Portfolio Loss'!$I69</f>
        <v>65</v>
      </c>
      <c r="N142" s="19">
        <f>'$ Portfolio Loss'!$R69</f>
        <v>2.0047194742708205</v>
      </c>
    </row>
    <row r="143" spans="9:14" x14ac:dyDescent="0.3">
      <c r="I143">
        <f>'$ Portfolio Loss'!$I143</f>
        <v>139</v>
      </c>
      <c r="J143" s="19">
        <f>'$ Portfolio Loss'!$R143</f>
        <v>16.857227163432956</v>
      </c>
      <c r="L143">
        <v>139</v>
      </c>
      <c r="M143">
        <f>'$ Portfolio Loss'!$I131</f>
        <v>127</v>
      </c>
      <c r="N143" s="19">
        <f>'$ Portfolio Loss'!$R131</f>
        <v>1.879678507516265</v>
      </c>
    </row>
    <row r="144" spans="9:14" x14ac:dyDescent="0.3">
      <c r="I144">
        <f>'$ Portfolio Loss'!$I144</f>
        <v>140</v>
      </c>
      <c r="J144" s="19">
        <f>'$ Portfolio Loss'!$R144</f>
        <v>13.970099982157826</v>
      </c>
      <c r="L144">
        <v>140</v>
      </c>
      <c r="M144">
        <f>'$ Portfolio Loss'!$I244</f>
        <v>240</v>
      </c>
      <c r="N144" s="19">
        <f>'$ Portfolio Loss'!$R244</f>
        <v>1.758921609448552</v>
      </c>
    </row>
    <row r="145" spans="9:14" x14ac:dyDescent="0.3">
      <c r="I145">
        <f>'$ Portfolio Loss'!$I145</f>
        <v>141</v>
      </c>
      <c r="J145" s="19">
        <f>'$ Portfolio Loss'!$R145</f>
        <v>2.9037208779170514</v>
      </c>
      <c r="L145">
        <v>141</v>
      </c>
      <c r="M145">
        <f>'$ Portfolio Loss'!$I116</f>
        <v>112</v>
      </c>
      <c r="N145" s="19">
        <f>'$ Portfolio Loss'!$R116</f>
        <v>1.6916453012752533</v>
      </c>
    </row>
    <row r="146" spans="9:14" x14ac:dyDescent="0.3">
      <c r="I146">
        <f>'$ Portfolio Loss'!$I146</f>
        <v>142</v>
      </c>
      <c r="J146" s="19">
        <f>'$ Portfolio Loss'!$R146</f>
        <v>-13.744136780299664</v>
      </c>
      <c r="L146">
        <v>142</v>
      </c>
      <c r="M146">
        <f>'$ Portfolio Loss'!$I96</f>
        <v>92</v>
      </c>
      <c r="N146" s="19">
        <f>'$ Portfolio Loss'!$R96</f>
        <v>1.6216705546586514</v>
      </c>
    </row>
    <row r="147" spans="9:14" x14ac:dyDescent="0.3">
      <c r="I147">
        <f>'$ Portfolio Loss'!$I147</f>
        <v>143</v>
      </c>
      <c r="J147" s="19">
        <f>'$ Portfolio Loss'!$R147</f>
        <v>0.24628337618780136</v>
      </c>
      <c r="L147">
        <v>143</v>
      </c>
      <c r="M147">
        <f>'$ Portfolio Loss'!$I91</f>
        <v>87</v>
      </c>
      <c r="N147" s="19">
        <f>'$ Portfolio Loss'!$R91</f>
        <v>1.362785347337842</v>
      </c>
    </row>
    <row r="148" spans="9:14" x14ac:dyDescent="0.3">
      <c r="I148">
        <f>'$ Portfolio Loss'!$I148</f>
        <v>144</v>
      </c>
      <c r="J148" s="19">
        <f>'$ Portfolio Loss'!$R148</f>
        <v>-13.550510841892242</v>
      </c>
      <c r="L148">
        <v>144</v>
      </c>
      <c r="M148">
        <f>'$ Portfolio Loss'!$I195</f>
        <v>191</v>
      </c>
      <c r="N148" s="19">
        <f>'$ Portfolio Loss'!$R195</f>
        <v>1.2934427137962581</v>
      </c>
    </row>
    <row r="149" spans="9:14" x14ac:dyDescent="0.3">
      <c r="I149">
        <f>'$ Portfolio Loss'!$I149</f>
        <v>145</v>
      </c>
      <c r="J149" s="19">
        <f>'$ Portfolio Loss'!$R149</f>
        <v>-1.0036404381039143</v>
      </c>
      <c r="L149">
        <v>145</v>
      </c>
      <c r="M149">
        <f>'$ Portfolio Loss'!$I113</f>
        <v>109</v>
      </c>
      <c r="N149" s="19">
        <f>'$ Portfolio Loss'!$R113</f>
        <v>1.2898891789984703</v>
      </c>
    </row>
    <row r="150" spans="9:14" x14ac:dyDescent="0.3">
      <c r="I150">
        <f>'$ Portfolio Loss'!$I150</f>
        <v>146</v>
      </c>
      <c r="J150" s="19">
        <f>'$ Portfolio Loss'!$R150</f>
        <v>-3.3115453564056159</v>
      </c>
      <c r="L150">
        <v>146</v>
      </c>
      <c r="M150">
        <f>'$ Portfolio Loss'!$I272</f>
        <v>268</v>
      </c>
      <c r="N150" s="19">
        <f>'$ Portfolio Loss'!$R272</f>
        <v>1.2252087648832799</v>
      </c>
    </row>
    <row r="151" spans="9:14" x14ac:dyDescent="0.3">
      <c r="I151">
        <f>'$ Portfolio Loss'!$I151</f>
        <v>147</v>
      </c>
      <c r="J151" s="19">
        <f>'$ Portfolio Loss'!$R151</f>
        <v>5.9172103448091748</v>
      </c>
      <c r="L151">
        <v>147</v>
      </c>
      <c r="M151">
        <f>'$ Portfolio Loss'!$I59</f>
        <v>55</v>
      </c>
      <c r="N151" s="19">
        <f>'$ Portfolio Loss'!$R59</f>
        <v>1.2156825145068169</v>
      </c>
    </row>
    <row r="152" spans="9:14" x14ac:dyDescent="0.3">
      <c r="I152">
        <f>'$ Portfolio Loss'!$I152</f>
        <v>148</v>
      </c>
      <c r="J152" s="19">
        <f>'$ Portfolio Loss'!$R152</f>
        <v>-8.6902177064776417E-2</v>
      </c>
      <c r="L152">
        <v>148</v>
      </c>
      <c r="M152">
        <f>'$ Portfolio Loss'!$I242</f>
        <v>238</v>
      </c>
      <c r="N152" s="19">
        <f>'$ Portfolio Loss'!$R242</f>
        <v>1.1592532303391696</v>
      </c>
    </row>
    <row r="153" spans="9:14" x14ac:dyDescent="0.3">
      <c r="I153">
        <f>'$ Portfolio Loss'!$I153</f>
        <v>149</v>
      </c>
      <c r="J153" s="19">
        <f>'$ Portfolio Loss'!$R153</f>
        <v>-18.70910103091073</v>
      </c>
      <c r="L153">
        <v>149</v>
      </c>
      <c r="M153">
        <f>'$ Portfolio Loss'!$I166</f>
        <v>162</v>
      </c>
      <c r="N153" s="19">
        <f>'$ Portfolio Loss'!$R166</f>
        <v>1.1521129318648577</v>
      </c>
    </row>
    <row r="154" spans="9:14" x14ac:dyDescent="0.3">
      <c r="I154">
        <f>'$ Portfolio Loss'!$I154</f>
        <v>150</v>
      </c>
      <c r="J154" s="19">
        <f>'$ Portfolio Loss'!$R154</f>
        <v>-11.401832737764359</v>
      </c>
      <c r="L154">
        <v>150</v>
      </c>
      <c r="M154">
        <f>'$ Portfolio Loss'!$I245</f>
        <v>241</v>
      </c>
      <c r="N154" s="19">
        <f>'$ Portfolio Loss'!$R245</f>
        <v>1.1317116370124818</v>
      </c>
    </row>
    <row r="155" spans="9:14" x14ac:dyDescent="0.3">
      <c r="I155">
        <f>'$ Portfolio Loss'!$I155</f>
        <v>151</v>
      </c>
      <c r="J155" s="19">
        <f>'$ Portfolio Loss'!$R155</f>
        <v>5.1705666610068084</v>
      </c>
      <c r="L155">
        <v>151</v>
      </c>
      <c r="M155">
        <f>'$ Portfolio Loss'!$I82</f>
        <v>78</v>
      </c>
      <c r="N155" s="19">
        <f>'$ Portfolio Loss'!$R82</f>
        <v>1.0862364976127148</v>
      </c>
    </row>
    <row r="156" spans="9:14" x14ac:dyDescent="0.3">
      <c r="I156">
        <f>'$ Portfolio Loss'!$I156</f>
        <v>152</v>
      </c>
      <c r="J156" s="19">
        <f>'$ Portfolio Loss'!$R156</f>
        <v>10.380744744747162</v>
      </c>
      <c r="L156">
        <v>152</v>
      </c>
      <c r="M156">
        <f>'$ Portfolio Loss'!$I183</f>
        <v>179</v>
      </c>
      <c r="N156" s="19">
        <f>'$ Portfolio Loss'!$R183</f>
        <v>0.87469536798954006</v>
      </c>
    </row>
    <row r="157" spans="9:14" x14ac:dyDescent="0.3">
      <c r="I157">
        <f>'$ Portfolio Loss'!$I157</f>
        <v>153</v>
      </c>
      <c r="J157" s="19">
        <f>'$ Portfolio Loss'!$R157</f>
        <v>-12.456948403416037</v>
      </c>
      <c r="L157">
        <v>153</v>
      </c>
      <c r="M157">
        <f>'$ Portfolio Loss'!$I198</f>
        <v>194</v>
      </c>
      <c r="N157" s="19">
        <f>'$ Portfolio Loss'!$R198</f>
        <v>0.57105697185873983</v>
      </c>
    </row>
    <row r="158" spans="9:14" x14ac:dyDescent="0.3">
      <c r="I158">
        <f>'$ Portfolio Loss'!$I158</f>
        <v>154</v>
      </c>
      <c r="J158" s="19">
        <f>'$ Portfolio Loss'!$R158</f>
        <v>4.2162779492958782</v>
      </c>
      <c r="L158">
        <v>154</v>
      </c>
      <c r="M158">
        <f>'$ Portfolio Loss'!$I147</f>
        <v>143</v>
      </c>
      <c r="N158" s="19">
        <f>'$ Portfolio Loss'!$R147</f>
        <v>0.24628337618780136</v>
      </c>
    </row>
    <row r="159" spans="9:14" x14ac:dyDescent="0.3">
      <c r="I159">
        <f>'$ Portfolio Loss'!$I159</f>
        <v>155</v>
      </c>
      <c r="J159" s="19">
        <f>'$ Portfolio Loss'!$R159</f>
        <v>-8.5266480471158026</v>
      </c>
      <c r="L159">
        <v>155</v>
      </c>
      <c r="M159">
        <f>'$ Portfolio Loss'!$I51</f>
        <v>47</v>
      </c>
      <c r="N159" s="19">
        <f>'$ Portfolio Loss'!$R51</f>
        <v>0.17837172282540797</v>
      </c>
    </row>
    <row r="160" spans="9:14" x14ac:dyDescent="0.3">
      <c r="I160">
        <f>'$ Portfolio Loss'!$I160</f>
        <v>156</v>
      </c>
      <c r="J160" s="19">
        <f>'$ Portfolio Loss'!$R160</f>
        <v>-5.1182963355618716</v>
      </c>
      <c r="L160">
        <v>156</v>
      </c>
      <c r="M160">
        <f>'$ Portfolio Loss'!$I229</f>
        <v>225</v>
      </c>
      <c r="N160" s="19">
        <f>'$ Portfolio Loss'!$R229</f>
        <v>9.3940823133707052E-2</v>
      </c>
    </row>
    <row r="161" spans="9:14" x14ac:dyDescent="0.3">
      <c r="I161">
        <f>'$ Portfolio Loss'!$I161</f>
        <v>157</v>
      </c>
      <c r="J161" s="19">
        <f>'$ Portfolio Loss'!$R161</f>
        <v>13.654472418457866</v>
      </c>
      <c r="L161">
        <v>157</v>
      </c>
      <c r="M161">
        <f>'$ Portfolio Loss'!$I310</f>
        <v>306</v>
      </c>
      <c r="N161" s="19">
        <f>'$ Portfolio Loss'!$R310</f>
        <v>-7.1996143736839296E-2</v>
      </c>
    </row>
    <row r="162" spans="9:14" x14ac:dyDescent="0.3">
      <c r="I162">
        <f>'$ Portfolio Loss'!$I162</f>
        <v>158</v>
      </c>
      <c r="J162" s="19">
        <f>'$ Portfolio Loss'!$R162</f>
        <v>-4.3771426415315871</v>
      </c>
      <c r="L162">
        <v>158</v>
      </c>
      <c r="M162">
        <f>'$ Portfolio Loss'!$I152</f>
        <v>148</v>
      </c>
      <c r="N162" s="19">
        <f>'$ Portfolio Loss'!$R152</f>
        <v>-8.6902177064776417E-2</v>
      </c>
    </row>
    <row r="163" spans="9:14" x14ac:dyDescent="0.3">
      <c r="I163">
        <f>'$ Portfolio Loss'!$I163</f>
        <v>159</v>
      </c>
      <c r="J163" s="19">
        <f>'$ Portfolio Loss'!$R163</f>
        <v>-15.692182309390187</v>
      </c>
      <c r="L163">
        <v>159</v>
      </c>
      <c r="M163">
        <f>'$ Portfolio Loss'!$I125</f>
        <v>121</v>
      </c>
      <c r="N163" s="19">
        <f>'$ Portfolio Loss'!$R125</f>
        <v>-0.21201357117199898</v>
      </c>
    </row>
    <row r="164" spans="9:14" x14ac:dyDescent="0.3">
      <c r="I164">
        <f>'$ Portfolio Loss'!$I164</f>
        <v>160</v>
      </c>
      <c r="J164" s="19">
        <f>'$ Portfolio Loss'!$R164</f>
        <v>17.957570186961053</v>
      </c>
      <c r="L164">
        <v>160</v>
      </c>
      <c r="M164">
        <f>'$ Portfolio Loss'!$I318</f>
        <v>314</v>
      </c>
      <c r="N164" s="19">
        <f>'$ Portfolio Loss'!$R318</f>
        <v>-0.23302101018881799</v>
      </c>
    </row>
    <row r="165" spans="9:14" x14ac:dyDescent="0.3">
      <c r="I165">
        <f>'$ Portfolio Loss'!$I165</f>
        <v>161</v>
      </c>
      <c r="J165" s="19">
        <f>'$ Portfolio Loss'!$R165</f>
        <v>9.992086916080952</v>
      </c>
      <c r="L165">
        <v>161</v>
      </c>
      <c r="M165">
        <f>'$ Portfolio Loss'!$I280</f>
        <v>276</v>
      </c>
      <c r="N165" s="19">
        <f>'$ Portfolio Loss'!$R280</f>
        <v>-0.29191776927411556</v>
      </c>
    </row>
    <row r="166" spans="9:14" x14ac:dyDescent="0.3">
      <c r="I166">
        <f>'$ Portfolio Loss'!$I166</f>
        <v>162</v>
      </c>
      <c r="J166" s="19">
        <f>'$ Portfolio Loss'!$R166</f>
        <v>1.1521129318648577</v>
      </c>
      <c r="L166">
        <v>162</v>
      </c>
      <c r="M166">
        <f>'$ Portfolio Loss'!$I138</f>
        <v>134</v>
      </c>
      <c r="N166" s="19">
        <f>'$ Portfolio Loss'!$R138</f>
        <v>-0.38919571477603915</v>
      </c>
    </row>
    <row r="167" spans="9:14" x14ac:dyDescent="0.3">
      <c r="I167">
        <f>'$ Portfolio Loss'!$I167</f>
        <v>163</v>
      </c>
      <c r="J167" s="19">
        <f>'$ Portfolio Loss'!$R167</f>
        <v>14.48169377954185</v>
      </c>
      <c r="L167">
        <v>163</v>
      </c>
      <c r="M167">
        <f>'$ Portfolio Loss'!$I66</f>
        <v>62</v>
      </c>
      <c r="N167" s="19">
        <f>'$ Portfolio Loss'!$R66</f>
        <v>-0.58103953235650063</v>
      </c>
    </row>
    <row r="168" spans="9:14" x14ac:dyDescent="0.3">
      <c r="I168">
        <f>'$ Portfolio Loss'!$I168</f>
        <v>164</v>
      </c>
      <c r="J168" s="19">
        <f>'$ Portfolio Loss'!$R168</f>
        <v>3.4745491986310482</v>
      </c>
      <c r="L168">
        <v>164</v>
      </c>
      <c r="M168">
        <f>'$ Portfolio Loss'!$I317</f>
        <v>313</v>
      </c>
      <c r="N168" s="19">
        <f>'$ Portfolio Loss'!$R317</f>
        <v>-0.60244124159967904</v>
      </c>
    </row>
    <row r="169" spans="9:14" x14ac:dyDescent="0.3">
      <c r="I169">
        <f>'$ Portfolio Loss'!$I169</f>
        <v>165</v>
      </c>
      <c r="J169" s="19">
        <f>'$ Portfolio Loss'!$R169</f>
        <v>5.4625491786419156</v>
      </c>
      <c r="L169">
        <v>165</v>
      </c>
      <c r="M169">
        <f>'$ Portfolio Loss'!$I38</f>
        <v>34</v>
      </c>
      <c r="N169" s="19">
        <f>'$ Portfolio Loss'!$R38</f>
        <v>-0.76895461986398694</v>
      </c>
    </row>
    <row r="170" spans="9:14" x14ac:dyDescent="0.3">
      <c r="I170">
        <f>'$ Portfolio Loss'!$I170</f>
        <v>166</v>
      </c>
      <c r="J170" s="19">
        <f>'$ Portfolio Loss'!$R170</f>
        <v>-2.1504908530590536</v>
      </c>
      <c r="L170">
        <v>166</v>
      </c>
      <c r="M170">
        <f>'$ Portfolio Loss'!$I149</f>
        <v>145</v>
      </c>
      <c r="N170" s="19">
        <f>'$ Portfolio Loss'!$R149</f>
        <v>-1.0036404381039143</v>
      </c>
    </row>
    <row r="171" spans="9:14" x14ac:dyDescent="0.3">
      <c r="I171">
        <f>'$ Portfolio Loss'!$I171</f>
        <v>167</v>
      </c>
      <c r="J171" s="19">
        <f>'$ Portfolio Loss'!$R171</f>
        <v>-7.0611956041107176</v>
      </c>
      <c r="L171">
        <v>167</v>
      </c>
      <c r="M171">
        <f>'$ Portfolio Loss'!$I120</f>
        <v>116</v>
      </c>
      <c r="N171" s="19">
        <f>'$ Portfolio Loss'!$R120</f>
        <v>-1.0407886129490138</v>
      </c>
    </row>
    <row r="172" spans="9:14" x14ac:dyDescent="0.3">
      <c r="I172">
        <f>'$ Portfolio Loss'!$I172</f>
        <v>168</v>
      </c>
      <c r="J172" s="19">
        <f>'$ Portfolio Loss'!$R172</f>
        <v>-3.3183838656944036</v>
      </c>
      <c r="L172">
        <v>168</v>
      </c>
      <c r="M172">
        <f>'$ Portfolio Loss'!$I132</f>
        <v>128</v>
      </c>
      <c r="N172" s="19">
        <f>'$ Portfolio Loss'!$R132</f>
        <v>-1.0765972177073955</v>
      </c>
    </row>
    <row r="173" spans="9:14" x14ac:dyDescent="0.3">
      <c r="I173">
        <f>'$ Portfolio Loss'!$I173</f>
        <v>169</v>
      </c>
      <c r="J173" s="19">
        <f>'$ Portfolio Loss'!$R173</f>
        <v>-11.220516543077469</v>
      </c>
      <c r="L173">
        <v>169</v>
      </c>
      <c r="M173">
        <f>'$ Portfolio Loss'!$I200</f>
        <v>196</v>
      </c>
      <c r="N173" s="19">
        <f>'$ Portfolio Loss'!$R200</f>
        <v>-1.1218361720054149</v>
      </c>
    </row>
    <row r="174" spans="9:14" x14ac:dyDescent="0.3">
      <c r="I174">
        <f>'$ Portfolio Loss'!$I174</f>
        <v>170</v>
      </c>
      <c r="J174" s="19">
        <f>'$ Portfolio Loss'!$R174</f>
        <v>-22.087099338392974</v>
      </c>
      <c r="L174">
        <v>170</v>
      </c>
      <c r="M174">
        <f>'$ Portfolio Loss'!$I118</f>
        <v>114</v>
      </c>
      <c r="N174" s="19">
        <f>'$ Portfolio Loss'!$R118</f>
        <v>-1.8938405270482301</v>
      </c>
    </row>
    <row r="175" spans="9:14" x14ac:dyDescent="0.3">
      <c r="I175">
        <f>'$ Portfolio Loss'!$I175</f>
        <v>171</v>
      </c>
      <c r="J175" s="19">
        <f>'$ Portfolio Loss'!$R175</f>
        <v>-14.924280989764451</v>
      </c>
      <c r="L175">
        <v>171</v>
      </c>
      <c r="M175">
        <f>'$ Portfolio Loss'!$I302</f>
        <v>298</v>
      </c>
      <c r="N175" s="19">
        <f>'$ Portfolio Loss'!$R302</f>
        <v>-1.9173437212216855</v>
      </c>
    </row>
    <row r="176" spans="9:14" x14ac:dyDescent="0.3">
      <c r="I176">
        <f>'$ Portfolio Loss'!$I176</f>
        <v>172</v>
      </c>
      <c r="J176" s="19">
        <f>'$ Portfolio Loss'!$R176</f>
        <v>-3.4889910888115168</v>
      </c>
      <c r="L176">
        <v>172</v>
      </c>
      <c r="M176">
        <f>'$ Portfolio Loss'!$I73</f>
        <v>69</v>
      </c>
      <c r="N176" s="19">
        <f>'$ Portfolio Loss'!$R73</f>
        <v>-1.9209353026148082</v>
      </c>
    </row>
    <row r="177" spans="9:14" x14ac:dyDescent="0.3">
      <c r="I177">
        <f>'$ Portfolio Loss'!$I177</f>
        <v>173</v>
      </c>
      <c r="J177" s="19">
        <f>'$ Portfolio Loss'!$R177</f>
        <v>-39.497725312521219</v>
      </c>
      <c r="L177">
        <v>173</v>
      </c>
      <c r="M177">
        <f>'$ Portfolio Loss'!$I225</f>
        <v>221</v>
      </c>
      <c r="N177" s="19">
        <f>'$ Portfolio Loss'!$R225</f>
        <v>-2.0671953517972232</v>
      </c>
    </row>
    <row r="178" spans="9:14" x14ac:dyDescent="0.3">
      <c r="I178">
        <f>'$ Portfolio Loss'!$I178</f>
        <v>174</v>
      </c>
      <c r="J178" s="19">
        <f>'$ Portfolio Loss'!$R178</f>
        <v>-15.167961129248738</v>
      </c>
      <c r="L178">
        <v>174</v>
      </c>
      <c r="M178">
        <f>'$ Portfolio Loss'!$I170</f>
        <v>166</v>
      </c>
      <c r="N178" s="19">
        <f>'$ Portfolio Loss'!$R170</f>
        <v>-2.1504908530590536</v>
      </c>
    </row>
    <row r="179" spans="9:14" x14ac:dyDescent="0.3">
      <c r="I179">
        <f>'$ Portfolio Loss'!$I179</f>
        <v>175</v>
      </c>
      <c r="J179" s="19">
        <f>'$ Portfolio Loss'!$R179</f>
        <v>-43.449868003333691</v>
      </c>
      <c r="L179">
        <v>175</v>
      </c>
      <c r="M179">
        <f>'$ Portfolio Loss'!$I56</f>
        <v>52</v>
      </c>
      <c r="N179" s="19">
        <f>'$ Portfolio Loss'!$R56</f>
        <v>-2.4792019862728121</v>
      </c>
    </row>
    <row r="180" spans="9:14" x14ac:dyDescent="0.3">
      <c r="I180">
        <f>'$ Portfolio Loss'!$I180</f>
        <v>176</v>
      </c>
      <c r="J180" s="19">
        <f>'$ Portfolio Loss'!$R180</f>
        <v>-42.458928007577775</v>
      </c>
      <c r="L180">
        <v>176</v>
      </c>
      <c r="M180">
        <f>'$ Portfolio Loss'!$I117</f>
        <v>113</v>
      </c>
      <c r="N180" s="19">
        <f>'$ Portfolio Loss'!$R117</f>
        <v>-2.4921209119458196</v>
      </c>
    </row>
    <row r="181" spans="9:14" x14ac:dyDescent="0.3">
      <c r="I181">
        <f>'$ Portfolio Loss'!$I181</f>
        <v>177</v>
      </c>
      <c r="J181" s="19">
        <f>'$ Portfolio Loss'!$R181</f>
        <v>-35.382940061201928</v>
      </c>
      <c r="L181">
        <v>177</v>
      </c>
      <c r="M181">
        <f>'$ Portfolio Loss'!$I316</f>
        <v>312</v>
      </c>
      <c r="N181" s="19">
        <f>'$ Portfolio Loss'!$R316</f>
        <v>-2.5689458140461445</v>
      </c>
    </row>
    <row r="182" spans="9:14" x14ac:dyDescent="0.3">
      <c r="I182">
        <f>'$ Portfolio Loss'!$I182</f>
        <v>178</v>
      </c>
      <c r="J182" s="19">
        <f>'$ Portfolio Loss'!$R182</f>
        <v>-62.380728288762569</v>
      </c>
      <c r="L182">
        <v>178</v>
      </c>
      <c r="M182">
        <f>'$ Portfolio Loss'!$I260</f>
        <v>256</v>
      </c>
      <c r="N182" s="19">
        <f>'$ Portfolio Loss'!$R260</f>
        <v>-3.1948140663642883</v>
      </c>
    </row>
    <row r="183" spans="9:14" x14ac:dyDescent="0.3">
      <c r="I183">
        <f>'$ Portfolio Loss'!$I183</f>
        <v>179</v>
      </c>
      <c r="J183" s="19">
        <f>'$ Portfolio Loss'!$R183</f>
        <v>0.87469536798954006</v>
      </c>
      <c r="L183">
        <v>179</v>
      </c>
      <c r="M183">
        <f>'$ Portfolio Loss'!$I81</f>
        <v>77</v>
      </c>
      <c r="N183" s="19">
        <f>'$ Portfolio Loss'!$R81</f>
        <v>-3.195940716852784</v>
      </c>
    </row>
    <row r="184" spans="9:14" x14ac:dyDescent="0.3">
      <c r="I184">
        <f>'$ Portfolio Loss'!$I184</f>
        <v>180</v>
      </c>
      <c r="J184" s="19">
        <f>'$ Portfolio Loss'!$R184</f>
        <v>-22.691095375971795</v>
      </c>
      <c r="L184">
        <v>180</v>
      </c>
      <c r="M184">
        <f>'$ Portfolio Loss'!$I199</f>
        <v>195</v>
      </c>
      <c r="N184" s="19">
        <f>'$ Portfolio Loss'!$R199</f>
        <v>-3.2319786104946138</v>
      </c>
    </row>
    <row r="185" spans="9:14" x14ac:dyDescent="0.3">
      <c r="I185">
        <f>'$ Portfolio Loss'!$I185</f>
        <v>181</v>
      </c>
      <c r="J185" s="19">
        <f>'$ Portfolio Loss'!$R185</f>
        <v>-26.935164492684962</v>
      </c>
      <c r="L185">
        <v>181</v>
      </c>
      <c r="M185">
        <f>'$ Portfolio Loss'!$I216</f>
        <v>212</v>
      </c>
      <c r="N185" s="19">
        <f>'$ Portfolio Loss'!$R216</f>
        <v>-3.2321972104294301</v>
      </c>
    </row>
    <row r="186" spans="9:14" x14ac:dyDescent="0.3">
      <c r="I186">
        <f>'$ Portfolio Loss'!$I186</f>
        <v>182</v>
      </c>
      <c r="J186" s="19">
        <f>'$ Portfolio Loss'!$R186</f>
        <v>81.009313556189653</v>
      </c>
      <c r="L186">
        <v>182</v>
      </c>
      <c r="M186">
        <f>'$ Portfolio Loss'!$I150</f>
        <v>146</v>
      </c>
      <c r="N186" s="19">
        <f>'$ Portfolio Loss'!$R150</f>
        <v>-3.3115453564056159</v>
      </c>
    </row>
    <row r="187" spans="9:14" x14ac:dyDescent="0.3">
      <c r="I187">
        <f>'$ Portfolio Loss'!$I187</f>
        <v>183</v>
      </c>
      <c r="J187" s="19">
        <f>'$ Portfolio Loss'!$R187</f>
        <v>37.140800868900534</v>
      </c>
      <c r="L187">
        <v>183</v>
      </c>
      <c r="M187">
        <f>'$ Portfolio Loss'!$I172</f>
        <v>168</v>
      </c>
      <c r="N187" s="19">
        <f>'$ Portfolio Loss'!$R172</f>
        <v>-3.3183838656944036</v>
      </c>
    </row>
    <row r="188" spans="9:14" x14ac:dyDescent="0.3">
      <c r="I188">
        <f>'$ Portfolio Loss'!$I188</f>
        <v>184</v>
      </c>
      <c r="J188" s="19">
        <f>'$ Portfolio Loss'!$R188</f>
        <v>-21.923092830547333</v>
      </c>
      <c r="L188">
        <v>184</v>
      </c>
      <c r="M188">
        <f>'$ Portfolio Loss'!$I301</f>
        <v>297</v>
      </c>
      <c r="N188" s="19">
        <f>'$ Portfolio Loss'!$R301</f>
        <v>-3.4092786193678379</v>
      </c>
    </row>
    <row r="189" spans="9:14" x14ac:dyDescent="0.3">
      <c r="I189">
        <f>'$ Portfolio Loss'!$I189</f>
        <v>185</v>
      </c>
      <c r="J189" s="19">
        <f>'$ Portfolio Loss'!$R189</f>
        <v>-3.5139587508509158</v>
      </c>
      <c r="L189">
        <v>185</v>
      </c>
      <c r="M189">
        <f>'$ Portfolio Loss'!$I176</f>
        <v>172</v>
      </c>
      <c r="N189" s="19">
        <f>'$ Portfolio Loss'!$R176</f>
        <v>-3.4889910888115168</v>
      </c>
    </row>
    <row r="190" spans="9:14" x14ac:dyDescent="0.3">
      <c r="I190">
        <f>'$ Portfolio Loss'!$I190</f>
        <v>186</v>
      </c>
      <c r="J190" s="19">
        <f>'$ Portfolio Loss'!$R190</f>
        <v>33.059894936240433</v>
      </c>
      <c r="L190">
        <v>186</v>
      </c>
      <c r="M190">
        <f>'$ Portfolio Loss'!$I189</f>
        <v>185</v>
      </c>
      <c r="N190" s="19">
        <f>'$ Portfolio Loss'!$R189</f>
        <v>-3.5139587508509158</v>
      </c>
    </row>
    <row r="191" spans="9:14" x14ac:dyDescent="0.3">
      <c r="I191">
        <f>'$ Portfolio Loss'!$I191</f>
        <v>187</v>
      </c>
      <c r="J191" s="19">
        <f>'$ Portfolio Loss'!$R191</f>
        <v>9.6870527339353565</v>
      </c>
      <c r="L191">
        <v>187</v>
      </c>
      <c r="M191">
        <f>'$ Portfolio Loss'!$I33</f>
        <v>29</v>
      </c>
      <c r="N191" s="19">
        <f>'$ Portfolio Loss'!$R33</f>
        <v>-3.6123870886712073</v>
      </c>
    </row>
    <row r="192" spans="9:14" x14ac:dyDescent="0.3">
      <c r="I192">
        <f>'$ Portfolio Loss'!$I192</f>
        <v>188</v>
      </c>
      <c r="J192" s="19">
        <f>'$ Portfolio Loss'!$R192</f>
        <v>12.128498463487029</v>
      </c>
      <c r="L192">
        <v>188</v>
      </c>
      <c r="M192">
        <f>'$ Portfolio Loss'!$I6</f>
        <v>2</v>
      </c>
      <c r="N192" s="19">
        <f>'$ Portfolio Loss'!$R6</f>
        <v>-3.7099040134418009</v>
      </c>
    </row>
    <row r="193" spans="9:14" x14ac:dyDescent="0.3">
      <c r="I193">
        <f>'$ Portfolio Loss'!$I193</f>
        <v>189</v>
      </c>
      <c r="J193" s="19">
        <f>'$ Portfolio Loss'!$R193</f>
        <v>-29.66765362273717</v>
      </c>
      <c r="L193">
        <v>189</v>
      </c>
      <c r="M193">
        <f>'$ Portfolio Loss'!$I298</f>
        <v>294</v>
      </c>
      <c r="N193" s="19">
        <f>'$ Portfolio Loss'!$R298</f>
        <v>-3.7775040393128396</v>
      </c>
    </row>
    <row r="194" spans="9:14" x14ac:dyDescent="0.3">
      <c r="I194">
        <f>'$ Portfolio Loss'!$I194</f>
        <v>190</v>
      </c>
      <c r="J194" s="19">
        <f>'$ Portfolio Loss'!$R194</f>
        <v>5.0282356155427692</v>
      </c>
      <c r="L194">
        <v>190</v>
      </c>
      <c r="M194">
        <f>'$ Portfolio Loss'!$I106</f>
        <v>102</v>
      </c>
      <c r="N194" s="19">
        <f>'$ Portfolio Loss'!$R106</f>
        <v>-4.0823420161374804</v>
      </c>
    </row>
    <row r="195" spans="9:14" x14ac:dyDescent="0.3">
      <c r="I195">
        <f>'$ Portfolio Loss'!$I195</f>
        <v>191</v>
      </c>
      <c r="J195" s="19">
        <f>'$ Portfolio Loss'!$R195</f>
        <v>1.2934427137962581</v>
      </c>
      <c r="L195">
        <v>191</v>
      </c>
      <c r="M195">
        <f>'$ Portfolio Loss'!$I240</f>
        <v>236</v>
      </c>
      <c r="N195" s="19">
        <f>'$ Portfolio Loss'!$R240</f>
        <v>-4.1499699463913444</v>
      </c>
    </row>
    <row r="196" spans="9:14" x14ac:dyDescent="0.3">
      <c r="I196">
        <f>'$ Portfolio Loss'!$I196</f>
        <v>192</v>
      </c>
      <c r="J196" s="19">
        <f>'$ Portfolio Loss'!$R196</f>
        <v>-9.793509447572708</v>
      </c>
      <c r="L196">
        <v>192</v>
      </c>
      <c r="M196">
        <f>'$ Portfolio Loss'!$I286</f>
        <v>282</v>
      </c>
      <c r="N196" s="19">
        <f>'$ Portfolio Loss'!$R286</f>
        <v>-4.180714139164329</v>
      </c>
    </row>
    <row r="197" spans="9:14" x14ac:dyDescent="0.3">
      <c r="I197">
        <f>'$ Portfolio Loss'!$I197</f>
        <v>193</v>
      </c>
      <c r="J197" s="19">
        <f>'$ Portfolio Loss'!$R197</f>
        <v>9.446613784752012</v>
      </c>
      <c r="L197">
        <v>193</v>
      </c>
      <c r="M197">
        <f>'$ Portfolio Loss'!$I162</f>
        <v>158</v>
      </c>
      <c r="N197" s="19">
        <f>'$ Portfolio Loss'!$R162</f>
        <v>-4.3771426415315871</v>
      </c>
    </row>
    <row r="198" spans="9:14" x14ac:dyDescent="0.3">
      <c r="I198">
        <f>'$ Portfolio Loss'!$I198</f>
        <v>194</v>
      </c>
      <c r="J198" s="19">
        <f>'$ Portfolio Loss'!$R198</f>
        <v>0.57105697185873983</v>
      </c>
      <c r="L198">
        <v>194</v>
      </c>
      <c r="M198">
        <f>'$ Portfolio Loss'!$I85</f>
        <v>81</v>
      </c>
      <c r="N198" s="19">
        <f>'$ Portfolio Loss'!$R85</f>
        <v>-4.4008056924371717</v>
      </c>
    </row>
    <row r="199" spans="9:14" x14ac:dyDescent="0.3">
      <c r="I199">
        <f>'$ Portfolio Loss'!$I199</f>
        <v>195</v>
      </c>
      <c r="J199" s="19">
        <f>'$ Portfolio Loss'!$R199</f>
        <v>-3.2319786104946138</v>
      </c>
      <c r="L199">
        <v>195</v>
      </c>
      <c r="M199">
        <f>'$ Portfolio Loss'!$I79</f>
        <v>75</v>
      </c>
      <c r="N199" s="19">
        <f>'$ Portfolio Loss'!$R79</f>
        <v>-4.4704730498918295</v>
      </c>
    </row>
    <row r="200" spans="9:14" x14ac:dyDescent="0.3">
      <c r="I200">
        <f>'$ Portfolio Loss'!$I200</f>
        <v>196</v>
      </c>
      <c r="J200" s="19">
        <f>'$ Portfolio Loss'!$R200</f>
        <v>-1.1218361720054149</v>
      </c>
      <c r="L200">
        <v>196</v>
      </c>
      <c r="M200">
        <f>'$ Portfolio Loss'!$I223</f>
        <v>219</v>
      </c>
      <c r="N200" s="19">
        <f>'$ Portfolio Loss'!$R223</f>
        <v>-4.5402950923280718</v>
      </c>
    </row>
    <row r="201" spans="9:14" x14ac:dyDescent="0.3">
      <c r="I201">
        <f>'$ Portfolio Loss'!$I201</f>
        <v>197</v>
      </c>
      <c r="J201" s="19">
        <f>'$ Portfolio Loss'!$R201</f>
        <v>12.893032524746657</v>
      </c>
      <c r="L201">
        <v>197</v>
      </c>
      <c r="M201">
        <f>'$ Portfolio Loss'!$I297</f>
        <v>293</v>
      </c>
      <c r="N201" s="19">
        <f>'$ Portfolio Loss'!$R297</f>
        <v>-4.6283560300526618</v>
      </c>
    </row>
    <row r="202" spans="9:14" x14ac:dyDescent="0.3">
      <c r="I202">
        <f>'$ Portfolio Loss'!$I202</f>
        <v>198</v>
      </c>
      <c r="J202" s="19">
        <f>'$ Portfolio Loss'!$R202</f>
        <v>5.4121498699214454</v>
      </c>
      <c r="L202">
        <v>198</v>
      </c>
      <c r="M202">
        <f>'$ Portfolio Loss'!$I204</f>
        <v>200</v>
      </c>
      <c r="N202" s="19">
        <f>'$ Portfolio Loss'!$R204</f>
        <v>-4.7708590026360751</v>
      </c>
    </row>
    <row r="203" spans="9:14" x14ac:dyDescent="0.3">
      <c r="I203">
        <f>'$ Portfolio Loss'!$I203</f>
        <v>199</v>
      </c>
      <c r="J203" s="19">
        <f>'$ Portfolio Loss'!$R203</f>
        <v>-4.9385859105587002</v>
      </c>
      <c r="L203">
        <v>199</v>
      </c>
      <c r="M203">
        <f>'$ Portfolio Loss'!$I121</f>
        <v>117</v>
      </c>
      <c r="N203" s="19">
        <f>'$ Portfolio Loss'!$R121</f>
        <v>-4.8534405007632975</v>
      </c>
    </row>
    <row r="204" spans="9:14" x14ac:dyDescent="0.3">
      <c r="I204">
        <f>'$ Portfolio Loss'!$I204</f>
        <v>200</v>
      </c>
      <c r="J204" s="19">
        <f>'$ Portfolio Loss'!$R204</f>
        <v>-4.7708590026360751</v>
      </c>
      <c r="L204">
        <v>200</v>
      </c>
      <c r="M204">
        <f>'$ Portfolio Loss'!$I94</f>
        <v>90</v>
      </c>
      <c r="N204" s="19">
        <f>'$ Portfolio Loss'!$R94</f>
        <v>-4.8836940214740041</v>
      </c>
    </row>
    <row r="205" spans="9:14" x14ac:dyDescent="0.3">
      <c r="I205">
        <f>'$ Portfolio Loss'!$I205</f>
        <v>201</v>
      </c>
      <c r="J205" s="19">
        <f>'$ Portfolio Loss'!$R205</f>
        <v>-21.655498734011054</v>
      </c>
      <c r="L205">
        <v>201</v>
      </c>
      <c r="M205">
        <f>'$ Portfolio Loss'!$I203</f>
        <v>199</v>
      </c>
      <c r="N205" s="19">
        <f>'$ Portfolio Loss'!$R203</f>
        <v>-4.9385859105587002</v>
      </c>
    </row>
    <row r="206" spans="9:14" x14ac:dyDescent="0.3">
      <c r="I206">
        <f>'$ Portfolio Loss'!$I206</f>
        <v>202</v>
      </c>
      <c r="J206" s="19">
        <f>'$ Portfolio Loss'!$R206</f>
        <v>13.491782703768253</v>
      </c>
      <c r="L206">
        <v>202</v>
      </c>
      <c r="M206">
        <f>'$ Portfolio Loss'!$I160</f>
        <v>156</v>
      </c>
      <c r="N206" s="19">
        <f>'$ Portfolio Loss'!$R160</f>
        <v>-5.1182963355618716</v>
      </c>
    </row>
    <row r="207" spans="9:14" x14ac:dyDescent="0.3">
      <c r="I207">
        <f>'$ Portfolio Loss'!$I207</f>
        <v>203</v>
      </c>
      <c r="J207" s="19">
        <f>'$ Portfolio Loss'!$R207</f>
        <v>-13.26872427898693</v>
      </c>
      <c r="L207">
        <v>203</v>
      </c>
      <c r="M207">
        <f>'$ Portfolio Loss'!$I238</f>
        <v>234</v>
      </c>
      <c r="N207" s="19">
        <f>'$ Portfolio Loss'!$R238</f>
        <v>-5.2182650671384332</v>
      </c>
    </row>
    <row r="208" spans="9:14" x14ac:dyDescent="0.3">
      <c r="I208">
        <f>'$ Portfolio Loss'!$I208</f>
        <v>204</v>
      </c>
      <c r="J208" s="19">
        <f>'$ Portfolio Loss'!$R208</f>
        <v>3.1429879986174107</v>
      </c>
      <c r="L208">
        <v>204</v>
      </c>
      <c r="M208">
        <f>'$ Portfolio Loss'!$I104</f>
        <v>100</v>
      </c>
      <c r="N208" s="19">
        <f>'$ Portfolio Loss'!$R104</f>
        <v>-5.5001814809896947</v>
      </c>
    </row>
    <row r="209" spans="9:14" x14ac:dyDescent="0.3">
      <c r="I209">
        <f>'$ Portfolio Loss'!$I209</f>
        <v>205</v>
      </c>
      <c r="J209" s="19">
        <f>'$ Portfolio Loss'!$R209</f>
        <v>13.308938922253848</v>
      </c>
      <c r="L209">
        <v>205</v>
      </c>
      <c r="M209">
        <f>'$ Portfolio Loss'!$I54</f>
        <v>50</v>
      </c>
      <c r="N209" s="19">
        <f>'$ Portfolio Loss'!$R54</f>
        <v>-5.7488875350892545</v>
      </c>
    </row>
    <row r="210" spans="9:14" x14ac:dyDescent="0.3">
      <c r="I210">
        <f>'$ Portfolio Loss'!$I210</f>
        <v>206</v>
      </c>
      <c r="J210" s="19">
        <f>'$ Portfolio Loss'!$R210</f>
        <v>28.496349071360232</v>
      </c>
      <c r="L210">
        <v>206</v>
      </c>
      <c r="M210">
        <f>'$ Portfolio Loss'!$I319</f>
        <v>315</v>
      </c>
      <c r="N210" s="19">
        <f>'$ Portfolio Loss'!$R319</f>
        <v>-5.7886993052413462</v>
      </c>
    </row>
    <row r="211" spans="9:14" x14ac:dyDescent="0.3">
      <c r="I211">
        <f>'$ Portfolio Loss'!$I211</f>
        <v>207</v>
      </c>
      <c r="J211" s="19">
        <f>'$ Portfolio Loss'!$R211</f>
        <v>6.390181812355995</v>
      </c>
      <c r="L211">
        <v>207</v>
      </c>
      <c r="M211">
        <f>'$ Portfolio Loss'!$I214</f>
        <v>210</v>
      </c>
      <c r="N211" s="19">
        <f>'$ Portfolio Loss'!$R214</f>
        <v>-5.8267287740559581</v>
      </c>
    </row>
    <row r="212" spans="9:14" x14ac:dyDescent="0.3">
      <c r="I212">
        <f>'$ Portfolio Loss'!$I212</f>
        <v>208</v>
      </c>
      <c r="J212" s="19">
        <f>'$ Portfolio Loss'!$R212</f>
        <v>19.488502460363151</v>
      </c>
      <c r="L212">
        <v>208</v>
      </c>
      <c r="M212">
        <f>'$ Portfolio Loss'!$I67</f>
        <v>63</v>
      </c>
      <c r="N212" s="19">
        <f>'$ Portfolio Loss'!$R67</f>
        <v>-5.851985875431418</v>
      </c>
    </row>
    <row r="213" spans="9:14" x14ac:dyDescent="0.3">
      <c r="I213">
        <f>'$ Portfolio Loss'!$I213</f>
        <v>209</v>
      </c>
      <c r="J213" s="19">
        <f>'$ Portfolio Loss'!$R213</f>
        <v>3.5106759211804865</v>
      </c>
      <c r="L213">
        <v>209</v>
      </c>
      <c r="M213">
        <f>'$ Portfolio Loss'!$I290</f>
        <v>286</v>
      </c>
      <c r="N213" s="19">
        <f>'$ Portfolio Loss'!$R290</f>
        <v>-5.9080052648997308</v>
      </c>
    </row>
    <row r="214" spans="9:14" x14ac:dyDescent="0.3">
      <c r="I214">
        <f>'$ Portfolio Loss'!$I214</f>
        <v>210</v>
      </c>
      <c r="J214" s="19">
        <f>'$ Portfolio Loss'!$R214</f>
        <v>-5.8267287740559581</v>
      </c>
      <c r="L214">
        <v>210</v>
      </c>
      <c r="M214">
        <f>'$ Portfolio Loss'!$I254</f>
        <v>250</v>
      </c>
      <c r="N214" s="19">
        <f>'$ Portfolio Loss'!$R254</f>
        <v>-6.6656761009252072</v>
      </c>
    </row>
    <row r="215" spans="9:14" x14ac:dyDescent="0.3">
      <c r="I215">
        <f>'$ Portfolio Loss'!$I215</f>
        <v>211</v>
      </c>
      <c r="J215" s="19">
        <f>'$ Portfolio Loss'!$R215</f>
        <v>-7.2642954354772566</v>
      </c>
      <c r="L215">
        <v>211</v>
      </c>
      <c r="M215">
        <f>'$ Portfolio Loss'!$I25</f>
        <v>21</v>
      </c>
      <c r="N215" s="19">
        <f>'$ Portfolio Loss'!$R25</f>
        <v>-6.877926741204023</v>
      </c>
    </row>
    <row r="216" spans="9:14" x14ac:dyDescent="0.3">
      <c r="I216">
        <f>'$ Portfolio Loss'!$I216</f>
        <v>212</v>
      </c>
      <c r="J216" s="19">
        <f>'$ Portfolio Loss'!$R216</f>
        <v>-3.2321972104294301</v>
      </c>
      <c r="L216">
        <v>212</v>
      </c>
      <c r="M216">
        <f>'$ Portfolio Loss'!$I252</f>
        <v>248</v>
      </c>
      <c r="N216" s="19">
        <f>'$ Portfolio Loss'!$R252</f>
        <v>-6.9486350728887318</v>
      </c>
    </row>
    <row r="217" spans="9:14" x14ac:dyDescent="0.3">
      <c r="I217">
        <f>'$ Portfolio Loss'!$I217</f>
        <v>213</v>
      </c>
      <c r="J217" s="19">
        <f>'$ Portfolio Loss'!$R217</f>
        <v>5.6632082631509304</v>
      </c>
      <c r="L217">
        <v>213</v>
      </c>
      <c r="M217">
        <f>'$ Portfolio Loss'!$I60</f>
        <v>56</v>
      </c>
      <c r="N217" s="19">
        <f>'$ Portfolio Loss'!$R60</f>
        <v>-7.0147997055766584</v>
      </c>
    </row>
    <row r="218" spans="9:14" x14ac:dyDescent="0.3">
      <c r="I218">
        <f>'$ Portfolio Loss'!$I218</f>
        <v>214</v>
      </c>
      <c r="J218" s="19">
        <f>'$ Portfolio Loss'!$R218</f>
        <v>18.781270563981415</v>
      </c>
      <c r="L218">
        <v>214</v>
      </c>
      <c r="M218">
        <f>'$ Portfolio Loss'!$I171</f>
        <v>167</v>
      </c>
      <c r="N218" s="19">
        <f>'$ Portfolio Loss'!$R171</f>
        <v>-7.0611956041107176</v>
      </c>
    </row>
    <row r="219" spans="9:14" x14ac:dyDescent="0.3">
      <c r="I219">
        <f>'$ Portfolio Loss'!$I219</f>
        <v>215</v>
      </c>
      <c r="J219" s="19">
        <f>'$ Portfolio Loss'!$R219</f>
        <v>7.0880049301949741</v>
      </c>
      <c r="L219">
        <v>215</v>
      </c>
      <c r="M219">
        <f>'$ Portfolio Loss'!$I313</f>
        <v>309</v>
      </c>
      <c r="N219" s="19">
        <f>'$ Portfolio Loss'!$R313</f>
        <v>-7.1222701385393146</v>
      </c>
    </row>
    <row r="220" spans="9:14" x14ac:dyDescent="0.3">
      <c r="I220">
        <f>'$ Portfolio Loss'!$I220</f>
        <v>216</v>
      </c>
      <c r="J220" s="19">
        <f>'$ Portfolio Loss'!$R220</f>
        <v>2.0268135219905377</v>
      </c>
      <c r="L220">
        <v>216</v>
      </c>
      <c r="M220">
        <f>'$ Portfolio Loss'!$I215</f>
        <v>211</v>
      </c>
      <c r="N220" s="19">
        <f>'$ Portfolio Loss'!$R215</f>
        <v>-7.2642954354772566</v>
      </c>
    </row>
    <row r="221" spans="9:14" x14ac:dyDescent="0.3">
      <c r="I221">
        <f>'$ Portfolio Loss'!$I221</f>
        <v>217</v>
      </c>
      <c r="J221" s="19">
        <f>'$ Portfolio Loss'!$R221</f>
        <v>-20.04735802747178</v>
      </c>
      <c r="L221">
        <v>217</v>
      </c>
      <c r="M221">
        <f>'$ Portfolio Loss'!$I74</f>
        <v>70</v>
      </c>
      <c r="N221" s="19">
        <f>'$ Portfolio Loss'!$R74</f>
        <v>-7.2655913306410316</v>
      </c>
    </row>
    <row r="222" spans="9:14" x14ac:dyDescent="0.3">
      <c r="I222">
        <f>'$ Portfolio Loss'!$I222</f>
        <v>218</v>
      </c>
      <c r="J222" s="19">
        <f>'$ Portfolio Loss'!$R222</f>
        <v>2.4404297083393334</v>
      </c>
      <c r="L222">
        <v>218</v>
      </c>
      <c r="M222">
        <f>'$ Portfolio Loss'!$I43</f>
        <v>39</v>
      </c>
      <c r="N222" s="19">
        <f>'$ Portfolio Loss'!$R43</f>
        <v>-7.4176659776650666</v>
      </c>
    </row>
    <row r="223" spans="9:14" x14ac:dyDescent="0.3">
      <c r="I223">
        <f>'$ Portfolio Loss'!$I223</f>
        <v>219</v>
      </c>
      <c r="J223" s="19">
        <f>'$ Portfolio Loss'!$R223</f>
        <v>-4.5402950923280718</v>
      </c>
      <c r="L223">
        <v>219</v>
      </c>
      <c r="M223">
        <f>'$ Portfolio Loss'!$I15</f>
        <v>11</v>
      </c>
      <c r="N223" s="19">
        <f>'$ Portfolio Loss'!$R15</f>
        <v>-7.5264611821949483</v>
      </c>
    </row>
    <row r="224" spans="9:14" x14ac:dyDescent="0.3">
      <c r="I224">
        <f>'$ Portfolio Loss'!$I224</f>
        <v>220</v>
      </c>
      <c r="J224" s="19">
        <f>'$ Portfolio Loss'!$R224</f>
        <v>-9.2366237501451973</v>
      </c>
      <c r="L224">
        <v>220</v>
      </c>
      <c r="M224">
        <f>'$ Portfolio Loss'!$I48</f>
        <v>44</v>
      </c>
      <c r="N224" s="19">
        <f>'$ Portfolio Loss'!$R48</f>
        <v>-8.0822088673042067</v>
      </c>
    </row>
    <row r="225" spans="9:14" x14ac:dyDescent="0.3">
      <c r="I225">
        <f>'$ Portfolio Loss'!$I225</f>
        <v>221</v>
      </c>
      <c r="J225" s="19">
        <f>'$ Portfolio Loss'!$R225</f>
        <v>-2.0671953517972232</v>
      </c>
      <c r="L225">
        <v>221</v>
      </c>
      <c r="M225">
        <f>'$ Portfolio Loss'!$I231</f>
        <v>227</v>
      </c>
      <c r="N225" s="19">
        <f>'$ Portfolio Loss'!$R231</f>
        <v>-8.2221337288520342</v>
      </c>
    </row>
    <row r="226" spans="9:14" x14ac:dyDescent="0.3">
      <c r="I226">
        <f>'$ Portfolio Loss'!$I226</f>
        <v>222</v>
      </c>
      <c r="J226" s="19">
        <f>'$ Portfolio Loss'!$R226</f>
        <v>7.0863196069631575</v>
      </c>
      <c r="L226">
        <v>222</v>
      </c>
      <c r="M226">
        <f>'$ Portfolio Loss'!$I139</f>
        <v>135</v>
      </c>
      <c r="N226" s="19">
        <f>'$ Portfolio Loss'!$R139</f>
        <v>-8.3299723260117773</v>
      </c>
    </row>
    <row r="227" spans="9:14" x14ac:dyDescent="0.3">
      <c r="I227">
        <f>'$ Portfolio Loss'!$I227</f>
        <v>223</v>
      </c>
      <c r="J227" s="19">
        <f>'$ Portfolio Loss'!$R227</f>
        <v>-12.091910896634579</v>
      </c>
      <c r="L227">
        <v>223</v>
      </c>
      <c r="M227">
        <f>'$ Portfolio Loss'!$I159</f>
        <v>155</v>
      </c>
      <c r="N227" s="19">
        <f>'$ Portfolio Loss'!$R159</f>
        <v>-8.5266480471158026</v>
      </c>
    </row>
    <row r="228" spans="9:14" x14ac:dyDescent="0.3">
      <c r="I228">
        <f>'$ Portfolio Loss'!$I228</f>
        <v>224</v>
      </c>
      <c r="J228" s="19">
        <f>'$ Portfolio Loss'!$R228</f>
        <v>-30.528328677935004</v>
      </c>
      <c r="L228">
        <v>224</v>
      </c>
      <c r="M228">
        <f>'$ Portfolio Loss'!$I90</f>
        <v>86</v>
      </c>
      <c r="N228" s="19">
        <f>'$ Portfolio Loss'!$R90</f>
        <v>-8.741113230062961</v>
      </c>
    </row>
    <row r="229" spans="9:14" x14ac:dyDescent="0.3">
      <c r="I229">
        <f>'$ Portfolio Loss'!$I229</f>
        <v>225</v>
      </c>
      <c r="J229" s="19">
        <f>'$ Portfolio Loss'!$R229</f>
        <v>9.3940823133707052E-2</v>
      </c>
      <c r="L229">
        <v>225</v>
      </c>
      <c r="M229">
        <f>'$ Portfolio Loss'!$I224</f>
        <v>220</v>
      </c>
      <c r="N229" s="19">
        <f>'$ Portfolio Loss'!$R224</f>
        <v>-9.2366237501451973</v>
      </c>
    </row>
    <row r="230" spans="9:14" x14ac:dyDescent="0.3">
      <c r="I230">
        <f>'$ Portfolio Loss'!$I230</f>
        <v>226</v>
      </c>
      <c r="J230" s="19">
        <f>'$ Portfolio Loss'!$R230</f>
        <v>7.0584059355471132</v>
      </c>
      <c r="L230">
        <v>226</v>
      </c>
      <c r="M230">
        <f>'$ Portfolio Loss'!$I235</f>
        <v>231</v>
      </c>
      <c r="N230" s="19">
        <f>'$ Portfolio Loss'!$R235</f>
        <v>-9.399527989549636</v>
      </c>
    </row>
    <row r="231" spans="9:14" x14ac:dyDescent="0.3">
      <c r="I231">
        <f>'$ Portfolio Loss'!$I231</f>
        <v>227</v>
      </c>
      <c r="J231" s="19">
        <f>'$ Portfolio Loss'!$R231</f>
        <v>-8.2221337288520342</v>
      </c>
      <c r="L231">
        <v>227</v>
      </c>
      <c r="M231">
        <f>'$ Portfolio Loss'!$I22</f>
        <v>18</v>
      </c>
      <c r="N231" s="19">
        <f>'$ Portfolio Loss'!$R22</f>
        <v>-9.4806255269205568</v>
      </c>
    </row>
    <row r="232" spans="9:14" x14ac:dyDescent="0.3">
      <c r="I232">
        <f>'$ Portfolio Loss'!$I232</f>
        <v>228</v>
      </c>
      <c r="J232" s="19">
        <f>'$ Portfolio Loss'!$R232</f>
        <v>14.458743415777922</v>
      </c>
      <c r="L232">
        <v>228</v>
      </c>
      <c r="M232">
        <f>'$ Portfolio Loss'!$I253</f>
        <v>249</v>
      </c>
      <c r="N232" s="19">
        <f>'$ Portfolio Loss'!$R253</f>
        <v>-9.7339613290667533</v>
      </c>
    </row>
    <row r="233" spans="9:14" x14ac:dyDescent="0.3">
      <c r="I233">
        <f>'$ Portfolio Loss'!$I233</f>
        <v>229</v>
      </c>
      <c r="J233" s="19">
        <f>'$ Portfolio Loss'!$R233</f>
        <v>10.918395502117633</v>
      </c>
      <c r="L233">
        <v>229</v>
      </c>
      <c r="M233">
        <f>'$ Portfolio Loss'!$I196</f>
        <v>192</v>
      </c>
      <c r="N233" s="19">
        <f>'$ Portfolio Loss'!$R196</f>
        <v>-9.793509447572708</v>
      </c>
    </row>
    <row r="234" spans="9:14" x14ac:dyDescent="0.3">
      <c r="I234">
        <f>'$ Portfolio Loss'!$I234</f>
        <v>230</v>
      </c>
      <c r="J234" s="19">
        <f>'$ Portfolio Loss'!$R234</f>
        <v>5.7465726095172167</v>
      </c>
      <c r="L234">
        <v>230</v>
      </c>
      <c r="M234">
        <f>'$ Portfolio Loss'!$I295</f>
        <v>291</v>
      </c>
      <c r="N234" s="19">
        <f>'$ Portfolio Loss'!$R295</f>
        <v>-10.325260223882795</v>
      </c>
    </row>
    <row r="235" spans="9:14" x14ac:dyDescent="0.3">
      <c r="I235">
        <f>'$ Portfolio Loss'!$I235</f>
        <v>231</v>
      </c>
      <c r="J235" s="19">
        <f>'$ Portfolio Loss'!$R235</f>
        <v>-9.399527989549636</v>
      </c>
      <c r="L235">
        <v>231</v>
      </c>
      <c r="M235">
        <f>'$ Portfolio Loss'!$I110</f>
        <v>106</v>
      </c>
      <c r="N235" s="19">
        <f>'$ Portfolio Loss'!$R110</f>
        <v>-10.386311795782447</v>
      </c>
    </row>
    <row r="236" spans="9:14" x14ac:dyDescent="0.3">
      <c r="I236">
        <f>'$ Portfolio Loss'!$I236</f>
        <v>232</v>
      </c>
      <c r="J236" s="19">
        <f>'$ Portfolio Loss'!$R236</f>
        <v>2.6446405208693742</v>
      </c>
      <c r="L236">
        <v>232</v>
      </c>
      <c r="M236">
        <f>'$ Portfolio Loss'!$I259</f>
        <v>255</v>
      </c>
      <c r="N236" s="19">
        <f>'$ Portfolio Loss'!$R259</f>
        <v>-10.556086142616749</v>
      </c>
    </row>
    <row r="237" spans="9:14" x14ac:dyDescent="0.3">
      <c r="I237">
        <f>'$ Portfolio Loss'!$I237</f>
        <v>233</v>
      </c>
      <c r="J237" s="19">
        <f>'$ Portfolio Loss'!$R237</f>
        <v>2.3624773724523784</v>
      </c>
      <c r="L237">
        <v>233</v>
      </c>
      <c r="M237">
        <f>'$ Portfolio Loss'!$I93</f>
        <v>89</v>
      </c>
      <c r="N237" s="19">
        <f>'$ Portfolio Loss'!$R93</f>
        <v>-10.577580103795887</v>
      </c>
    </row>
    <row r="238" spans="9:14" x14ac:dyDescent="0.3">
      <c r="I238">
        <f>'$ Portfolio Loss'!$I238</f>
        <v>234</v>
      </c>
      <c r="J238" s="19">
        <f>'$ Portfolio Loss'!$R238</f>
        <v>-5.2182650671384332</v>
      </c>
      <c r="L238">
        <v>234</v>
      </c>
      <c r="M238">
        <f>'$ Portfolio Loss'!$I265</f>
        <v>261</v>
      </c>
      <c r="N238" s="19">
        <f>'$ Portfolio Loss'!$R265</f>
        <v>-10.695211804877163</v>
      </c>
    </row>
    <row r="239" spans="9:14" x14ac:dyDescent="0.3">
      <c r="I239">
        <f>'$ Portfolio Loss'!$I239</f>
        <v>235</v>
      </c>
      <c r="J239" s="19">
        <f>'$ Portfolio Loss'!$R239</f>
        <v>-11.206969023117065</v>
      </c>
      <c r="L239">
        <v>235</v>
      </c>
      <c r="M239">
        <f>'$ Portfolio Loss'!$I239</f>
        <v>235</v>
      </c>
      <c r="N239" s="19">
        <f>'$ Portfolio Loss'!$R239</f>
        <v>-11.206969023117065</v>
      </c>
    </row>
    <row r="240" spans="9:14" x14ac:dyDescent="0.3">
      <c r="I240">
        <f>'$ Portfolio Loss'!$I240</f>
        <v>236</v>
      </c>
      <c r="J240" s="19">
        <f>'$ Portfolio Loss'!$R240</f>
        <v>-4.1499699463913444</v>
      </c>
      <c r="L240">
        <v>236</v>
      </c>
      <c r="M240">
        <f>'$ Portfolio Loss'!$I173</f>
        <v>169</v>
      </c>
      <c r="N240" s="19">
        <f>'$ Portfolio Loss'!$R173</f>
        <v>-11.220516543077469</v>
      </c>
    </row>
    <row r="241" spans="9:14" x14ac:dyDescent="0.3">
      <c r="I241">
        <f>'$ Portfolio Loss'!$I241</f>
        <v>237</v>
      </c>
      <c r="J241" s="19">
        <f>'$ Portfolio Loss'!$R241</f>
        <v>2.5736759871299268</v>
      </c>
      <c r="L241">
        <v>237</v>
      </c>
      <c r="M241">
        <f>'$ Portfolio Loss'!$I154</f>
        <v>150</v>
      </c>
      <c r="N241" s="19">
        <f>'$ Portfolio Loss'!$R154</f>
        <v>-11.401832737764359</v>
      </c>
    </row>
    <row r="242" spans="9:14" x14ac:dyDescent="0.3">
      <c r="I242">
        <f>'$ Portfolio Loss'!$I242</f>
        <v>238</v>
      </c>
      <c r="J242" s="19">
        <f>'$ Portfolio Loss'!$R242</f>
        <v>1.1592532303391696</v>
      </c>
      <c r="L242">
        <v>238</v>
      </c>
      <c r="M242">
        <f>'$ Portfolio Loss'!$I32</f>
        <v>28</v>
      </c>
      <c r="N242" s="19">
        <f>'$ Portfolio Loss'!$R32</f>
        <v>-12.042211121222973</v>
      </c>
    </row>
    <row r="243" spans="9:14" x14ac:dyDescent="0.3">
      <c r="I243">
        <f>'$ Portfolio Loss'!$I243</f>
        <v>239</v>
      </c>
      <c r="J243" s="19">
        <f>'$ Portfolio Loss'!$R243</f>
        <v>19.866957988964081</v>
      </c>
      <c r="L243">
        <v>239</v>
      </c>
      <c r="M243">
        <f>'$ Portfolio Loss'!$I227</f>
        <v>223</v>
      </c>
      <c r="N243" s="19">
        <f>'$ Portfolio Loss'!$R227</f>
        <v>-12.091910896634579</v>
      </c>
    </row>
    <row r="244" spans="9:14" x14ac:dyDescent="0.3">
      <c r="I244">
        <f>'$ Portfolio Loss'!$I244</f>
        <v>240</v>
      </c>
      <c r="J244" s="19">
        <f>'$ Portfolio Loss'!$R244</f>
        <v>1.758921609448552</v>
      </c>
      <c r="L244">
        <v>240</v>
      </c>
      <c r="M244">
        <f>'$ Portfolio Loss'!$I157</f>
        <v>153</v>
      </c>
      <c r="N244" s="19">
        <f>'$ Portfolio Loss'!$R157</f>
        <v>-12.456948403416037</v>
      </c>
    </row>
    <row r="245" spans="9:14" x14ac:dyDescent="0.3">
      <c r="I245">
        <f>'$ Portfolio Loss'!$I245</f>
        <v>241</v>
      </c>
      <c r="J245" s="19">
        <f>'$ Portfolio Loss'!$R245</f>
        <v>1.1317116370124818</v>
      </c>
      <c r="L245">
        <v>241</v>
      </c>
      <c r="M245">
        <f>'$ Portfolio Loss'!$I122</f>
        <v>118</v>
      </c>
      <c r="N245" s="19">
        <f>'$ Portfolio Loss'!$R122</f>
        <v>-12.497816810507894</v>
      </c>
    </row>
    <row r="246" spans="9:14" x14ac:dyDescent="0.3">
      <c r="I246">
        <f>'$ Portfolio Loss'!$I246</f>
        <v>242</v>
      </c>
      <c r="J246" s="19">
        <f>'$ Portfolio Loss'!$R246</f>
        <v>8.4238354440810674</v>
      </c>
      <c r="L246">
        <v>242</v>
      </c>
      <c r="M246">
        <f>'$ Portfolio Loss'!$I40</f>
        <v>36</v>
      </c>
      <c r="N246" s="19">
        <f>'$ Portfolio Loss'!$R40</f>
        <v>-12.826514873774528</v>
      </c>
    </row>
    <row r="247" spans="9:14" x14ac:dyDescent="0.3">
      <c r="I247">
        <f>'$ Portfolio Loss'!$I247</f>
        <v>243</v>
      </c>
      <c r="J247" s="19">
        <f>'$ Portfolio Loss'!$R247</f>
        <v>9.6327890766043662</v>
      </c>
      <c r="L247">
        <v>243</v>
      </c>
      <c r="M247">
        <f>'$ Portfolio Loss'!$I62</f>
        <v>58</v>
      </c>
      <c r="N247" s="19">
        <f>'$ Portfolio Loss'!$R62</f>
        <v>-12.994325704149485</v>
      </c>
    </row>
    <row r="248" spans="9:14" x14ac:dyDescent="0.3">
      <c r="I248">
        <f>'$ Portfolio Loss'!$I248</f>
        <v>244</v>
      </c>
      <c r="J248" s="19">
        <f>'$ Portfolio Loss'!$R248</f>
        <v>2.8145624972712993</v>
      </c>
      <c r="L248">
        <v>244</v>
      </c>
      <c r="M248">
        <f>'$ Portfolio Loss'!$I99</f>
        <v>95</v>
      </c>
      <c r="N248" s="19">
        <f>'$ Portfolio Loss'!$R99</f>
        <v>-13.067010090300679</v>
      </c>
    </row>
    <row r="249" spans="9:14" x14ac:dyDescent="0.3">
      <c r="I249">
        <f>'$ Portfolio Loss'!$I249</f>
        <v>245</v>
      </c>
      <c r="J249" s="19">
        <f>'$ Portfolio Loss'!$R249</f>
        <v>10.167197428786158</v>
      </c>
      <c r="L249">
        <v>245</v>
      </c>
      <c r="M249">
        <f>'$ Portfolio Loss'!$I207</f>
        <v>203</v>
      </c>
      <c r="N249" s="19">
        <f>'$ Portfolio Loss'!$R207</f>
        <v>-13.26872427898693</v>
      </c>
    </row>
    <row r="250" spans="9:14" x14ac:dyDescent="0.3">
      <c r="I250">
        <f>'$ Portfolio Loss'!$I250</f>
        <v>246</v>
      </c>
      <c r="J250" s="19">
        <f>'$ Portfolio Loss'!$R250</f>
        <v>7.7441872217566967</v>
      </c>
      <c r="L250">
        <v>246</v>
      </c>
      <c r="M250">
        <f>'$ Portfolio Loss'!$I76</f>
        <v>72</v>
      </c>
      <c r="N250" s="19">
        <f>'$ Portfolio Loss'!$R76</f>
        <v>-13.517766179144145</v>
      </c>
    </row>
    <row r="251" spans="9:14" x14ac:dyDescent="0.3">
      <c r="I251">
        <f>'$ Portfolio Loss'!$I251</f>
        <v>247</v>
      </c>
      <c r="J251" s="19">
        <f>'$ Portfolio Loss'!$R251</f>
        <v>-14.183351775316716</v>
      </c>
      <c r="L251">
        <v>247</v>
      </c>
      <c r="M251">
        <f>'$ Portfolio Loss'!$I148</f>
        <v>144</v>
      </c>
      <c r="N251" s="19">
        <f>'$ Portfolio Loss'!$R148</f>
        <v>-13.550510841892242</v>
      </c>
    </row>
    <row r="252" spans="9:14" x14ac:dyDescent="0.3">
      <c r="I252">
        <f>'$ Portfolio Loss'!$I252</f>
        <v>248</v>
      </c>
      <c r="J252" s="19">
        <f>'$ Portfolio Loss'!$R252</f>
        <v>-6.9486350728887318</v>
      </c>
      <c r="L252">
        <v>248</v>
      </c>
      <c r="M252">
        <f>'$ Portfolio Loss'!$I11</f>
        <v>7</v>
      </c>
      <c r="N252" s="19">
        <f>'$ Portfolio Loss'!$R11</f>
        <v>-13.654390523549438</v>
      </c>
    </row>
    <row r="253" spans="9:14" x14ac:dyDescent="0.3">
      <c r="I253">
        <f>'$ Portfolio Loss'!$I253</f>
        <v>249</v>
      </c>
      <c r="J253" s="19">
        <f>'$ Portfolio Loss'!$R253</f>
        <v>-9.7339613290667533</v>
      </c>
      <c r="L253">
        <v>249</v>
      </c>
      <c r="M253">
        <f>'$ Portfolio Loss'!$I146</f>
        <v>142</v>
      </c>
      <c r="N253" s="19">
        <f>'$ Portfolio Loss'!$R146</f>
        <v>-13.744136780299664</v>
      </c>
    </row>
    <row r="254" spans="9:14" x14ac:dyDescent="0.3">
      <c r="I254">
        <f>'$ Portfolio Loss'!$I254</f>
        <v>250</v>
      </c>
      <c r="J254" s="19">
        <f>'$ Portfolio Loss'!$R254</f>
        <v>-6.6656761009252072</v>
      </c>
      <c r="L254">
        <v>250</v>
      </c>
      <c r="M254">
        <f>'$ Portfolio Loss'!$I251</f>
        <v>247</v>
      </c>
      <c r="N254" s="19">
        <f>'$ Portfolio Loss'!$R251</f>
        <v>-14.183351775316716</v>
      </c>
    </row>
    <row r="255" spans="9:14" x14ac:dyDescent="0.3">
      <c r="I255">
        <f>'$ Portfolio Loss'!$I255</f>
        <v>251</v>
      </c>
      <c r="J255" s="19">
        <f>'$ Portfolio Loss'!$R255</f>
        <v>-20.340257992534639</v>
      </c>
      <c r="L255">
        <v>251</v>
      </c>
      <c r="M255">
        <f>'$ Portfolio Loss'!$I175</f>
        <v>171</v>
      </c>
      <c r="N255" s="19">
        <f>'$ Portfolio Loss'!$R175</f>
        <v>-14.924280989764451</v>
      </c>
    </row>
    <row r="256" spans="9:14" x14ac:dyDescent="0.3">
      <c r="I256">
        <f>'$ Portfolio Loss'!$I256</f>
        <v>252</v>
      </c>
      <c r="J256" s="19">
        <f>'$ Portfolio Loss'!$R256</f>
        <v>7.2358253656623361</v>
      </c>
      <c r="L256">
        <v>252</v>
      </c>
      <c r="M256">
        <f>'$ Portfolio Loss'!$I308</f>
        <v>304</v>
      </c>
      <c r="N256" s="19">
        <f>'$ Portfolio Loss'!$R308</f>
        <v>-15.036403195800542</v>
      </c>
    </row>
    <row r="257" spans="9:14" x14ac:dyDescent="0.3">
      <c r="I257">
        <f>'$ Portfolio Loss'!$I257</f>
        <v>253</v>
      </c>
      <c r="J257" s="19">
        <f>'$ Portfolio Loss'!$R257</f>
        <v>9.4702418726385833</v>
      </c>
      <c r="L257">
        <v>253</v>
      </c>
      <c r="M257">
        <f>'$ Portfolio Loss'!$I49</f>
        <v>45</v>
      </c>
      <c r="N257" s="19">
        <f>'$ Portfolio Loss'!$R49</f>
        <v>-15.06799722976637</v>
      </c>
    </row>
    <row r="258" spans="9:14" x14ac:dyDescent="0.3">
      <c r="I258">
        <f>'$ Portfolio Loss'!$I258</f>
        <v>254</v>
      </c>
      <c r="J258" s="19">
        <f>'$ Portfolio Loss'!$R258</f>
        <v>-15.477247919872761</v>
      </c>
      <c r="L258">
        <v>254</v>
      </c>
      <c r="M258">
        <f>'$ Portfolio Loss'!$I178</f>
        <v>174</v>
      </c>
      <c r="N258" s="19">
        <f>'$ Portfolio Loss'!$R178</f>
        <v>-15.167961129248738</v>
      </c>
    </row>
    <row r="259" spans="9:14" x14ac:dyDescent="0.3">
      <c r="I259">
        <f>'$ Portfolio Loss'!$I259</f>
        <v>255</v>
      </c>
      <c r="J259" s="19">
        <f>'$ Portfolio Loss'!$R259</f>
        <v>-10.556086142616749</v>
      </c>
      <c r="L259">
        <v>255</v>
      </c>
      <c r="M259">
        <f>'$ Portfolio Loss'!$I134</f>
        <v>130</v>
      </c>
      <c r="N259" s="19">
        <f>'$ Portfolio Loss'!$R134</f>
        <v>-15.345720369394542</v>
      </c>
    </row>
    <row r="260" spans="9:14" x14ac:dyDescent="0.3">
      <c r="I260">
        <f>'$ Portfolio Loss'!$I260</f>
        <v>256</v>
      </c>
      <c r="J260" s="19">
        <f>'$ Portfolio Loss'!$R260</f>
        <v>-3.1948140663642883</v>
      </c>
      <c r="L260">
        <v>256</v>
      </c>
      <c r="M260">
        <f>'$ Portfolio Loss'!$I258</f>
        <v>254</v>
      </c>
      <c r="N260" s="19">
        <f>'$ Portfolio Loss'!$R258</f>
        <v>-15.477247919872761</v>
      </c>
    </row>
    <row r="261" spans="9:14" x14ac:dyDescent="0.3">
      <c r="I261">
        <f>'$ Portfolio Loss'!$I261</f>
        <v>257</v>
      </c>
      <c r="J261" s="19">
        <f>'$ Portfolio Loss'!$R261</f>
        <v>2.2080332035858632</v>
      </c>
      <c r="L261">
        <v>257</v>
      </c>
      <c r="M261">
        <f>'$ Portfolio Loss'!$I163</f>
        <v>159</v>
      </c>
      <c r="N261" s="19">
        <f>'$ Portfolio Loss'!$R163</f>
        <v>-15.692182309390187</v>
      </c>
    </row>
    <row r="262" spans="9:14" x14ac:dyDescent="0.3">
      <c r="I262">
        <f>'$ Portfolio Loss'!$I262</f>
        <v>258</v>
      </c>
      <c r="J262" s="19">
        <f>'$ Portfolio Loss'!$R262</f>
        <v>-32.26211814796865</v>
      </c>
      <c r="L262">
        <v>258</v>
      </c>
      <c r="M262">
        <f>'$ Portfolio Loss'!$I312</f>
        <v>308</v>
      </c>
      <c r="N262" s="19">
        <f>'$ Portfolio Loss'!$R312</f>
        <v>-15.859744708509803</v>
      </c>
    </row>
    <row r="263" spans="9:14" x14ac:dyDescent="0.3">
      <c r="I263">
        <f>'$ Portfolio Loss'!$I263</f>
        <v>259</v>
      </c>
      <c r="J263" s="19">
        <f>'$ Portfolio Loss'!$R263</f>
        <v>9.5313302291131023</v>
      </c>
      <c r="L263">
        <v>259</v>
      </c>
      <c r="M263">
        <f>'$ Portfolio Loss'!$I92</f>
        <v>88</v>
      </c>
      <c r="N263" s="19">
        <f>'$ Portfolio Loss'!$R92</f>
        <v>-16.309522718004228</v>
      </c>
    </row>
    <row r="264" spans="9:14" x14ac:dyDescent="0.3">
      <c r="I264">
        <f>'$ Portfolio Loss'!$I264</f>
        <v>260</v>
      </c>
      <c r="J264" s="19">
        <f>'$ Portfolio Loss'!$R264</f>
        <v>-16.553538996410609</v>
      </c>
      <c r="L264">
        <v>260</v>
      </c>
      <c r="M264">
        <f>'$ Portfolio Loss'!$I306</f>
        <v>302</v>
      </c>
      <c r="N264" s="19">
        <f>'$ Portfolio Loss'!$R306</f>
        <v>-16.535275021268486</v>
      </c>
    </row>
    <row r="265" spans="9:14" x14ac:dyDescent="0.3">
      <c r="I265">
        <f>'$ Portfolio Loss'!$I265</f>
        <v>261</v>
      </c>
      <c r="J265" s="19">
        <f>'$ Portfolio Loss'!$R265</f>
        <v>-10.695211804877163</v>
      </c>
      <c r="L265">
        <v>261</v>
      </c>
      <c r="M265">
        <f>'$ Portfolio Loss'!$I264</f>
        <v>260</v>
      </c>
      <c r="N265" s="19">
        <f>'$ Portfolio Loss'!$R264</f>
        <v>-16.553538996410609</v>
      </c>
    </row>
    <row r="266" spans="9:14" x14ac:dyDescent="0.3">
      <c r="I266">
        <f>'$ Portfolio Loss'!$I266</f>
        <v>262</v>
      </c>
      <c r="J266" s="19">
        <f>'$ Portfolio Loss'!$R266</f>
        <v>-18.63321672656226</v>
      </c>
      <c r="L266">
        <v>262</v>
      </c>
      <c r="M266">
        <f>'$ Portfolio Loss'!$I88</f>
        <v>84</v>
      </c>
      <c r="N266" s="19">
        <f>'$ Portfolio Loss'!$R88</f>
        <v>-16.861863612771629</v>
      </c>
    </row>
    <row r="267" spans="9:14" x14ac:dyDescent="0.3">
      <c r="I267">
        <f>'$ Portfolio Loss'!$I267</f>
        <v>263</v>
      </c>
      <c r="J267" s="19">
        <f>'$ Portfolio Loss'!$R267</f>
        <v>15.177585904068827</v>
      </c>
      <c r="L267">
        <v>263</v>
      </c>
      <c r="M267">
        <f>'$ Portfolio Loss'!$I57</f>
        <v>53</v>
      </c>
      <c r="N267" s="19">
        <f>'$ Portfolio Loss'!$R57</f>
        <v>-17.278643169272662</v>
      </c>
    </row>
    <row r="268" spans="9:14" x14ac:dyDescent="0.3">
      <c r="I268">
        <f>'$ Portfolio Loss'!$I268</f>
        <v>264</v>
      </c>
      <c r="J268" s="19">
        <f>'$ Portfolio Loss'!$R268</f>
        <v>-26.116306621233463</v>
      </c>
      <c r="L268">
        <v>264</v>
      </c>
      <c r="M268">
        <f>'$ Portfolio Loss'!$I271</f>
        <v>267</v>
      </c>
      <c r="N268" s="19">
        <f>'$ Portfolio Loss'!$R271</f>
        <v>-17.318746572437764</v>
      </c>
    </row>
    <row r="269" spans="9:14" x14ac:dyDescent="0.3">
      <c r="I269">
        <f>'$ Portfolio Loss'!$I269</f>
        <v>265</v>
      </c>
      <c r="J269" s="19">
        <f>'$ Portfolio Loss'!$R269</f>
        <v>5.9116436561235188</v>
      </c>
      <c r="L269">
        <v>265</v>
      </c>
      <c r="M269">
        <f>'$ Portfolio Loss'!$I314</f>
        <v>310</v>
      </c>
      <c r="N269" s="19">
        <f>'$ Portfolio Loss'!$R314</f>
        <v>-18.181294135917426</v>
      </c>
    </row>
    <row r="270" spans="9:14" x14ac:dyDescent="0.3">
      <c r="I270">
        <f>'$ Portfolio Loss'!$I270</f>
        <v>266</v>
      </c>
      <c r="J270" s="19">
        <f>'$ Portfolio Loss'!$R270</f>
        <v>-41.578340638215778</v>
      </c>
      <c r="L270">
        <v>266</v>
      </c>
      <c r="M270">
        <f>'$ Portfolio Loss'!$I84</f>
        <v>80</v>
      </c>
      <c r="N270" s="19">
        <f>'$ Portfolio Loss'!$R84</f>
        <v>-18.318249789217354</v>
      </c>
    </row>
    <row r="271" spans="9:14" x14ac:dyDescent="0.3">
      <c r="I271">
        <f>'$ Portfolio Loss'!$I271</f>
        <v>267</v>
      </c>
      <c r="J271" s="19">
        <f>'$ Portfolio Loss'!$R271</f>
        <v>-17.318746572437764</v>
      </c>
      <c r="L271">
        <v>267</v>
      </c>
      <c r="M271">
        <f>'$ Portfolio Loss'!$I266</f>
        <v>262</v>
      </c>
      <c r="N271" s="19">
        <f>'$ Portfolio Loss'!$R266</f>
        <v>-18.63321672656226</v>
      </c>
    </row>
    <row r="272" spans="9:14" x14ac:dyDescent="0.3">
      <c r="I272">
        <f>'$ Portfolio Loss'!$I272</f>
        <v>268</v>
      </c>
      <c r="J272" s="19">
        <f>'$ Portfolio Loss'!$R272</f>
        <v>1.2252087648832799</v>
      </c>
      <c r="L272">
        <v>268</v>
      </c>
      <c r="M272">
        <f>'$ Portfolio Loss'!$I68</f>
        <v>64</v>
      </c>
      <c r="N272" s="19">
        <f>'$ Portfolio Loss'!$R68</f>
        <v>-18.67678621706915</v>
      </c>
    </row>
    <row r="273" spans="9:14" x14ac:dyDescent="0.3">
      <c r="I273">
        <f>'$ Portfolio Loss'!$I273</f>
        <v>269</v>
      </c>
      <c r="J273" s="19">
        <f>'$ Portfolio Loss'!$R273</f>
        <v>17.241482419643521</v>
      </c>
      <c r="L273">
        <v>269</v>
      </c>
      <c r="M273">
        <f>'$ Portfolio Loss'!$I153</f>
        <v>149</v>
      </c>
      <c r="N273" s="19">
        <f>'$ Portfolio Loss'!$R153</f>
        <v>-18.70910103091073</v>
      </c>
    </row>
    <row r="274" spans="9:14" x14ac:dyDescent="0.3">
      <c r="I274">
        <f>'$ Portfolio Loss'!$I274</f>
        <v>270</v>
      </c>
      <c r="J274" s="19">
        <f>'$ Portfolio Loss'!$R274</f>
        <v>-41.646199387303355</v>
      </c>
      <c r="L274">
        <v>270</v>
      </c>
      <c r="M274">
        <f>'$ Portfolio Loss'!$I307</f>
        <v>303</v>
      </c>
      <c r="N274" s="19">
        <f>'$ Portfolio Loss'!$R307</f>
        <v>-19.360071406262755</v>
      </c>
    </row>
    <row r="275" spans="9:14" x14ac:dyDescent="0.3">
      <c r="I275">
        <f>'$ Portfolio Loss'!$I275</f>
        <v>271</v>
      </c>
      <c r="J275" s="19">
        <f>'$ Portfolio Loss'!$R275</f>
        <v>6.4209798290779592</v>
      </c>
      <c r="L275">
        <v>271</v>
      </c>
      <c r="M275">
        <f>'$ Portfolio Loss'!$I221</f>
        <v>217</v>
      </c>
      <c r="N275" s="19">
        <f>'$ Portfolio Loss'!$R221</f>
        <v>-20.04735802747178</v>
      </c>
    </row>
    <row r="276" spans="9:14" x14ac:dyDescent="0.3">
      <c r="I276">
        <f>'$ Portfolio Loss'!$I276</f>
        <v>272</v>
      </c>
      <c r="J276" s="19">
        <f>'$ Portfolio Loss'!$R276</f>
        <v>14.973511287038326</v>
      </c>
      <c r="L276">
        <v>272</v>
      </c>
      <c r="M276">
        <f>'$ Portfolio Loss'!$I309</f>
        <v>305</v>
      </c>
      <c r="N276" s="19">
        <f>'$ Portfolio Loss'!$R309</f>
        <v>-20.078823567359567</v>
      </c>
    </row>
    <row r="277" spans="9:14" x14ac:dyDescent="0.3">
      <c r="I277">
        <f>'$ Portfolio Loss'!$I277</f>
        <v>273</v>
      </c>
      <c r="J277" s="19">
        <f>'$ Portfolio Loss'!$R277</f>
        <v>-33.621052242786647</v>
      </c>
      <c r="L277">
        <v>273</v>
      </c>
      <c r="M277">
        <f>'$ Portfolio Loss'!$I46</f>
        <v>42</v>
      </c>
      <c r="N277" s="19">
        <f>'$ Portfolio Loss'!$R46</f>
        <v>-20.147060210735916</v>
      </c>
    </row>
    <row r="278" spans="9:14" x14ac:dyDescent="0.3">
      <c r="I278">
        <f>'$ Portfolio Loss'!$I278</f>
        <v>274</v>
      </c>
      <c r="J278" s="19">
        <f>'$ Portfolio Loss'!$R278</f>
        <v>6.5116523689923289</v>
      </c>
      <c r="L278">
        <v>274</v>
      </c>
      <c r="M278">
        <f>'$ Portfolio Loss'!$I37</f>
        <v>33</v>
      </c>
      <c r="N278" s="19">
        <f>'$ Portfolio Loss'!$R37</f>
        <v>-20.290737397518395</v>
      </c>
    </row>
    <row r="279" spans="9:14" x14ac:dyDescent="0.3">
      <c r="I279">
        <f>'$ Portfolio Loss'!$I279</f>
        <v>275</v>
      </c>
      <c r="J279" s="19">
        <f>'$ Portfolio Loss'!$R279</f>
        <v>35.972034145971534</v>
      </c>
      <c r="L279">
        <v>275</v>
      </c>
      <c r="M279">
        <f>'$ Portfolio Loss'!$I36</f>
        <v>32</v>
      </c>
      <c r="N279" s="19">
        <f>'$ Portfolio Loss'!$R36</f>
        <v>-20.329542828097104</v>
      </c>
    </row>
    <row r="280" spans="9:14" x14ac:dyDescent="0.3">
      <c r="I280">
        <f>'$ Portfolio Loss'!$I280</f>
        <v>276</v>
      </c>
      <c r="J280" s="19">
        <f>'$ Portfolio Loss'!$R280</f>
        <v>-0.29191776927411556</v>
      </c>
      <c r="L280">
        <v>276</v>
      </c>
      <c r="M280">
        <f>'$ Portfolio Loss'!$I255</f>
        <v>251</v>
      </c>
      <c r="N280" s="19">
        <f>'$ Portfolio Loss'!$R255</f>
        <v>-20.340257992534639</v>
      </c>
    </row>
    <row r="281" spans="9:14" x14ac:dyDescent="0.3">
      <c r="I281">
        <f>'$ Portfolio Loss'!$I281</f>
        <v>277</v>
      </c>
      <c r="J281" s="19">
        <f>'$ Portfolio Loss'!$R281</f>
        <v>2.6493602277579309</v>
      </c>
      <c r="L281">
        <v>277</v>
      </c>
      <c r="M281">
        <f>'$ Portfolio Loss'!$I127</f>
        <v>123</v>
      </c>
      <c r="N281" s="19">
        <f>'$ Portfolio Loss'!$R127</f>
        <v>-20.398685759801388</v>
      </c>
    </row>
    <row r="282" spans="9:14" x14ac:dyDescent="0.3">
      <c r="I282">
        <f>'$ Portfolio Loss'!$I282</f>
        <v>278</v>
      </c>
      <c r="J282" s="19">
        <f>'$ Portfolio Loss'!$R282</f>
        <v>-28.670805016884923</v>
      </c>
      <c r="L282">
        <v>278</v>
      </c>
      <c r="M282">
        <f>'$ Portfolio Loss'!$I103</f>
        <v>99</v>
      </c>
      <c r="N282" s="19">
        <f>'$ Portfolio Loss'!$R103</f>
        <v>-20.578442002954244</v>
      </c>
    </row>
    <row r="283" spans="9:14" x14ac:dyDescent="0.3">
      <c r="I283">
        <f>'$ Portfolio Loss'!$I283</f>
        <v>279</v>
      </c>
      <c r="J283" s="19">
        <f>'$ Portfolio Loss'!$R283</f>
        <v>-35.120088389568089</v>
      </c>
      <c r="L283">
        <v>279</v>
      </c>
      <c r="M283">
        <f>'$ Portfolio Loss'!$I77</f>
        <v>73</v>
      </c>
      <c r="N283" s="19">
        <f>'$ Portfolio Loss'!$R77</f>
        <v>-20.725827652657628</v>
      </c>
    </row>
    <row r="284" spans="9:14" x14ac:dyDescent="0.3">
      <c r="I284">
        <f>'$ Portfolio Loss'!$I284</f>
        <v>280</v>
      </c>
      <c r="J284" s="19">
        <f>'$ Portfolio Loss'!$R284</f>
        <v>2.4066521943788528</v>
      </c>
      <c r="L284">
        <v>280</v>
      </c>
      <c r="M284">
        <f>'$ Portfolio Loss'!$I141</f>
        <v>137</v>
      </c>
      <c r="N284" s="19">
        <f>'$ Portfolio Loss'!$R141</f>
        <v>-20.990408181898953</v>
      </c>
    </row>
    <row r="285" spans="9:14" x14ac:dyDescent="0.3">
      <c r="I285">
        <f>'$ Portfolio Loss'!$I285</f>
        <v>281</v>
      </c>
      <c r="J285" s="19">
        <f>'$ Portfolio Loss'!$R285</f>
        <v>19.388726850362779</v>
      </c>
      <c r="L285">
        <v>281</v>
      </c>
      <c r="M285">
        <f>'$ Portfolio Loss'!$I205</f>
        <v>201</v>
      </c>
      <c r="N285" s="19">
        <f>'$ Portfolio Loss'!$R205</f>
        <v>-21.655498734011054</v>
      </c>
    </row>
    <row r="286" spans="9:14" x14ac:dyDescent="0.3">
      <c r="I286">
        <f>'$ Portfolio Loss'!$I286</f>
        <v>282</v>
      </c>
      <c r="J286" s="19">
        <f>'$ Portfolio Loss'!$R286</f>
        <v>-4.180714139164329</v>
      </c>
      <c r="L286">
        <v>282</v>
      </c>
      <c r="M286">
        <f>'$ Portfolio Loss'!$I20</f>
        <v>16</v>
      </c>
      <c r="N286" s="19">
        <f>'$ Portfolio Loss'!$R20</f>
        <v>-21.658187912484646</v>
      </c>
    </row>
    <row r="287" spans="9:14" x14ac:dyDescent="0.3">
      <c r="I287">
        <f>'$ Portfolio Loss'!$I287</f>
        <v>283</v>
      </c>
      <c r="J287" s="19">
        <f>'$ Portfolio Loss'!$R287</f>
        <v>8.8809855514571669</v>
      </c>
      <c r="L287">
        <v>283</v>
      </c>
      <c r="M287">
        <f>'$ Portfolio Loss'!$I188</f>
        <v>184</v>
      </c>
      <c r="N287" s="19">
        <f>'$ Portfolio Loss'!$R188</f>
        <v>-21.923092830547333</v>
      </c>
    </row>
    <row r="288" spans="9:14" x14ac:dyDescent="0.3">
      <c r="I288">
        <f>'$ Portfolio Loss'!$I288</f>
        <v>284</v>
      </c>
      <c r="J288" s="19">
        <f>'$ Portfolio Loss'!$R288</f>
        <v>6.9207914344182013</v>
      </c>
      <c r="L288">
        <v>284</v>
      </c>
      <c r="M288">
        <f>'$ Portfolio Loss'!$I174</f>
        <v>170</v>
      </c>
      <c r="N288" s="19">
        <f>'$ Portfolio Loss'!$R174</f>
        <v>-22.087099338392974</v>
      </c>
    </row>
    <row r="289" spans="9:14" x14ac:dyDescent="0.3">
      <c r="I289">
        <f>'$ Portfolio Loss'!$I289</f>
        <v>285</v>
      </c>
      <c r="J289" s="19">
        <f>'$ Portfolio Loss'!$R289</f>
        <v>-22.37616615742278</v>
      </c>
      <c r="L289">
        <v>285</v>
      </c>
      <c r="M289">
        <f>'$ Portfolio Loss'!$I128</f>
        <v>124</v>
      </c>
      <c r="N289" s="19">
        <f>'$ Portfolio Loss'!$R128</f>
        <v>-22.168406727602004</v>
      </c>
    </row>
    <row r="290" spans="9:14" x14ac:dyDescent="0.3">
      <c r="I290">
        <f>'$ Portfolio Loss'!$I290</f>
        <v>286</v>
      </c>
      <c r="J290" s="19">
        <f>'$ Portfolio Loss'!$R290</f>
        <v>-5.9080052648997308</v>
      </c>
      <c r="L290">
        <v>286</v>
      </c>
      <c r="M290">
        <f>'$ Portfolio Loss'!$I289</f>
        <v>285</v>
      </c>
      <c r="N290" s="19">
        <f>'$ Portfolio Loss'!$R289</f>
        <v>-22.37616615742278</v>
      </c>
    </row>
    <row r="291" spans="9:14" x14ac:dyDescent="0.3">
      <c r="I291">
        <f>'$ Portfolio Loss'!$I291</f>
        <v>287</v>
      </c>
      <c r="J291" s="19">
        <f>'$ Portfolio Loss'!$R291</f>
        <v>-28.887895118818761</v>
      </c>
      <c r="L291">
        <v>287</v>
      </c>
      <c r="M291">
        <f>'$ Portfolio Loss'!$I184</f>
        <v>180</v>
      </c>
      <c r="N291" s="19">
        <f>'$ Portfolio Loss'!$R184</f>
        <v>-22.691095375971795</v>
      </c>
    </row>
    <row r="292" spans="9:14" x14ac:dyDescent="0.3">
      <c r="I292">
        <f>'$ Portfolio Loss'!$I292</f>
        <v>288</v>
      </c>
      <c r="J292" s="19">
        <f>'$ Portfolio Loss'!$R292</f>
        <v>3.1015397080161571</v>
      </c>
      <c r="L292">
        <v>288</v>
      </c>
      <c r="M292">
        <f>'$ Portfolio Loss'!$I89</f>
        <v>85</v>
      </c>
      <c r="N292" s="19">
        <f>'$ Portfolio Loss'!$R89</f>
        <v>-22.804240996327163</v>
      </c>
    </row>
    <row r="293" spans="9:14" x14ac:dyDescent="0.3">
      <c r="I293">
        <f>'$ Portfolio Loss'!$I293</f>
        <v>289</v>
      </c>
      <c r="J293" s="19">
        <f>'$ Portfolio Loss'!$R293</f>
        <v>24.474231197404862</v>
      </c>
      <c r="L293">
        <v>289</v>
      </c>
      <c r="M293">
        <f>'$ Portfolio Loss'!$I63</f>
        <v>59</v>
      </c>
      <c r="N293" s="19">
        <f>'$ Portfolio Loss'!$R63</f>
        <v>-23.616506478227496</v>
      </c>
    </row>
    <row r="294" spans="9:14" x14ac:dyDescent="0.3">
      <c r="I294">
        <f>'$ Portfolio Loss'!$I294</f>
        <v>290</v>
      </c>
      <c r="J294" s="19">
        <f>'$ Portfolio Loss'!$R294</f>
        <v>23.039656321314812</v>
      </c>
      <c r="L294">
        <v>290</v>
      </c>
      <c r="M294">
        <f>'$ Portfolio Loss'!$I305</f>
        <v>301</v>
      </c>
      <c r="N294" s="19">
        <f>'$ Portfolio Loss'!$R305</f>
        <v>-23.842804780524133</v>
      </c>
    </row>
    <row r="295" spans="9:14" x14ac:dyDescent="0.3">
      <c r="I295">
        <f>'$ Portfolio Loss'!$I295</f>
        <v>291</v>
      </c>
      <c r="J295" s="19">
        <f>'$ Portfolio Loss'!$R295</f>
        <v>-10.325260223882795</v>
      </c>
      <c r="L295">
        <v>291</v>
      </c>
      <c r="M295">
        <f>'$ Portfolio Loss'!$I114</f>
        <v>110</v>
      </c>
      <c r="N295" s="19">
        <f>'$ Portfolio Loss'!$R114</f>
        <v>-25.026891818968295</v>
      </c>
    </row>
    <row r="296" spans="9:14" x14ac:dyDescent="0.3">
      <c r="I296">
        <f>'$ Portfolio Loss'!$I296</f>
        <v>292</v>
      </c>
      <c r="J296" s="19">
        <f>'$ Portfolio Loss'!$R296</f>
        <v>25.856078930974007</v>
      </c>
      <c r="L296">
        <v>292</v>
      </c>
      <c r="M296">
        <f>'$ Portfolio Loss'!$I78</f>
        <v>74</v>
      </c>
      <c r="N296" s="19">
        <f>'$ Portfolio Loss'!$R78</f>
        <v>-25.412725352409364</v>
      </c>
    </row>
    <row r="297" spans="9:14" x14ac:dyDescent="0.3">
      <c r="I297">
        <f>'$ Portfolio Loss'!$I297</f>
        <v>293</v>
      </c>
      <c r="J297" s="19">
        <f>'$ Portfolio Loss'!$R297</f>
        <v>-4.6283560300526618</v>
      </c>
      <c r="L297">
        <v>293</v>
      </c>
      <c r="M297">
        <f>'$ Portfolio Loss'!$I268</f>
        <v>264</v>
      </c>
      <c r="N297" s="19">
        <f>'$ Portfolio Loss'!$R268</f>
        <v>-26.116306621233463</v>
      </c>
    </row>
    <row r="298" spans="9:14" x14ac:dyDescent="0.3">
      <c r="I298">
        <f>'$ Portfolio Loss'!$I298</f>
        <v>294</v>
      </c>
      <c r="J298" s="19">
        <f>'$ Portfolio Loss'!$R298</f>
        <v>-3.7775040393128396</v>
      </c>
      <c r="L298">
        <v>294</v>
      </c>
      <c r="M298">
        <f>'$ Portfolio Loss'!$I80</f>
        <v>76</v>
      </c>
      <c r="N298" s="19">
        <f>'$ Portfolio Loss'!$R80</f>
        <v>-26.464903616825939</v>
      </c>
    </row>
    <row r="299" spans="9:14" x14ac:dyDescent="0.3">
      <c r="I299">
        <f>'$ Portfolio Loss'!$I299</f>
        <v>295</v>
      </c>
      <c r="J299" s="19">
        <f>'$ Portfolio Loss'!$R299</f>
        <v>8.6976424350928063</v>
      </c>
      <c r="L299">
        <v>295</v>
      </c>
      <c r="M299">
        <f>'$ Portfolio Loss'!$I83</f>
        <v>79</v>
      </c>
      <c r="N299" s="19">
        <f>'$ Portfolio Loss'!$R83</f>
        <v>-26.546646925997972</v>
      </c>
    </row>
    <row r="300" spans="9:14" x14ac:dyDescent="0.3">
      <c r="I300">
        <f>'$ Portfolio Loss'!$I300</f>
        <v>296</v>
      </c>
      <c r="J300" s="19">
        <f>'$ Portfolio Loss'!$R300</f>
        <v>13.900553897720814</v>
      </c>
      <c r="L300">
        <v>296</v>
      </c>
      <c r="M300">
        <f>'$ Portfolio Loss'!$I185</f>
        <v>181</v>
      </c>
      <c r="N300" s="19">
        <f>'$ Portfolio Loss'!$R185</f>
        <v>-26.935164492684962</v>
      </c>
    </row>
    <row r="301" spans="9:14" x14ac:dyDescent="0.3">
      <c r="I301">
        <f>'$ Portfolio Loss'!$I301</f>
        <v>297</v>
      </c>
      <c r="J301" s="19">
        <f>'$ Portfolio Loss'!$R301</f>
        <v>-3.4092786193678379</v>
      </c>
      <c r="L301">
        <v>297</v>
      </c>
      <c r="M301">
        <f>'$ Portfolio Loss'!$I18</f>
        <v>14</v>
      </c>
      <c r="N301" s="19">
        <f>'$ Portfolio Loss'!$R18</f>
        <v>-28.079815511728526</v>
      </c>
    </row>
    <row r="302" spans="9:14" x14ac:dyDescent="0.3">
      <c r="I302">
        <f>'$ Portfolio Loss'!$I302</f>
        <v>298</v>
      </c>
      <c r="J302" s="19">
        <f>'$ Portfolio Loss'!$R302</f>
        <v>-1.9173437212216855</v>
      </c>
      <c r="L302">
        <v>298</v>
      </c>
      <c r="M302">
        <f>'$ Portfolio Loss'!$I282</f>
        <v>278</v>
      </c>
      <c r="N302" s="19">
        <f>'$ Portfolio Loss'!$R282</f>
        <v>-28.670805016884923</v>
      </c>
    </row>
    <row r="303" spans="9:14" x14ac:dyDescent="0.3">
      <c r="I303">
        <f>'$ Portfolio Loss'!$I303</f>
        <v>299</v>
      </c>
      <c r="J303" s="19">
        <f>'$ Portfolio Loss'!$R303</f>
        <v>11.598615172617793</v>
      </c>
      <c r="L303">
        <v>299</v>
      </c>
      <c r="M303">
        <f>'$ Portfolio Loss'!$I291</f>
        <v>287</v>
      </c>
      <c r="N303" s="19">
        <f>'$ Portfolio Loss'!$R291</f>
        <v>-28.887895118818761</v>
      </c>
    </row>
    <row r="304" spans="9:14" x14ac:dyDescent="0.3">
      <c r="I304">
        <f>'$ Portfolio Loss'!$I304</f>
        <v>300</v>
      </c>
      <c r="J304" s="19">
        <f>'$ Portfolio Loss'!$R304</f>
        <v>136.49908282215583</v>
      </c>
      <c r="L304">
        <v>300</v>
      </c>
      <c r="M304">
        <f>'$ Portfolio Loss'!$I34</f>
        <v>30</v>
      </c>
      <c r="N304" s="19">
        <f>'$ Portfolio Loss'!$R34</f>
        <v>-29.408320606259583</v>
      </c>
    </row>
    <row r="305" spans="9:14" x14ac:dyDescent="0.3">
      <c r="I305">
        <f>'$ Portfolio Loss'!$I305</f>
        <v>301</v>
      </c>
      <c r="J305" s="19">
        <f>'$ Portfolio Loss'!$R305</f>
        <v>-23.842804780524133</v>
      </c>
      <c r="L305">
        <v>301</v>
      </c>
      <c r="M305">
        <f>'$ Portfolio Loss'!$I193</f>
        <v>189</v>
      </c>
      <c r="N305" s="19">
        <f>'$ Portfolio Loss'!$R193</f>
        <v>-29.66765362273717</v>
      </c>
    </row>
    <row r="306" spans="9:14" x14ac:dyDescent="0.3">
      <c r="I306">
        <f>'$ Portfolio Loss'!$I306</f>
        <v>302</v>
      </c>
      <c r="J306" s="19">
        <f>'$ Portfolio Loss'!$R306</f>
        <v>-16.535275021268486</v>
      </c>
      <c r="L306">
        <v>302</v>
      </c>
      <c r="M306">
        <f>'$ Portfolio Loss'!$I228</f>
        <v>224</v>
      </c>
      <c r="N306" s="19">
        <f>'$ Portfolio Loss'!$R228</f>
        <v>-30.528328677935004</v>
      </c>
    </row>
    <row r="307" spans="9:14" x14ac:dyDescent="0.3">
      <c r="I307">
        <f>'$ Portfolio Loss'!$I307</f>
        <v>303</v>
      </c>
      <c r="J307" s="19">
        <f>'$ Portfolio Loss'!$R307</f>
        <v>-19.360071406262755</v>
      </c>
      <c r="L307">
        <v>303</v>
      </c>
      <c r="M307">
        <f>'$ Portfolio Loss'!$I262</f>
        <v>258</v>
      </c>
      <c r="N307" s="19">
        <f>'$ Portfolio Loss'!$R262</f>
        <v>-32.26211814796865</v>
      </c>
    </row>
    <row r="308" spans="9:14" x14ac:dyDescent="0.3">
      <c r="I308">
        <f>'$ Portfolio Loss'!$I308</f>
        <v>304</v>
      </c>
      <c r="J308" s="19">
        <f>'$ Portfolio Loss'!$R308</f>
        <v>-15.036403195800542</v>
      </c>
      <c r="L308">
        <v>304</v>
      </c>
      <c r="M308">
        <f>'$ Portfolio Loss'!$I277</f>
        <v>273</v>
      </c>
      <c r="N308" s="19">
        <f>'$ Portfolio Loss'!$R277</f>
        <v>-33.621052242786647</v>
      </c>
    </row>
    <row r="309" spans="9:14" x14ac:dyDescent="0.3">
      <c r="I309">
        <f>'$ Portfolio Loss'!$I309</f>
        <v>305</v>
      </c>
      <c r="J309" s="19">
        <f>'$ Portfolio Loss'!$R309</f>
        <v>-20.078823567359567</v>
      </c>
      <c r="L309">
        <v>305</v>
      </c>
      <c r="M309">
        <f>'$ Portfolio Loss'!$I50</f>
        <v>46</v>
      </c>
      <c r="N309" s="19">
        <f>'$ Portfolio Loss'!$R50</f>
        <v>-35.10303784958267</v>
      </c>
    </row>
    <row r="310" spans="9:14" x14ac:dyDescent="0.3">
      <c r="I310">
        <f>'$ Portfolio Loss'!$I310</f>
        <v>306</v>
      </c>
      <c r="J310" s="19">
        <f>'$ Portfolio Loss'!$R310</f>
        <v>-7.1996143736839296E-2</v>
      </c>
      <c r="L310">
        <v>306</v>
      </c>
      <c r="M310">
        <f>'$ Portfolio Loss'!$I283</f>
        <v>279</v>
      </c>
      <c r="N310" s="19">
        <f>'$ Portfolio Loss'!$R283</f>
        <v>-35.120088389568089</v>
      </c>
    </row>
    <row r="311" spans="9:14" x14ac:dyDescent="0.3">
      <c r="I311">
        <f>'$ Portfolio Loss'!$I311</f>
        <v>307</v>
      </c>
      <c r="J311" s="19">
        <f>'$ Portfolio Loss'!$R311</f>
        <v>23.139443185060262</v>
      </c>
      <c r="L311">
        <v>307</v>
      </c>
      <c r="M311">
        <f>'$ Portfolio Loss'!$I181</f>
        <v>177</v>
      </c>
      <c r="N311" s="19">
        <f>'$ Portfolio Loss'!$R181</f>
        <v>-35.382940061201928</v>
      </c>
    </row>
    <row r="312" spans="9:14" x14ac:dyDescent="0.3">
      <c r="I312">
        <f>'$ Portfolio Loss'!$I312</f>
        <v>308</v>
      </c>
      <c r="J312" s="19">
        <f>'$ Portfolio Loss'!$R312</f>
        <v>-15.859744708509803</v>
      </c>
      <c r="L312">
        <v>308</v>
      </c>
      <c r="M312">
        <f>'$ Portfolio Loss'!$I177</f>
        <v>173</v>
      </c>
      <c r="N312" s="19">
        <f>'$ Portfolio Loss'!$R177</f>
        <v>-39.497725312521219</v>
      </c>
    </row>
    <row r="313" spans="9:14" x14ac:dyDescent="0.3">
      <c r="I313">
        <f>'$ Portfolio Loss'!$I313</f>
        <v>309</v>
      </c>
      <c r="J313" s="19">
        <f>'$ Portfolio Loss'!$R313</f>
        <v>-7.1222701385393146</v>
      </c>
      <c r="L313">
        <v>309</v>
      </c>
      <c r="M313">
        <f>'$ Portfolio Loss'!$I19</f>
        <v>15</v>
      </c>
      <c r="N313" s="19">
        <f>'$ Portfolio Loss'!$R19</f>
        <v>-41.54422268737018</v>
      </c>
    </row>
    <row r="314" spans="9:14" x14ac:dyDescent="0.3">
      <c r="I314">
        <f>'$ Portfolio Loss'!$I314</f>
        <v>310</v>
      </c>
      <c r="J314" s="19">
        <f>'$ Portfolio Loss'!$R314</f>
        <v>-18.181294135917426</v>
      </c>
      <c r="L314">
        <v>310</v>
      </c>
      <c r="M314">
        <f>'$ Portfolio Loss'!$I270</f>
        <v>266</v>
      </c>
      <c r="N314" s="19">
        <f>'$ Portfolio Loss'!$R270</f>
        <v>-41.578340638215778</v>
      </c>
    </row>
    <row r="315" spans="9:14" x14ac:dyDescent="0.3">
      <c r="I315">
        <f>'$ Portfolio Loss'!$I315</f>
        <v>311</v>
      </c>
      <c r="J315" s="19">
        <f>'$ Portfolio Loss'!$R315</f>
        <v>7.7403118931996824</v>
      </c>
      <c r="L315">
        <v>311</v>
      </c>
      <c r="M315">
        <f>'$ Portfolio Loss'!$I274</f>
        <v>270</v>
      </c>
      <c r="N315" s="19">
        <f>'$ Portfolio Loss'!$R274</f>
        <v>-41.646199387303355</v>
      </c>
    </row>
    <row r="316" spans="9:14" x14ac:dyDescent="0.3">
      <c r="I316">
        <f>'$ Portfolio Loss'!$I316</f>
        <v>312</v>
      </c>
      <c r="J316" s="19">
        <f>'$ Portfolio Loss'!$R316</f>
        <v>-2.5689458140461445</v>
      </c>
      <c r="L316">
        <v>312</v>
      </c>
      <c r="M316">
        <f>'$ Portfolio Loss'!$I180</f>
        <v>176</v>
      </c>
      <c r="N316" s="19">
        <f>'$ Portfolio Loss'!$R180</f>
        <v>-42.458928007577775</v>
      </c>
    </row>
    <row r="317" spans="9:14" x14ac:dyDescent="0.3">
      <c r="I317">
        <f>'$ Portfolio Loss'!$I317</f>
        <v>313</v>
      </c>
      <c r="J317" s="19">
        <f>'$ Portfolio Loss'!$R317</f>
        <v>-0.60244124159967904</v>
      </c>
      <c r="L317">
        <v>313</v>
      </c>
      <c r="M317">
        <f>'$ Portfolio Loss'!$I179</f>
        <v>175</v>
      </c>
      <c r="N317" s="19">
        <f>'$ Portfolio Loss'!$R179</f>
        <v>-43.449868003333691</v>
      </c>
    </row>
    <row r="318" spans="9:14" x14ac:dyDescent="0.3">
      <c r="I318">
        <f>'$ Portfolio Loss'!$I318</f>
        <v>314</v>
      </c>
      <c r="J318" s="19">
        <f>'$ Portfolio Loss'!$R318</f>
        <v>-0.23302101018881799</v>
      </c>
      <c r="L318">
        <v>314</v>
      </c>
      <c r="M318">
        <f>'$ Portfolio Loss'!$I28</f>
        <v>24</v>
      </c>
      <c r="N318" s="19">
        <f>'$ Portfolio Loss'!$R28</f>
        <v>-48.027187468540667</v>
      </c>
    </row>
    <row r="319" spans="9:14" x14ac:dyDescent="0.3">
      <c r="I319">
        <f>'$ Portfolio Loss'!$I319</f>
        <v>315</v>
      </c>
      <c r="J319" s="19">
        <f>'$ Portfolio Loss'!$R319</f>
        <v>-5.7886993052413462</v>
      </c>
      <c r="L319">
        <v>315</v>
      </c>
      <c r="M319">
        <f>'$ Portfolio Loss'!$I182</f>
        <v>178</v>
      </c>
      <c r="N319" s="19">
        <f>'$ Portfolio Loss'!$R182</f>
        <v>-62.380728288762569</v>
      </c>
    </row>
    <row r="320" spans="9:14" x14ac:dyDescent="0.3">
      <c r="J320" s="19"/>
    </row>
    <row r="321" spans="10:10" x14ac:dyDescent="0.3">
      <c r="J321" s="19"/>
    </row>
    <row r="322" spans="10:10" x14ac:dyDescent="0.3">
      <c r="J322" s="19"/>
    </row>
    <row r="323" spans="10:10" x14ac:dyDescent="0.3">
      <c r="J323" s="19"/>
    </row>
    <row r="324" spans="10:10" x14ac:dyDescent="0.3">
      <c r="J324" s="19"/>
    </row>
    <row r="325" spans="10:10" x14ac:dyDescent="0.3">
      <c r="J325" s="19"/>
    </row>
    <row r="326" spans="10:10" x14ac:dyDescent="0.3">
      <c r="J326" s="19"/>
    </row>
    <row r="327" spans="10:10" x14ac:dyDescent="0.3">
      <c r="J327" s="19"/>
    </row>
    <row r="328" spans="10:10" x14ac:dyDescent="0.3">
      <c r="J328" s="19"/>
    </row>
    <row r="329" spans="10:10" x14ac:dyDescent="0.3">
      <c r="J329" s="19"/>
    </row>
    <row r="330" spans="10:10" x14ac:dyDescent="0.3">
      <c r="J330" s="19"/>
    </row>
    <row r="331" spans="10:10" x14ac:dyDescent="0.3">
      <c r="J331" s="19"/>
    </row>
    <row r="332" spans="10:10" x14ac:dyDescent="0.3">
      <c r="J332" s="19"/>
    </row>
    <row r="333" spans="10:10" x14ac:dyDescent="0.3">
      <c r="J333" s="19"/>
    </row>
    <row r="334" spans="10:10" x14ac:dyDescent="0.3">
      <c r="J334" s="19"/>
    </row>
    <row r="335" spans="10:10" x14ac:dyDescent="0.3">
      <c r="J335" s="19"/>
    </row>
    <row r="336" spans="10:10" x14ac:dyDescent="0.3">
      <c r="J336" s="19"/>
    </row>
    <row r="337" spans="10:10" x14ac:dyDescent="0.3">
      <c r="J337" s="19"/>
    </row>
    <row r="338" spans="10:10" x14ac:dyDescent="0.3">
      <c r="J338" s="19"/>
    </row>
    <row r="339" spans="10:10" x14ac:dyDescent="0.3">
      <c r="J339" s="19"/>
    </row>
    <row r="340" spans="10:10" x14ac:dyDescent="0.3">
      <c r="J340" s="19"/>
    </row>
    <row r="341" spans="10:10" x14ac:dyDescent="0.3">
      <c r="J341" s="19"/>
    </row>
    <row r="342" spans="10:10" x14ac:dyDescent="0.3">
      <c r="J342" s="19"/>
    </row>
    <row r="343" spans="10:10" x14ac:dyDescent="0.3">
      <c r="J343" s="19"/>
    </row>
    <row r="344" spans="10:10" x14ac:dyDescent="0.3">
      <c r="J344" s="19"/>
    </row>
    <row r="345" spans="10:10" x14ac:dyDescent="0.3">
      <c r="J345" s="19"/>
    </row>
    <row r="346" spans="10:10" x14ac:dyDescent="0.3">
      <c r="J346" s="19"/>
    </row>
    <row r="347" spans="10:10" x14ac:dyDescent="0.3">
      <c r="J347" s="19"/>
    </row>
    <row r="348" spans="10:10" x14ac:dyDescent="0.3">
      <c r="J348" s="19"/>
    </row>
    <row r="349" spans="10:10" x14ac:dyDescent="0.3">
      <c r="J349" s="19"/>
    </row>
    <row r="350" spans="10:10" x14ac:dyDescent="0.3">
      <c r="J350" s="19"/>
    </row>
    <row r="351" spans="10:10" x14ac:dyDescent="0.3">
      <c r="J351" s="19"/>
    </row>
    <row r="352" spans="10:10" x14ac:dyDescent="0.3">
      <c r="J352" s="19"/>
    </row>
    <row r="353" spans="10:10" x14ac:dyDescent="0.3">
      <c r="J353" s="19"/>
    </row>
    <row r="354" spans="10:10" x14ac:dyDescent="0.3">
      <c r="J354" s="19"/>
    </row>
    <row r="355" spans="10:10" x14ac:dyDescent="0.3">
      <c r="J355" s="19"/>
    </row>
    <row r="356" spans="10:10" x14ac:dyDescent="0.3">
      <c r="J356" s="19"/>
    </row>
    <row r="357" spans="10:10" x14ac:dyDescent="0.3">
      <c r="J357" s="19"/>
    </row>
    <row r="358" spans="10:10" x14ac:dyDescent="0.3">
      <c r="J358" s="19"/>
    </row>
    <row r="359" spans="10:10" x14ac:dyDescent="0.3">
      <c r="J359" s="19"/>
    </row>
    <row r="360" spans="10:10" x14ac:dyDescent="0.3">
      <c r="J360" s="19"/>
    </row>
    <row r="361" spans="10:10" x14ac:dyDescent="0.3">
      <c r="J361" s="19"/>
    </row>
    <row r="362" spans="10:10" x14ac:dyDescent="0.3">
      <c r="J362" s="19"/>
    </row>
    <row r="363" spans="10:10" x14ac:dyDescent="0.3">
      <c r="J363" s="19"/>
    </row>
    <row r="364" spans="10:10" x14ac:dyDescent="0.3">
      <c r="J364" s="19"/>
    </row>
    <row r="365" spans="10:10" x14ac:dyDescent="0.3">
      <c r="J365" s="19"/>
    </row>
    <row r="366" spans="10:10" x14ac:dyDescent="0.3">
      <c r="J366" s="19"/>
    </row>
    <row r="367" spans="10:10" x14ac:dyDescent="0.3">
      <c r="J367" s="19"/>
    </row>
    <row r="368" spans="10:10" x14ac:dyDescent="0.3">
      <c r="J368" s="19"/>
    </row>
    <row r="369" spans="10:10" x14ac:dyDescent="0.3">
      <c r="J369" s="19"/>
    </row>
    <row r="370" spans="10:10" x14ac:dyDescent="0.3">
      <c r="J370" s="19"/>
    </row>
    <row r="371" spans="10:10" x14ac:dyDescent="0.3">
      <c r="J371" s="19"/>
    </row>
    <row r="372" spans="10:10" x14ac:dyDescent="0.3">
      <c r="J372" s="19"/>
    </row>
    <row r="373" spans="10:10" x14ac:dyDescent="0.3">
      <c r="J373" s="19"/>
    </row>
    <row r="374" spans="10:10" x14ac:dyDescent="0.3">
      <c r="J374" s="19"/>
    </row>
    <row r="375" spans="10:10" x14ac:dyDescent="0.3">
      <c r="J375" s="19"/>
    </row>
    <row r="376" spans="10:10" x14ac:dyDescent="0.3">
      <c r="J376" s="19"/>
    </row>
    <row r="377" spans="10:10" x14ac:dyDescent="0.3">
      <c r="J377" s="19"/>
    </row>
    <row r="378" spans="10:10" x14ac:dyDescent="0.3">
      <c r="J378" s="19"/>
    </row>
    <row r="379" spans="10:10" x14ac:dyDescent="0.3">
      <c r="J379" s="19"/>
    </row>
    <row r="380" spans="10:10" x14ac:dyDescent="0.3">
      <c r="J380" s="19"/>
    </row>
    <row r="381" spans="10:10" x14ac:dyDescent="0.3">
      <c r="J381" s="19"/>
    </row>
    <row r="382" spans="10:10" x14ac:dyDescent="0.3">
      <c r="J382" s="19"/>
    </row>
    <row r="383" spans="10:10" x14ac:dyDescent="0.3">
      <c r="J383" s="19"/>
    </row>
    <row r="384" spans="10:10" x14ac:dyDescent="0.3">
      <c r="J384" s="19"/>
    </row>
    <row r="385" spans="10:10" x14ac:dyDescent="0.3">
      <c r="J385" s="19"/>
    </row>
    <row r="386" spans="10:10" x14ac:dyDescent="0.3">
      <c r="J386" s="19"/>
    </row>
    <row r="387" spans="10:10" x14ac:dyDescent="0.3">
      <c r="J387" s="19"/>
    </row>
    <row r="388" spans="10:10" x14ac:dyDescent="0.3">
      <c r="J388" s="19"/>
    </row>
    <row r="389" spans="10:10" x14ac:dyDescent="0.3">
      <c r="J389" s="19"/>
    </row>
    <row r="390" spans="10:10" x14ac:dyDescent="0.3">
      <c r="J390" s="19"/>
    </row>
    <row r="391" spans="10:10" x14ac:dyDescent="0.3">
      <c r="J391" s="19"/>
    </row>
    <row r="392" spans="10:10" x14ac:dyDescent="0.3">
      <c r="J392" s="19"/>
    </row>
    <row r="393" spans="10:10" x14ac:dyDescent="0.3">
      <c r="J393" s="19"/>
    </row>
    <row r="394" spans="10:10" x14ac:dyDescent="0.3">
      <c r="J394" s="19"/>
    </row>
    <row r="395" spans="10:10" x14ac:dyDescent="0.3">
      <c r="J395" s="19"/>
    </row>
    <row r="396" spans="10:10" x14ac:dyDescent="0.3">
      <c r="J396" s="19"/>
    </row>
    <row r="397" spans="10:10" x14ac:dyDescent="0.3">
      <c r="J397" s="19"/>
    </row>
    <row r="398" spans="10:10" x14ac:dyDescent="0.3">
      <c r="J398" s="19"/>
    </row>
    <row r="399" spans="10:10" x14ac:dyDescent="0.3">
      <c r="J399" s="19"/>
    </row>
    <row r="400" spans="10:10" x14ac:dyDescent="0.3">
      <c r="J400" s="19"/>
    </row>
    <row r="401" spans="10:10" x14ac:dyDescent="0.3">
      <c r="J401" s="19"/>
    </row>
    <row r="402" spans="10:10" x14ac:dyDescent="0.3">
      <c r="J402" s="19"/>
    </row>
    <row r="403" spans="10:10" x14ac:dyDescent="0.3">
      <c r="J403" s="19"/>
    </row>
    <row r="404" spans="10:10" x14ac:dyDescent="0.3">
      <c r="J404" s="19"/>
    </row>
    <row r="405" spans="10:10" x14ac:dyDescent="0.3">
      <c r="J405" s="19"/>
    </row>
    <row r="406" spans="10:10" x14ac:dyDescent="0.3">
      <c r="J406" s="19"/>
    </row>
    <row r="407" spans="10:10" x14ac:dyDescent="0.3">
      <c r="J407" s="19"/>
    </row>
    <row r="408" spans="10:10" x14ac:dyDescent="0.3">
      <c r="J408" s="19"/>
    </row>
    <row r="409" spans="10:10" x14ac:dyDescent="0.3">
      <c r="J409" s="19"/>
    </row>
    <row r="410" spans="10:10" x14ac:dyDescent="0.3">
      <c r="J410" s="19"/>
    </row>
    <row r="411" spans="10:10" x14ac:dyDescent="0.3">
      <c r="J411" s="19"/>
    </row>
    <row r="412" spans="10:10" x14ac:dyDescent="0.3">
      <c r="J412" s="19"/>
    </row>
    <row r="413" spans="10:10" x14ac:dyDescent="0.3">
      <c r="J413" s="19"/>
    </row>
    <row r="414" spans="10:10" x14ac:dyDescent="0.3">
      <c r="J414" s="19"/>
    </row>
    <row r="415" spans="10:10" x14ac:dyDescent="0.3">
      <c r="J415" s="19"/>
    </row>
    <row r="416" spans="10:10" x14ac:dyDescent="0.3">
      <c r="J416" s="19"/>
    </row>
    <row r="417" spans="10:10" x14ac:dyDescent="0.3">
      <c r="J417" s="19"/>
    </row>
    <row r="418" spans="10:10" x14ac:dyDescent="0.3">
      <c r="J418" s="19"/>
    </row>
    <row r="419" spans="10:10" x14ac:dyDescent="0.3">
      <c r="J419" s="19"/>
    </row>
    <row r="420" spans="10:10" x14ac:dyDescent="0.3">
      <c r="J420" s="19"/>
    </row>
    <row r="421" spans="10:10" x14ac:dyDescent="0.3">
      <c r="J421" s="19"/>
    </row>
    <row r="422" spans="10:10" x14ac:dyDescent="0.3">
      <c r="J422" s="19"/>
    </row>
    <row r="423" spans="10:10" x14ac:dyDescent="0.3">
      <c r="J423" s="19"/>
    </row>
    <row r="424" spans="10:10" x14ac:dyDescent="0.3">
      <c r="J424" s="19"/>
    </row>
    <row r="425" spans="10:10" x14ac:dyDescent="0.3">
      <c r="J425" s="19"/>
    </row>
    <row r="426" spans="10:10" x14ac:dyDescent="0.3">
      <c r="J426" s="19"/>
    </row>
    <row r="427" spans="10:10" x14ac:dyDescent="0.3">
      <c r="J427" s="19"/>
    </row>
    <row r="428" spans="10:10" x14ac:dyDescent="0.3">
      <c r="J428" s="19"/>
    </row>
    <row r="429" spans="10:10" x14ac:dyDescent="0.3">
      <c r="J429" s="19"/>
    </row>
    <row r="430" spans="10:10" x14ac:dyDescent="0.3">
      <c r="J430" s="19"/>
    </row>
    <row r="431" spans="10:10" x14ac:dyDescent="0.3">
      <c r="J431" s="19"/>
    </row>
    <row r="432" spans="10:10" x14ac:dyDescent="0.3">
      <c r="J432" s="19"/>
    </row>
    <row r="433" spans="10:10" x14ac:dyDescent="0.3">
      <c r="J433" s="19"/>
    </row>
    <row r="434" spans="10:10" x14ac:dyDescent="0.3">
      <c r="J434" s="19"/>
    </row>
    <row r="435" spans="10:10" x14ac:dyDescent="0.3">
      <c r="J435" s="19"/>
    </row>
    <row r="436" spans="10:10" x14ac:dyDescent="0.3">
      <c r="J436" s="19"/>
    </row>
    <row r="437" spans="10:10" x14ac:dyDescent="0.3">
      <c r="J437" s="19"/>
    </row>
    <row r="438" spans="10:10" x14ac:dyDescent="0.3">
      <c r="J438" s="19"/>
    </row>
    <row r="439" spans="10:10" x14ac:dyDescent="0.3">
      <c r="J439" s="19"/>
    </row>
    <row r="440" spans="10:10" x14ac:dyDescent="0.3">
      <c r="J440" s="19"/>
    </row>
    <row r="441" spans="10:10" x14ac:dyDescent="0.3">
      <c r="J441" s="19"/>
    </row>
    <row r="442" spans="10:10" x14ac:dyDescent="0.3">
      <c r="J442" s="19"/>
    </row>
    <row r="443" spans="10:10" x14ac:dyDescent="0.3">
      <c r="J443" s="19"/>
    </row>
    <row r="444" spans="10:10" x14ac:dyDescent="0.3">
      <c r="J444" s="19"/>
    </row>
    <row r="445" spans="10:10" x14ac:dyDescent="0.3">
      <c r="J445" s="19"/>
    </row>
    <row r="446" spans="10:10" x14ac:dyDescent="0.3">
      <c r="J446" s="19"/>
    </row>
    <row r="447" spans="10:10" x14ac:dyDescent="0.3">
      <c r="J447" s="19"/>
    </row>
    <row r="448" spans="10:10" x14ac:dyDescent="0.3">
      <c r="J448" s="19"/>
    </row>
    <row r="449" spans="10:10" x14ac:dyDescent="0.3">
      <c r="J449" s="19"/>
    </row>
    <row r="450" spans="10:10" x14ac:dyDescent="0.3">
      <c r="J450" s="19"/>
    </row>
    <row r="451" spans="10:10" x14ac:dyDescent="0.3">
      <c r="J451" s="19"/>
    </row>
    <row r="452" spans="10:10" x14ac:dyDescent="0.3">
      <c r="J452" s="19"/>
    </row>
    <row r="453" spans="10:10" x14ac:dyDescent="0.3">
      <c r="J453" s="19"/>
    </row>
    <row r="454" spans="10:10" x14ac:dyDescent="0.3">
      <c r="J454" s="19"/>
    </row>
    <row r="455" spans="10:10" x14ac:dyDescent="0.3">
      <c r="J455" s="19"/>
    </row>
    <row r="456" spans="10:10" x14ac:dyDescent="0.3">
      <c r="J456" s="19"/>
    </row>
    <row r="457" spans="10:10" x14ac:dyDescent="0.3">
      <c r="J457" s="19"/>
    </row>
    <row r="458" spans="10:10" x14ac:dyDescent="0.3">
      <c r="J458" s="19"/>
    </row>
    <row r="459" spans="10:10" x14ac:dyDescent="0.3">
      <c r="J459" s="19"/>
    </row>
    <row r="460" spans="10:10" x14ac:dyDescent="0.3">
      <c r="J460" s="19"/>
    </row>
    <row r="461" spans="10:10" x14ac:dyDescent="0.3">
      <c r="J461" s="19"/>
    </row>
    <row r="462" spans="10:10" x14ac:dyDescent="0.3">
      <c r="J462" s="19"/>
    </row>
    <row r="463" spans="10:10" x14ac:dyDescent="0.3">
      <c r="J463" s="19"/>
    </row>
    <row r="464" spans="10:10" x14ac:dyDescent="0.3">
      <c r="J464" s="19"/>
    </row>
    <row r="465" spans="10:10" x14ac:dyDescent="0.3">
      <c r="J465" s="19"/>
    </row>
    <row r="466" spans="10:10" x14ac:dyDescent="0.3">
      <c r="J466" s="19"/>
    </row>
    <row r="467" spans="10:10" x14ac:dyDescent="0.3">
      <c r="J467" s="19"/>
    </row>
    <row r="468" spans="10:10" x14ac:dyDescent="0.3">
      <c r="J468" s="19"/>
    </row>
    <row r="469" spans="10:10" x14ac:dyDescent="0.3">
      <c r="J469" s="19"/>
    </row>
    <row r="470" spans="10:10" x14ac:dyDescent="0.3">
      <c r="J470" s="19"/>
    </row>
    <row r="471" spans="10:10" x14ac:dyDescent="0.3">
      <c r="J471" s="19"/>
    </row>
    <row r="472" spans="10:10" x14ac:dyDescent="0.3">
      <c r="J472" s="19"/>
    </row>
    <row r="473" spans="10:10" x14ac:dyDescent="0.3">
      <c r="J473" s="19"/>
    </row>
    <row r="474" spans="10:10" x14ac:dyDescent="0.3">
      <c r="J474" s="19"/>
    </row>
    <row r="475" spans="10:10" x14ac:dyDescent="0.3">
      <c r="J475" s="19"/>
    </row>
    <row r="476" spans="10:10" x14ac:dyDescent="0.3">
      <c r="J476" s="19"/>
    </row>
    <row r="477" spans="10:10" x14ac:dyDescent="0.3">
      <c r="J477" s="19"/>
    </row>
    <row r="478" spans="10:10" x14ac:dyDescent="0.3">
      <c r="J478" s="19"/>
    </row>
    <row r="479" spans="10:10" x14ac:dyDescent="0.3">
      <c r="J479" s="19"/>
    </row>
    <row r="480" spans="10:10" x14ac:dyDescent="0.3">
      <c r="J480" s="19"/>
    </row>
    <row r="481" spans="10:10" x14ac:dyDescent="0.3">
      <c r="J481" s="19"/>
    </row>
    <row r="482" spans="10:10" x14ac:dyDescent="0.3">
      <c r="J482" s="19"/>
    </row>
    <row r="483" spans="10:10" x14ac:dyDescent="0.3">
      <c r="J483" s="19"/>
    </row>
    <row r="484" spans="10:10" x14ac:dyDescent="0.3">
      <c r="J484" s="19"/>
    </row>
    <row r="485" spans="10:10" x14ac:dyDescent="0.3">
      <c r="J485" s="19"/>
    </row>
    <row r="486" spans="10:10" x14ac:dyDescent="0.3">
      <c r="J486" s="19"/>
    </row>
    <row r="487" spans="10:10" x14ac:dyDescent="0.3">
      <c r="J487" s="19"/>
    </row>
    <row r="488" spans="10:10" x14ac:dyDescent="0.3">
      <c r="J488" s="19"/>
    </row>
    <row r="489" spans="10:10" x14ac:dyDescent="0.3">
      <c r="J489" s="19"/>
    </row>
    <row r="490" spans="10:10" x14ac:dyDescent="0.3">
      <c r="J490" s="19"/>
    </row>
    <row r="491" spans="10:10" x14ac:dyDescent="0.3">
      <c r="J491" s="19"/>
    </row>
    <row r="492" spans="10:10" x14ac:dyDescent="0.3">
      <c r="J492" s="19"/>
    </row>
    <row r="493" spans="10:10" x14ac:dyDescent="0.3">
      <c r="J493" s="19"/>
    </row>
    <row r="494" spans="10:10" x14ac:dyDescent="0.3">
      <c r="J494" s="19"/>
    </row>
    <row r="495" spans="10:10" x14ac:dyDescent="0.3">
      <c r="J495" s="19"/>
    </row>
    <row r="496" spans="10:10" x14ac:dyDescent="0.3">
      <c r="J496" s="19"/>
    </row>
    <row r="497" spans="10:10" x14ac:dyDescent="0.3">
      <c r="J497" s="19"/>
    </row>
    <row r="498" spans="10:10" x14ac:dyDescent="0.3">
      <c r="J498" s="19"/>
    </row>
    <row r="499" spans="10:10" x14ac:dyDescent="0.3">
      <c r="J499" s="19"/>
    </row>
    <row r="500" spans="10:10" x14ac:dyDescent="0.3">
      <c r="J500" s="19"/>
    </row>
    <row r="501" spans="10:10" x14ac:dyDescent="0.3">
      <c r="J501" s="19"/>
    </row>
    <row r="502" spans="10:10" x14ac:dyDescent="0.3">
      <c r="J502" s="19"/>
    </row>
    <row r="503" spans="10:10" x14ac:dyDescent="0.3">
      <c r="J503" s="19"/>
    </row>
    <row r="504" spans="10:10" x14ac:dyDescent="0.3">
      <c r="J504" s="19"/>
    </row>
    <row r="505" spans="10:10" x14ac:dyDescent="0.3">
      <c r="J505" s="19"/>
    </row>
  </sheetData>
  <sortState xmlns:xlrd2="http://schemas.microsoft.com/office/spreadsheetml/2017/richdata2" ref="M5:N319">
    <sortCondition descending="1" ref="N5:N319"/>
  </sortState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64C1E-8C79-402D-92E2-D67C06D6E476}">
  <dimension ref="A1:V1003"/>
  <sheetViews>
    <sheetView topLeftCell="P7" zoomScale="70" zoomScaleNormal="70" zoomScalePageLayoutView="90" workbookViewId="0">
      <selection activeCell="Z23" sqref="Z23"/>
    </sheetView>
  </sheetViews>
  <sheetFormatPr defaultColWidth="8.88671875" defaultRowHeight="14.4" x14ac:dyDescent="0.3"/>
  <cols>
    <col min="1" max="1" width="14.109375" customWidth="1"/>
    <col min="2" max="2" width="17.109375" bestFit="1" customWidth="1"/>
    <col min="3" max="3" width="12" customWidth="1"/>
    <col min="4" max="4" width="12.6640625" bestFit="1" customWidth="1"/>
    <col min="5" max="5" width="11.44140625" bestFit="1" customWidth="1"/>
    <col min="6" max="7" width="11.44140625" customWidth="1"/>
    <col min="8" max="8" width="2.88671875" style="23" customWidth="1"/>
    <col min="11" max="11" width="2.44140625" style="23" customWidth="1"/>
    <col min="12" max="12" width="5.33203125" bestFit="1" customWidth="1"/>
    <col min="14" max="14" width="8.88671875" style="19"/>
    <col min="15" max="15" width="3.109375" style="23" customWidth="1"/>
    <col min="20" max="20" width="12" bestFit="1" customWidth="1"/>
  </cols>
  <sheetData>
    <row r="1" spans="1:22" x14ac:dyDescent="0.3">
      <c r="A1" s="7" t="s">
        <v>5</v>
      </c>
      <c r="B1" s="3">
        <v>45293</v>
      </c>
    </row>
    <row r="2" spans="1:22" x14ac:dyDescent="0.3">
      <c r="T2" s="7" t="s">
        <v>33</v>
      </c>
    </row>
    <row r="3" spans="1:22" x14ac:dyDescent="0.3">
      <c r="A3" s="7" t="s">
        <v>9</v>
      </c>
      <c r="M3" s="21" t="s">
        <v>10</v>
      </c>
      <c r="Q3" s="7" t="s">
        <v>32</v>
      </c>
      <c r="T3" s="7" t="s">
        <v>12</v>
      </c>
      <c r="U3">
        <f ca="1">MIN(R4:R1003)</f>
        <v>-60.524397144292656</v>
      </c>
    </row>
    <row r="4" spans="1:22" x14ac:dyDescent="0.3">
      <c r="A4" s="21" t="s">
        <v>6</v>
      </c>
      <c r="B4" s="21" t="s">
        <v>7</v>
      </c>
      <c r="C4" s="21" t="s">
        <v>8</v>
      </c>
      <c r="D4" s="21"/>
      <c r="E4" s="21"/>
      <c r="F4" s="21"/>
      <c r="G4" s="21"/>
      <c r="I4" s="21" t="s">
        <v>1</v>
      </c>
      <c r="J4" s="21" t="s">
        <v>16</v>
      </c>
      <c r="K4" s="24"/>
      <c r="L4" s="21" t="s">
        <v>49</v>
      </c>
      <c r="M4" s="21" t="s">
        <v>1</v>
      </c>
      <c r="N4" s="22" t="s">
        <v>16</v>
      </c>
      <c r="Q4">
        <v>1</v>
      </c>
      <c r="R4">
        <f t="shared" ref="R4:R67" ca="1" si="0">_xlfn.NORM.INV(RAND(),$B$16,$B$17)</f>
        <v>-11.125357239155644</v>
      </c>
      <c r="T4" s="7" t="s">
        <v>11</v>
      </c>
      <c r="U4">
        <f ca="1">MAX(R4:R1003)</f>
        <v>55.390042606279437</v>
      </c>
    </row>
    <row r="5" spans="1:22" x14ac:dyDescent="0.3">
      <c r="A5" s="7" t="s">
        <v>30</v>
      </c>
      <c r="B5" s="19">
        <v>200000000</v>
      </c>
      <c r="C5" s="19">
        <f>Data!F2</f>
        <v>2148.1095259420381</v>
      </c>
      <c r="D5" s="25"/>
      <c r="E5" s="25"/>
      <c r="F5" s="25"/>
      <c r="G5" s="25"/>
      <c r="I5">
        <f>'$ Portfolio Loss'!$I5</f>
        <v>1</v>
      </c>
      <c r="J5" s="19">
        <f>'$ Portfolio Loss'!$R5</f>
        <v>6.8680997198442224</v>
      </c>
      <c r="L5">
        <v>1</v>
      </c>
      <c r="M5">
        <f>'$ Portfolio Loss'!$I304</f>
        <v>300</v>
      </c>
      <c r="N5" s="19">
        <f>'$ Portfolio Loss'!$R304</f>
        <v>136.49908282215583</v>
      </c>
      <c r="Q5">
        <v>2</v>
      </c>
      <c r="R5">
        <f t="shared" ca="1" si="0"/>
        <v>0.76734066446836069</v>
      </c>
      <c r="T5" s="7" t="s">
        <v>2</v>
      </c>
      <c r="U5">
        <f ca="1">AVERAGE(R4:R1003)</f>
        <v>-1.5458139958013564</v>
      </c>
    </row>
    <row r="6" spans="1:22" x14ac:dyDescent="0.3">
      <c r="A6" s="7" t="s">
        <v>46</v>
      </c>
      <c r="B6" s="19">
        <v>200000000</v>
      </c>
      <c r="C6" s="19">
        <f>Data!I2</f>
        <v>1380.5693813575588</v>
      </c>
      <c r="D6" s="25"/>
      <c r="E6" s="25"/>
      <c r="F6" s="25"/>
      <c r="G6" s="25"/>
      <c r="I6">
        <f>'$ Portfolio Loss'!$I6</f>
        <v>2</v>
      </c>
      <c r="J6" s="19">
        <f>'$ Portfolio Loss'!$R6</f>
        <v>-3.7099040134418009</v>
      </c>
      <c r="L6">
        <v>2</v>
      </c>
      <c r="M6">
        <f>'$ Portfolio Loss'!$I186</f>
        <v>182</v>
      </c>
      <c r="N6" s="19">
        <f>'$ Portfolio Loss'!$R186</f>
        <v>81.009313556189653</v>
      </c>
      <c r="Q6">
        <v>3</v>
      </c>
      <c r="R6">
        <f t="shared" ca="1" si="0"/>
        <v>-5.1646439950521073</v>
      </c>
      <c r="T6" s="7" t="s">
        <v>15</v>
      </c>
      <c r="U6">
        <f ca="1">_xlfn.STDEV.S(R4:R1003)</f>
        <v>17.857784900500366</v>
      </c>
    </row>
    <row r="7" spans="1:22" x14ac:dyDescent="0.3">
      <c r="A7" s="7" t="s">
        <v>47</v>
      </c>
      <c r="B7" s="19">
        <v>200000000</v>
      </c>
      <c r="C7" s="19">
        <f>Data!L2</f>
        <v>475.30804171198258</v>
      </c>
      <c r="D7" s="25"/>
      <c r="E7" s="25"/>
      <c r="F7" s="25"/>
      <c r="G7" s="25"/>
      <c r="I7">
        <f>'$ Portfolio Loss'!$I7</f>
        <v>3</v>
      </c>
      <c r="J7" s="19">
        <f>'$ Portfolio Loss'!$R7</f>
        <v>8.6898776253383154</v>
      </c>
      <c r="L7">
        <v>3</v>
      </c>
      <c r="M7">
        <f>'$ Portfolio Loss'!$I14</f>
        <v>10</v>
      </c>
      <c r="N7" s="19">
        <f>'$ Portfolio Loss'!$R14</f>
        <v>40.399220253571393</v>
      </c>
      <c r="Q7">
        <v>4</v>
      </c>
      <c r="R7">
        <f ca="1">_xlfn.NORM.INV(RAND(),$B$16,$B$17)</f>
        <v>-39.07358955177574</v>
      </c>
      <c r="T7" s="7" t="s">
        <v>124</v>
      </c>
      <c r="U7">
        <f ca="1">COUNT(R4:R1003)</f>
        <v>1000</v>
      </c>
    </row>
    <row r="8" spans="1:22" x14ac:dyDescent="0.3">
      <c r="A8" s="7" t="s">
        <v>41</v>
      </c>
      <c r="B8" s="19">
        <v>200000000</v>
      </c>
      <c r="C8" s="19">
        <f>Data!O2</f>
        <v>725.80513082976131</v>
      </c>
      <c r="D8" s="25"/>
      <c r="E8" s="25"/>
      <c r="F8" s="25"/>
      <c r="G8" s="25"/>
      <c r="I8">
        <f>'$ Portfolio Loss'!$I8</f>
        <v>4</v>
      </c>
      <c r="J8" s="19">
        <f>'$ Portfolio Loss'!$R8</f>
        <v>22.376267616043805</v>
      </c>
      <c r="L8">
        <v>4</v>
      </c>
      <c r="M8">
        <f>'$ Portfolio Loss'!$I187</f>
        <v>183</v>
      </c>
      <c r="N8" s="19">
        <f>'$ Portfolio Loss'!$R187</f>
        <v>37.140800868900534</v>
      </c>
      <c r="Q8">
        <v>5</v>
      </c>
      <c r="R8">
        <f t="shared" ca="1" si="0"/>
        <v>4.6279933580234136</v>
      </c>
    </row>
    <row r="9" spans="1:22" x14ac:dyDescent="0.3">
      <c r="A9" s="7" t="s">
        <v>44</v>
      </c>
      <c r="B9" s="19">
        <v>200000000</v>
      </c>
      <c r="C9" s="19">
        <f>Data!R2</f>
        <v>420.53483462350459</v>
      </c>
      <c r="I9">
        <f>'$ Portfolio Loss'!$I9</f>
        <v>5</v>
      </c>
      <c r="J9" s="19">
        <f>'$ Portfolio Loss'!$R9</f>
        <v>5.928020450423479</v>
      </c>
      <c r="L9">
        <v>5</v>
      </c>
      <c r="M9">
        <f>'$ Portfolio Loss'!$I279</f>
        <v>275</v>
      </c>
      <c r="N9" s="19">
        <f>'$ Portfolio Loss'!$R279</f>
        <v>35.972034145971534</v>
      </c>
      <c r="Q9">
        <v>6</v>
      </c>
      <c r="R9">
        <f t="shared" ca="1" si="0"/>
        <v>-17.111616957049499</v>
      </c>
      <c r="T9" s="7" t="s">
        <v>17</v>
      </c>
      <c r="U9" s="7" t="s">
        <v>19</v>
      </c>
      <c r="V9" s="7" t="s">
        <v>18</v>
      </c>
    </row>
    <row r="10" spans="1:22" x14ac:dyDescent="0.3">
      <c r="B10" s="20">
        <f>SUM(B5:B9)</f>
        <v>1000000000</v>
      </c>
      <c r="I10">
        <f>'$ Portfolio Loss'!$I10</f>
        <v>6</v>
      </c>
      <c r="J10" s="19">
        <f>'$ Portfolio Loss'!$R10</f>
        <v>5.1544066681878569</v>
      </c>
      <c r="L10">
        <v>6</v>
      </c>
      <c r="M10">
        <f>'$ Portfolio Loss'!$I190</f>
        <v>186</v>
      </c>
      <c r="N10" s="19">
        <f>'$ Portfolio Loss'!$R190</f>
        <v>33.059894936240433</v>
      </c>
      <c r="Q10">
        <v>7</v>
      </c>
      <c r="R10">
        <f t="shared" ca="1" si="0"/>
        <v>10.471866677878664</v>
      </c>
      <c r="T10" s="2">
        <v>0.995</v>
      </c>
      <c r="U10" s="1">
        <f ca="1">_xlfn.PERCENTILE.EXC($R$4:$R$1003,T10)</f>
        <v>40.414522143442731</v>
      </c>
      <c r="V10">
        <f ca="1">SUMIF($R$4:$R$1003,"&gt;"&amp;U10)/COUNTIF($R$4:$R$1003,"&gt;"&amp;U10)</f>
        <v>46.795678841326286</v>
      </c>
    </row>
    <row r="11" spans="1:22" x14ac:dyDescent="0.3">
      <c r="I11">
        <f>'$ Portfolio Loss'!$I11</f>
        <v>7</v>
      </c>
      <c r="J11" s="19">
        <f>'$ Portfolio Loss'!$R11</f>
        <v>-13.654390523549438</v>
      </c>
      <c r="L11">
        <v>7</v>
      </c>
      <c r="M11">
        <f>'$ Portfolio Loss'!$I210</f>
        <v>206</v>
      </c>
      <c r="N11" s="19">
        <f>'$ Portfolio Loss'!$R210</f>
        <v>28.496349071360232</v>
      </c>
      <c r="Q11">
        <v>8</v>
      </c>
      <c r="R11">
        <f t="shared" ca="1" si="0"/>
        <v>37.740126113075235</v>
      </c>
      <c r="T11" s="36">
        <v>0.99</v>
      </c>
      <c r="U11" s="1">
        <f t="shared" ref="U11:U29" ca="1" si="1">_xlfn.PERCENTILE.EXC($R$4:$R$1003,T11)</f>
        <v>37.680669615532651</v>
      </c>
      <c r="V11">
        <f t="shared" ref="V11:V29" ca="1" si="2">SUMIF($R$4:$R$1003,"&gt;"&amp;U11)/COUNTIF($R$4:$R$1003,"&gt;"&amp;U11)</f>
        <v>42.478991628307419</v>
      </c>
    </row>
    <row r="12" spans="1:22" x14ac:dyDescent="0.3">
      <c r="A12" s="7" t="s">
        <v>16</v>
      </c>
      <c r="I12">
        <f>'$ Portfolio Loss'!$I12</f>
        <v>8</v>
      </c>
      <c r="J12" s="19">
        <f>'$ Portfolio Loss'!$R12</f>
        <v>3.2750483901110887</v>
      </c>
      <c r="L12">
        <v>8</v>
      </c>
      <c r="M12">
        <f>'$ Portfolio Loss'!$I17</f>
        <v>13</v>
      </c>
      <c r="N12" s="19">
        <f>'$ Portfolio Loss'!$R17</f>
        <v>28.230477825598715</v>
      </c>
      <c r="Q12">
        <v>9</v>
      </c>
      <c r="R12">
        <f t="shared" ca="1" si="0"/>
        <v>8.7081122693084367</v>
      </c>
      <c r="T12" s="2">
        <v>0.98499999999999999</v>
      </c>
      <c r="U12" s="1">
        <f t="shared" ca="1" si="1"/>
        <v>35.615403342746774</v>
      </c>
      <c r="V12">
        <f t="shared" ca="1" si="2"/>
        <v>40.357564303150191</v>
      </c>
    </row>
    <row r="13" spans="1:22" x14ac:dyDescent="0.3">
      <c r="A13" s="7" t="s">
        <v>21</v>
      </c>
      <c r="B13" s="31">
        <f>COUNT($J$5:$J$319)</f>
        <v>315</v>
      </c>
      <c r="I13">
        <f>'$ Portfolio Loss'!$I13</f>
        <v>9</v>
      </c>
      <c r="J13" s="19">
        <f>'$ Portfolio Loss'!$R13</f>
        <v>26.791435484536411</v>
      </c>
      <c r="L13">
        <v>9</v>
      </c>
      <c r="M13">
        <f>'$ Portfolio Loss'!$I45</f>
        <v>41</v>
      </c>
      <c r="N13" s="19">
        <f>'$ Portfolio Loss'!$R45</f>
        <v>27.484348793624402</v>
      </c>
      <c r="Q13">
        <v>10</v>
      </c>
      <c r="R13">
        <f t="shared" ca="1" si="0"/>
        <v>3.6214775960275585</v>
      </c>
      <c r="T13" s="2">
        <v>0.98</v>
      </c>
      <c r="U13" s="1">
        <f t="shared" ca="1" si="1"/>
        <v>33.542436786564842</v>
      </c>
      <c r="V13">
        <f t="shared" ca="1" si="2"/>
        <v>38.937211000277976</v>
      </c>
    </row>
    <row r="14" spans="1:22" x14ac:dyDescent="0.3">
      <c r="A14" s="7" t="s">
        <v>12</v>
      </c>
      <c r="B14" s="30">
        <f>MIN($J$5:$J$319)</f>
        <v>-62.380728288762569</v>
      </c>
      <c r="I14">
        <f>'$ Portfolio Loss'!$I14</f>
        <v>10</v>
      </c>
      <c r="J14" s="19">
        <f>'$ Portfolio Loss'!$R14</f>
        <v>40.399220253571393</v>
      </c>
      <c r="L14">
        <v>10</v>
      </c>
      <c r="M14">
        <f>'$ Portfolio Loss'!$I13</f>
        <v>9</v>
      </c>
      <c r="N14" s="19">
        <f>'$ Portfolio Loss'!$R13</f>
        <v>26.791435484536411</v>
      </c>
      <c r="Q14">
        <v>11</v>
      </c>
      <c r="R14">
        <f t="shared" ca="1" si="0"/>
        <v>17.218020669027506</v>
      </c>
      <c r="T14" s="2">
        <v>0.97499999999999998</v>
      </c>
      <c r="U14" s="1">
        <f t="shared" ca="1" si="1"/>
        <v>32.553414269139566</v>
      </c>
      <c r="V14">
        <f t="shared" ca="1" si="2"/>
        <v>37.703972312751347</v>
      </c>
    </row>
    <row r="15" spans="1:22" x14ac:dyDescent="0.3">
      <c r="A15" s="7" t="s">
        <v>11</v>
      </c>
      <c r="B15" s="30">
        <f>MAX($J$5:$J$319)</f>
        <v>136.49908282215583</v>
      </c>
      <c r="I15">
        <f>'$ Portfolio Loss'!$I15</f>
        <v>11</v>
      </c>
      <c r="J15" s="19">
        <f>'$ Portfolio Loss'!$R15</f>
        <v>-7.5264611821949483</v>
      </c>
      <c r="L15">
        <v>11</v>
      </c>
      <c r="M15">
        <f>'$ Portfolio Loss'!$I23</f>
        <v>19</v>
      </c>
      <c r="N15" s="19">
        <f>'$ Portfolio Loss'!$R23</f>
        <v>26.542436763794303</v>
      </c>
      <c r="Q15">
        <v>12</v>
      </c>
      <c r="R15">
        <f t="shared" ca="1" si="0"/>
        <v>-26.351225176308041</v>
      </c>
      <c r="T15" s="2">
        <v>0.97</v>
      </c>
      <c r="U15" s="1">
        <f t="shared" ca="1" si="1"/>
        <v>31.818861770520474</v>
      </c>
      <c r="V15">
        <f t="shared" ca="1" si="2"/>
        <v>36.766422128401139</v>
      </c>
    </row>
    <row r="16" spans="1:22" x14ac:dyDescent="0.3">
      <c r="A16" s="7" t="s">
        <v>2</v>
      </c>
      <c r="B16" s="30">
        <f>AVERAGE($J$5:$J$319)</f>
        <v>-1.1385906338585963</v>
      </c>
      <c r="I16">
        <f>'$ Portfolio Loss'!$I16</f>
        <v>12</v>
      </c>
      <c r="J16" s="19">
        <f>'$ Portfolio Loss'!$R16</f>
        <v>8.495230763407827</v>
      </c>
      <c r="L16">
        <v>12</v>
      </c>
      <c r="M16">
        <f>'$ Portfolio Loss'!$I296</f>
        <v>292</v>
      </c>
      <c r="N16" s="19">
        <f>'$ Portfolio Loss'!$R296</f>
        <v>25.856078930974007</v>
      </c>
      <c r="Q16">
        <v>13</v>
      </c>
      <c r="R16">
        <f t="shared" ca="1" si="0"/>
        <v>27.499329541049519</v>
      </c>
      <c r="T16" s="2">
        <v>0.96499999999999997</v>
      </c>
      <c r="U16" s="1">
        <f t="shared" ca="1" si="1"/>
        <v>30.371776958777826</v>
      </c>
      <c r="V16">
        <f t="shared" ca="1" si="2"/>
        <v>35.914722117136854</v>
      </c>
    </row>
    <row r="17" spans="1:22" x14ac:dyDescent="0.3">
      <c r="A17" s="7" t="s">
        <v>15</v>
      </c>
      <c r="B17" s="30">
        <f>_xlfn.STDEV.S($J$5:$J$319)</f>
        <v>18.276864235164435</v>
      </c>
      <c r="I17">
        <f>'$ Portfolio Loss'!$I17</f>
        <v>13</v>
      </c>
      <c r="J17" s="19">
        <f>'$ Portfolio Loss'!$R17</f>
        <v>28.230477825598715</v>
      </c>
      <c r="L17">
        <v>13</v>
      </c>
      <c r="M17">
        <f>'$ Portfolio Loss'!$I58</f>
        <v>54</v>
      </c>
      <c r="N17" s="19">
        <f>'$ Portfolio Loss'!$R58</f>
        <v>25.381080925219059</v>
      </c>
      <c r="Q17">
        <v>14</v>
      </c>
      <c r="R17">
        <f t="shared" ca="1" si="0"/>
        <v>-40.600201952269281</v>
      </c>
      <c r="T17" s="2">
        <v>0.96</v>
      </c>
      <c r="U17" s="1">
        <f t="shared" ca="1" si="1"/>
        <v>29.830740648808234</v>
      </c>
      <c r="V17">
        <f t="shared" ca="1" si="2"/>
        <v>35.195857792500561</v>
      </c>
    </row>
    <row r="18" spans="1:22" x14ac:dyDescent="0.3">
      <c r="A18" s="7" t="s">
        <v>3</v>
      </c>
      <c r="B18" s="30">
        <f>SKEW($J$5:$J$319)</f>
        <v>1.2960061161704428</v>
      </c>
      <c r="E18" s="1"/>
      <c r="F18" s="1"/>
      <c r="I18">
        <f>'$ Portfolio Loss'!$I18</f>
        <v>14</v>
      </c>
      <c r="J18" s="19">
        <f>'$ Portfolio Loss'!$R18</f>
        <v>-28.079815511728526</v>
      </c>
      <c r="L18">
        <v>14</v>
      </c>
      <c r="M18">
        <f>'$ Portfolio Loss'!$I293</f>
        <v>289</v>
      </c>
      <c r="N18" s="19">
        <f>'$ Portfolio Loss'!$R293</f>
        <v>24.474231197404862</v>
      </c>
      <c r="Q18">
        <v>15</v>
      </c>
      <c r="R18">
        <f t="shared" ca="1" si="0"/>
        <v>24.502013738001899</v>
      </c>
      <c r="T18" s="2">
        <v>0.95499999999999996</v>
      </c>
      <c r="U18" s="1">
        <f t="shared" ca="1" si="1"/>
        <v>28.541341591904263</v>
      </c>
      <c r="V18">
        <f t="shared" ca="1" si="2"/>
        <v>34.507115332585684</v>
      </c>
    </row>
    <row r="19" spans="1:22" x14ac:dyDescent="0.3">
      <c r="A19" s="7" t="s">
        <v>4</v>
      </c>
      <c r="B19" s="30">
        <f>KURT($J$5:$J$319)</f>
        <v>10.835218771510595</v>
      </c>
      <c r="C19" s="19"/>
      <c r="I19">
        <f>'$ Portfolio Loss'!$I19</f>
        <v>15</v>
      </c>
      <c r="J19" s="19">
        <f>'$ Portfolio Loss'!$R19</f>
        <v>-41.54422268737018</v>
      </c>
      <c r="L19">
        <v>15</v>
      </c>
      <c r="M19">
        <f>'$ Portfolio Loss'!$I119</f>
        <v>115</v>
      </c>
      <c r="N19" s="19">
        <f>'$ Portfolio Loss'!$R119</f>
        <v>24.063951138277172</v>
      </c>
      <c r="Q19">
        <v>16</v>
      </c>
      <c r="R19">
        <f t="shared" ca="1" si="0"/>
        <v>-20.299891466540519</v>
      </c>
      <c r="T19" s="2">
        <v>0.95</v>
      </c>
      <c r="U19" s="1">
        <f t="shared" ca="1" si="1"/>
        <v>27.782590691891492</v>
      </c>
      <c r="V19">
        <f t="shared" ca="1" si="2"/>
        <v>33.867061980846515</v>
      </c>
    </row>
    <row r="20" spans="1:22" x14ac:dyDescent="0.3">
      <c r="I20">
        <f>'$ Portfolio Loss'!$I20</f>
        <v>16</v>
      </c>
      <c r="J20" s="19">
        <f>'$ Portfolio Loss'!$R20</f>
        <v>-21.658187912484646</v>
      </c>
      <c r="L20">
        <v>16</v>
      </c>
      <c r="M20">
        <f>'$ Portfolio Loss'!$I95</f>
        <v>91</v>
      </c>
      <c r="N20" s="19">
        <f>'$ Portfolio Loss'!$R95</f>
        <v>23.704043288554072</v>
      </c>
      <c r="Q20">
        <v>17</v>
      </c>
      <c r="R20">
        <f t="shared" ca="1" si="0"/>
        <v>-7.5355088049785701</v>
      </c>
      <c r="T20" s="2">
        <v>0.94499999999999995</v>
      </c>
      <c r="U20" s="1">
        <f t="shared" ca="1" si="1"/>
        <v>26.736671064071764</v>
      </c>
      <c r="V20">
        <f t="shared" ca="1" si="2"/>
        <v>33.283813612842941</v>
      </c>
    </row>
    <row r="21" spans="1:22" x14ac:dyDescent="0.3">
      <c r="I21">
        <f>'$ Portfolio Loss'!$I21</f>
        <v>17</v>
      </c>
      <c r="J21" s="19">
        <f>'$ Portfolio Loss'!$R21</f>
        <v>20.595811698857904</v>
      </c>
      <c r="L21">
        <v>17</v>
      </c>
      <c r="M21">
        <f>'$ Portfolio Loss'!$I311</f>
        <v>307</v>
      </c>
      <c r="N21" s="19">
        <f>'$ Portfolio Loss'!$R311</f>
        <v>23.139443185060262</v>
      </c>
      <c r="Q21">
        <v>18</v>
      </c>
      <c r="R21">
        <f t="shared" ca="1" si="0"/>
        <v>-38.970121514060658</v>
      </c>
      <c r="T21" s="2">
        <v>0.94</v>
      </c>
      <c r="U21" s="1">
        <f t="shared" ca="1" si="1"/>
        <v>25.938437062579251</v>
      </c>
      <c r="V21">
        <f t="shared" ca="1" si="2"/>
        <v>32.697027903481555</v>
      </c>
    </row>
    <row r="22" spans="1:22" x14ac:dyDescent="0.3">
      <c r="A22" s="7" t="s">
        <v>34</v>
      </c>
      <c r="D22" s="21"/>
      <c r="E22" s="21"/>
      <c r="F22" s="21"/>
      <c r="G22" s="21"/>
      <c r="I22">
        <f>'$ Portfolio Loss'!$I22</f>
        <v>18</v>
      </c>
      <c r="J22" s="19">
        <f>'$ Portfolio Loss'!$R22</f>
        <v>-9.4806255269205568</v>
      </c>
      <c r="L22">
        <v>18</v>
      </c>
      <c r="M22">
        <f>'$ Portfolio Loss'!$I294</f>
        <v>290</v>
      </c>
      <c r="N22" s="19">
        <f>'$ Portfolio Loss'!$R294</f>
        <v>23.039656321314812</v>
      </c>
      <c r="Q22">
        <v>19</v>
      </c>
      <c r="R22">
        <f t="shared" ca="1" si="0"/>
        <v>-38.755466858178103</v>
      </c>
      <c r="T22" s="2">
        <v>0.93500000000000005</v>
      </c>
      <c r="U22" s="1">
        <f t="shared" ca="1" si="1"/>
        <v>25.080868219418548</v>
      </c>
      <c r="V22">
        <f t="shared" ca="1" si="2"/>
        <v>32.138080516133407</v>
      </c>
    </row>
    <row r="23" spans="1:22" x14ac:dyDescent="0.3">
      <c r="A23" s="7" t="s">
        <v>17</v>
      </c>
      <c r="B23" s="7" t="s">
        <v>19</v>
      </c>
      <c r="C23" s="21" t="s">
        <v>18</v>
      </c>
      <c r="D23" s="1"/>
      <c r="E23" s="1"/>
      <c r="F23" s="1"/>
      <c r="G23" s="1"/>
      <c r="I23">
        <f>'$ Portfolio Loss'!$I23</f>
        <v>19</v>
      </c>
      <c r="J23" s="19">
        <f>'$ Portfolio Loss'!$R23</f>
        <v>26.542436763794303</v>
      </c>
      <c r="L23">
        <v>19</v>
      </c>
      <c r="M23">
        <f>'$ Portfolio Loss'!$I133</f>
        <v>129</v>
      </c>
      <c r="N23" s="19">
        <f>'$ Portfolio Loss'!$R133</f>
        <v>22.485592787600279</v>
      </c>
      <c r="Q23">
        <v>20</v>
      </c>
      <c r="R23">
        <f t="shared" ca="1" si="0"/>
        <v>0.67921238213409851</v>
      </c>
      <c r="T23" s="2">
        <v>0.93</v>
      </c>
      <c r="U23" s="1">
        <f t="shared" ca="1" si="1"/>
        <v>24.307130391266131</v>
      </c>
      <c r="V23">
        <f t="shared" ca="1" si="2"/>
        <v>31.608438143637983</v>
      </c>
    </row>
    <row r="24" spans="1:22" x14ac:dyDescent="0.3">
      <c r="A24" s="2">
        <v>0.995</v>
      </c>
      <c r="B24" s="1">
        <f>_xlfn.PERCENTILE.EXC($J$5:$J$319,A24)</f>
        <v>104.31501664789633</v>
      </c>
      <c r="C24" s="1">
        <f>SUMIF($J$5:$J$319,"&gt;"&amp;B24)/COUNTIF($J$5:$J$319,"&gt;"&amp;B24)</f>
        <v>136.49908282215583</v>
      </c>
      <c r="D24" s="37"/>
      <c r="E24" s="37"/>
      <c r="F24" s="37"/>
      <c r="G24" s="37"/>
      <c r="I24">
        <f>'$ Portfolio Loss'!$I24</f>
        <v>20</v>
      </c>
      <c r="J24" s="19">
        <f>'$ Portfolio Loss'!$R24</f>
        <v>16.556646965486646</v>
      </c>
      <c r="L24">
        <v>20</v>
      </c>
      <c r="M24">
        <f>'$ Portfolio Loss'!$I8</f>
        <v>4</v>
      </c>
      <c r="N24" s="19">
        <f>'$ Portfolio Loss'!$R8</f>
        <v>22.376267616043805</v>
      </c>
      <c r="Q24">
        <v>21</v>
      </c>
      <c r="R24">
        <f t="shared" ca="1" si="0"/>
        <v>-11.203847826587962</v>
      </c>
      <c r="T24" s="2">
        <v>0.92500000000000004</v>
      </c>
      <c r="U24" s="1">
        <f t="shared" ca="1" si="1"/>
        <v>23.958936608503393</v>
      </c>
      <c r="V24">
        <f t="shared" ca="1" si="2"/>
        <v>31.106635485152612</v>
      </c>
    </row>
    <row r="25" spans="1:22" x14ac:dyDescent="0.3">
      <c r="A25" s="36">
        <v>0.99</v>
      </c>
      <c r="B25" s="1">
        <f t="shared" ref="B25:B43" si="3">_xlfn.PERCENTILE.EXC($J$5:$J$319,A25)</f>
        <v>39.877873152023973</v>
      </c>
      <c r="C25" s="1">
        <f t="shared" ref="C25:C43" si="4">SUMIF($J$5:$J$319,"&gt;"&amp;B25)/COUNTIF($J$5:$J$319,"&gt;"&amp;B25)</f>
        <v>85.969205543972294</v>
      </c>
      <c r="D25" s="1"/>
      <c r="E25" s="1"/>
      <c r="F25" s="1"/>
      <c r="G25" s="1"/>
      <c r="I25">
        <f>'$ Portfolio Loss'!$I25</f>
        <v>21</v>
      </c>
      <c r="J25" s="19">
        <f>'$ Portfolio Loss'!$R25</f>
        <v>-6.877926741204023</v>
      </c>
      <c r="L25">
        <v>21</v>
      </c>
      <c r="M25">
        <f>'$ Portfolio Loss'!$I72</f>
        <v>68</v>
      </c>
      <c r="N25" s="19">
        <f>'$ Portfolio Loss'!$R72</f>
        <v>21.053577494633199</v>
      </c>
      <c r="Q25">
        <v>22</v>
      </c>
      <c r="R25">
        <f t="shared" ca="1" si="0"/>
        <v>-2.8268625633137932</v>
      </c>
      <c r="T25" s="2">
        <v>0.92</v>
      </c>
      <c r="U25" s="1">
        <f t="shared" ca="1" si="1"/>
        <v>23.444634595027946</v>
      </c>
      <c r="V25">
        <f t="shared" ca="1" si="2"/>
        <v>30.645833419892824</v>
      </c>
    </row>
    <row r="26" spans="1:22" x14ac:dyDescent="0.3">
      <c r="A26" s="2">
        <v>0.98499999999999999</v>
      </c>
      <c r="B26" s="1">
        <f t="shared" si="3"/>
        <v>36.275913493933061</v>
      </c>
      <c r="C26" s="1">
        <f t="shared" si="4"/>
        <v>73.762104375204359</v>
      </c>
      <c r="D26" s="1"/>
      <c r="E26" s="1"/>
      <c r="F26" s="1"/>
      <c r="G26" s="1"/>
      <c r="I26">
        <f>'$ Portfolio Loss'!$I26</f>
        <v>22</v>
      </c>
      <c r="J26" s="19">
        <f>'$ Portfolio Loss'!$R26</f>
        <v>2.6968251211432217</v>
      </c>
      <c r="L26">
        <v>22</v>
      </c>
      <c r="M26">
        <f>'$ Portfolio Loss'!$I21</f>
        <v>17</v>
      </c>
      <c r="N26" s="19">
        <f>'$ Portfolio Loss'!$R21</f>
        <v>20.595811698857904</v>
      </c>
      <c r="Q26">
        <v>23</v>
      </c>
      <c r="R26">
        <f t="shared" ca="1" si="0"/>
        <v>2.5552572736751245</v>
      </c>
      <c r="T26" s="2">
        <v>0.91500000000000004</v>
      </c>
      <c r="U26" s="1">
        <f t="shared" ca="1" si="1"/>
        <v>22.771189007368712</v>
      </c>
      <c r="V26">
        <f t="shared" ca="1" si="2"/>
        <v>30.197051192153168</v>
      </c>
    </row>
    <row r="27" spans="1:22" x14ac:dyDescent="0.3">
      <c r="A27" s="2">
        <v>0.98</v>
      </c>
      <c r="B27" s="1">
        <f t="shared" si="3"/>
        <v>31.5995602594788</v>
      </c>
      <c r="C27" s="1">
        <f t="shared" si="4"/>
        <v>60.680057763838228</v>
      </c>
      <c r="D27" s="1"/>
      <c r="E27" s="1"/>
      <c r="F27" s="1"/>
      <c r="G27" s="1"/>
      <c r="I27">
        <f>'$ Portfolio Loss'!$I27</f>
        <v>23</v>
      </c>
      <c r="J27" s="19">
        <f>'$ Portfolio Loss'!$R27</f>
        <v>2.0132931568976642</v>
      </c>
      <c r="L27">
        <v>23</v>
      </c>
      <c r="M27">
        <f>'$ Portfolio Loss'!$I70</f>
        <v>66</v>
      </c>
      <c r="N27" s="19">
        <f>'$ Portfolio Loss'!$R70</f>
        <v>19.948785491507412</v>
      </c>
      <c r="Q27">
        <v>24</v>
      </c>
      <c r="R27">
        <f t="shared" ca="1" si="0"/>
        <v>-4.8002171819359543</v>
      </c>
      <c r="T27" s="2">
        <v>0.91</v>
      </c>
      <c r="U27" s="1">
        <f t="shared" ca="1" si="1"/>
        <v>22.502884622746901</v>
      </c>
      <c r="V27">
        <f t="shared" ca="1" si="2"/>
        <v>29.775207147442632</v>
      </c>
    </row>
    <row r="28" spans="1:22" x14ac:dyDescent="0.3">
      <c r="A28" s="2">
        <v>0.97499999999999998</v>
      </c>
      <c r="B28" s="1">
        <f t="shared" si="3"/>
        <v>28.257064950174858</v>
      </c>
      <c r="C28" s="1">
        <f t="shared" si="4"/>
        <v>56.082385093484227</v>
      </c>
      <c r="D28" s="1"/>
      <c r="E28" s="1"/>
      <c r="F28" s="1"/>
      <c r="G28" s="1"/>
      <c r="I28">
        <f>'$ Portfolio Loss'!$I28</f>
        <v>24</v>
      </c>
      <c r="J28" s="19">
        <f>'$ Portfolio Loss'!$R28</f>
        <v>-48.027187468540667</v>
      </c>
      <c r="L28">
        <v>24</v>
      </c>
      <c r="M28">
        <f>'$ Portfolio Loss'!$I243</f>
        <v>239</v>
      </c>
      <c r="N28" s="19">
        <f>'$ Portfolio Loss'!$R243</f>
        <v>19.866957988964081</v>
      </c>
      <c r="Q28">
        <v>25</v>
      </c>
      <c r="R28">
        <f t="shared" ca="1" si="0"/>
        <v>-0.40166777377780505</v>
      </c>
      <c r="T28" s="2">
        <v>0.90500000000000003</v>
      </c>
      <c r="U28" s="1">
        <f t="shared" ca="1" si="1"/>
        <v>21.835414236905542</v>
      </c>
      <c r="V28">
        <f t="shared" ca="1" si="2"/>
        <v>29.375001824326052</v>
      </c>
    </row>
    <row r="29" spans="1:22" x14ac:dyDescent="0.3">
      <c r="A29" s="2">
        <v>0.97</v>
      </c>
      <c r="B29" s="1">
        <f t="shared" si="3"/>
        <v>27.151750405262153</v>
      </c>
      <c r="C29" s="1">
        <f t="shared" si="4"/>
        <v>49.810169141512525</v>
      </c>
      <c r="D29" s="1"/>
      <c r="E29" s="1"/>
      <c r="F29" s="1"/>
      <c r="G29" s="1"/>
      <c r="I29">
        <f>'$ Portfolio Loss'!$I29</f>
        <v>25</v>
      </c>
      <c r="J29" s="19">
        <f>'$ Portfolio Loss'!$R29</f>
        <v>7.8661047735856773</v>
      </c>
      <c r="L29">
        <v>25</v>
      </c>
      <c r="M29">
        <f>'$ Portfolio Loss'!$I137</f>
        <v>133</v>
      </c>
      <c r="N29" s="19">
        <f>'$ Portfolio Loss'!$R137</f>
        <v>19.780622694604872</v>
      </c>
      <c r="Q29">
        <v>26</v>
      </c>
      <c r="R29">
        <f t="shared" ca="1" si="0"/>
        <v>-21.206861691828525</v>
      </c>
      <c r="T29" s="2">
        <v>0.9</v>
      </c>
      <c r="U29" s="1">
        <f t="shared" ca="1" si="1"/>
        <v>21.1167212521027</v>
      </c>
      <c r="V29">
        <f t="shared" ca="1" si="2"/>
        <v>28.981574915888785</v>
      </c>
    </row>
    <row r="30" spans="1:22" x14ac:dyDescent="0.3">
      <c r="A30" s="2">
        <v>0.96499999999999997</v>
      </c>
      <c r="B30" s="1">
        <f t="shared" si="3"/>
        <v>26.501255293825082</v>
      </c>
      <c r="C30" s="1">
        <f t="shared" si="4"/>
        <v>45.602308592903938</v>
      </c>
      <c r="D30" s="1"/>
      <c r="E30" s="1"/>
      <c r="F30" s="1"/>
      <c r="G30" s="1"/>
      <c r="I30">
        <f>'$ Portfolio Loss'!$I30</f>
        <v>26</v>
      </c>
      <c r="J30" s="19">
        <f>'$ Portfolio Loss'!$R30</f>
        <v>9.5804998320612906</v>
      </c>
      <c r="L30">
        <v>26</v>
      </c>
      <c r="M30">
        <f>'$ Portfolio Loss'!$I212</f>
        <v>208</v>
      </c>
      <c r="N30" s="19">
        <f>'$ Portfolio Loss'!$R212</f>
        <v>19.488502460363151</v>
      </c>
      <c r="Q30">
        <v>27</v>
      </c>
      <c r="R30">
        <f t="shared" ca="1" si="0"/>
        <v>-18.850395825066691</v>
      </c>
    </row>
    <row r="31" spans="1:22" x14ac:dyDescent="0.3">
      <c r="A31" s="2">
        <v>0.96</v>
      </c>
      <c r="B31" s="1">
        <f t="shared" si="3"/>
        <v>25.552080207290846</v>
      </c>
      <c r="C31" s="1">
        <f t="shared" si="4"/>
        <v>43.95678945440978</v>
      </c>
      <c r="D31" s="1"/>
      <c r="E31" s="1"/>
      <c r="F31" s="1"/>
      <c r="G31" s="1"/>
      <c r="I31">
        <f>'$ Portfolio Loss'!$I31</f>
        <v>27</v>
      </c>
      <c r="J31" s="19">
        <f>'$ Portfolio Loss'!$R31</f>
        <v>11.163725752216219</v>
      </c>
      <c r="L31">
        <v>27</v>
      </c>
      <c r="M31">
        <f>'$ Portfolio Loss'!$I285</f>
        <v>281</v>
      </c>
      <c r="N31" s="19">
        <f>'$ Portfolio Loss'!$R285</f>
        <v>19.388726850362779</v>
      </c>
      <c r="Q31">
        <v>28</v>
      </c>
      <c r="R31">
        <f t="shared" ca="1" si="0"/>
        <v>-5.2985361271573002</v>
      </c>
    </row>
    <row r="32" spans="1:22" x14ac:dyDescent="0.3">
      <c r="A32" s="2">
        <v>0.95499999999999996</v>
      </c>
      <c r="B32" s="1">
        <f t="shared" si="3"/>
        <v>24.383969584396759</v>
      </c>
      <c r="C32" s="1">
        <f t="shared" si="4"/>
        <v>41.238341826824389</v>
      </c>
      <c r="D32" s="1"/>
      <c r="E32" s="1"/>
      <c r="F32" s="1"/>
      <c r="G32" s="1"/>
      <c r="I32">
        <f>'$ Portfolio Loss'!$I32</f>
        <v>28</v>
      </c>
      <c r="J32" s="19">
        <f>'$ Portfolio Loss'!$R32</f>
        <v>-12.042211121222973</v>
      </c>
      <c r="L32">
        <v>28</v>
      </c>
      <c r="M32">
        <f>'$ Portfolio Loss'!$I218</f>
        <v>214</v>
      </c>
      <c r="N32" s="19">
        <f>'$ Portfolio Loss'!$R218</f>
        <v>18.781270563981415</v>
      </c>
      <c r="Q32">
        <v>29</v>
      </c>
      <c r="R32">
        <f t="shared" ca="1" si="0"/>
        <v>9.9854734588280074</v>
      </c>
    </row>
    <row r="33" spans="1:18" x14ac:dyDescent="0.3">
      <c r="A33" s="2">
        <v>0.95</v>
      </c>
      <c r="B33" s="1">
        <f t="shared" si="3"/>
        <v>23.776024858498687</v>
      </c>
      <c r="C33" s="1">
        <f t="shared" si="4"/>
        <v>40.093382447587906</v>
      </c>
      <c r="D33" s="1"/>
      <c r="E33" s="1"/>
      <c r="F33" s="1"/>
      <c r="G33" s="1"/>
      <c r="I33">
        <f>'$ Portfolio Loss'!$I33</f>
        <v>29</v>
      </c>
      <c r="J33" s="19">
        <f>'$ Portfolio Loss'!$R33</f>
        <v>-3.6123870886712073</v>
      </c>
      <c r="L33">
        <v>29</v>
      </c>
      <c r="M33">
        <f>'$ Portfolio Loss'!$I100</f>
        <v>96</v>
      </c>
      <c r="N33" s="19">
        <f>'$ Portfolio Loss'!$R100</f>
        <v>18.658421639122366</v>
      </c>
      <c r="Q33">
        <v>30</v>
      </c>
      <c r="R33">
        <f t="shared" ca="1" si="0"/>
        <v>-30.904113232955318</v>
      </c>
    </row>
    <row r="34" spans="1:18" x14ac:dyDescent="0.3">
      <c r="A34" s="2">
        <v>0.94499999999999995</v>
      </c>
      <c r="B34" s="1">
        <f t="shared" si="3"/>
        <v>23.101524176836993</v>
      </c>
      <c r="C34" s="1">
        <f t="shared" si="4"/>
        <v>38.132013128672526</v>
      </c>
      <c r="D34" s="1"/>
      <c r="E34" s="1"/>
      <c r="F34" s="1"/>
      <c r="G34" s="1"/>
      <c r="I34">
        <f>'$ Portfolio Loss'!$I34</f>
        <v>30</v>
      </c>
      <c r="J34" s="19">
        <f>'$ Portfolio Loss'!$R34</f>
        <v>-29.408320606259583</v>
      </c>
      <c r="L34">
        <v>30</v>
      </c>
      <c r="M34">
        <f>'$ Portfolio Loss'!$I41</f>
        <v>37</v>
      </c>
      <c r="N34" s="19">
        <f>'$ Portfolio Loss'!$R41</f>
        <v>18.478809594886542</v>
      </c>
      <c r="Q34">
        <v>31</v>
      </c>
      <c r="R34">
        <f t="shared" ca="1" si="0"/>
        <v>11.414643859445523</v>
      </c>
    </row>
    <row r="35" spans="1:18" x14ac:dyDescent="0.3">
      <c r="A35" s="2">
        <v>0.94</v>
      </c>
      <c r="B35" s="1">
        <f t="shared" si="3"/>
        <v>22.507755328948839</v>
      </c>
      <c r="C35" s="1">
        <f t="shared" si="4"/>
        <v>37.293548861597088</v>
      </c>
      <c r="D35" s="1"/>
      <c r="E35" s="1"/>
      <c r="F35" s="1"/>
      <c r="G35" s="1"/>
      <c r="I35">
        <f>'$ Portfolio Loss'!$I35</f>
        <v>31</v>
      </c>
      <c r="J35" s="19">
        <f>'$ Portfolio Loss'!$R35</f>
        <v>4.4963935196657179</v>
      </c>
      <c r="L35">
        <v>31</v>
      </c>
      <c r="M35">
        <f>'$ Portfolio Loss'!$I97</f>
        <v>93</v>
      </c>
      <c r="N35" s="19">
        <f>'$ Portfolio Loss'!$R97</f>
        <v>18.041551644984246</v>
      </c>
      <c r="Q35">
        <v>32</v>
      </c>
      <c r="R35">
        <f t="shared" ca="1" si="0"/>
        <v>23.459938685442847</v>
      </c>
    </row>
    <row r="36" spans="1:18" x14ac:dyDescent="0.3">
      <c r="A36" s="2">
        <v>0.93500000000000005</v>
      </c>
      <c r="B36" s="1">
        <f t="shared" si="3"/>
        <v>21.662014950482124</v>
      </c>
      <c r="C36" s="1">
        <f t="shared" si="4"/>
        <v>35.807286995619592</v>
      </c>
      <c r="D36" s="1"/>
      <c r="E36" s="1"/>
      <c r="F36" s="1"/>
      <c r="G36" s="1"/>
      <c r="I36">
        <f>'$ Portfolio Loss'!$I36</f>
        <v>32</v>
      </c>
      <c r="J36" s="19">
        <f>'$ Portfolio Loss'!$R36</f>
        <v>-20.329542828097104</v>
      </c>
      <c r="L36">
        <v>32</v>
      </c>
      <c r="M36">
        <f>'$ Portfolio Loss'!$I164</f>
        <v>160</v>
      </c>
      <c r="N36" s="19">
        <f>'$ Portfolio Loss'!$R164</f>
        <v>17.957570186961053</v>
      </c>
      <c r="Q36">
        <v>33</v>
      </c>
      <c r="R36">
        <f t="shared" ca="1" si="0"/>
        <v>18.089597156534918</v>
      </c>
    </row>
    <row r="37" spans="1:18" x14ac:dyDescent="0.3">
      <c r="A37" s="2">
        <v>0.93</v>
      </c>
      <c r="B37" s="1">
        <f t="shared" si="3"/>
        <v>20.51816855397584</v>
      </c>
      <c r="C37" s="1">
        <f t="shared" si="4"/>
        <v>34.445233141176502</v>
      </c>
      <c r="D37" s="1"/>
      <c r="E37" s="1"/>
      <c r="F37" s="1"/>
      <c r="G37" s="1"/>
      <c r="I37">
        <f>'$ Portfolio Loss'!$I37</f>
        <v>33</v>
      </c>
      <c r="J37" s="19">
        <f>'$ Portfolio Loss'!$R37</f>
        <v>-20.290737397518395</v>
      </c>
      <c r="L37">
        <v>33</v>
      </c>
      <c r="M37">
        <f>'$ Portfolio Loss'!$I61</f>
        <v>57</v>
      </c>
      <c r="N37" s="19">
        <f>'$ Portfolio Loss'!$R61</f>
        <v>17.333299984312056</v>
      </c>
      <c r="Q37">
        <v>34</v>
      </c>
      <c r="R37">
        <f t="shared" ca="1" si="0"/>
        <v>2.7793954245653163</v>
      </c>
    </row>
    <row r="38" spans="1:18" x14ac:dyDescent="0.3">
      <c r="A38" s="2">
        <v>0.92500000000000004</v>
      </c>
      <c r="B38" s="1">
        <f t="shared" si="3"/>
        <v>19.891506239727082</v>
      </c>
      <c r="C38" s="1">
        <f t="shared" si="4"/>
        <v>33.814952808582191</v>
      </c>
      <c r="D38" s="1"/>
      <c r="E38" s="1"/>
      <c r="F38" s="1"/>
      <c r="G38" s="1"/>
      <c r="I38">
        <f>'$ Portfolio Loss'!$I38</f>
        <v>34</v>
      </c>
      <c r="J38" s="19">
        <f>'$ Portfolio Loss'!$R38</f>
        <v>-0.76895461986398694</v>
      </c>
      <c r="L38">
        <v>34</v>
      </c>
      <c r="M38">
        <f>'$ Portfolio Loss'!$I273</f>
        <v>269</v>
      </c>
      <c r="N38" s="19">
        <f>'$ Portfolio Loss'!$R273</f>
        <v>17.241482419643521</v>
      </c>
      <c r="Q38">
        <v>35</v>
      </c>
      <c r="R38">
        <f t="shared" ca="1" si="0"/>
        <v>-60.524397144292656</v>
      </c>
    </row>
    <row r="39" spans="1:18" x14ac:dyDescent="0.3">
      <c r="A39" s="2">
        <v>0.92</v>
      </c>
      <c r="B39" s="1">
        <f t="shared" si="3"/>
        <v>19.698829029017197</v>
      </c>
      <c r="C39" s="1">
        <f t="shared" si="4"/>
        <v>32.695659811238372</v>
      </c>
      <c r="D39" s="1"/>
      <c r="E39" s="1"/>
      <c r="F39" s="1"/>
      <c r="G39" s="1"/>
      <c r="I39">
        <f>'$ Portfolio Loss'!$I39</f>
        <v>35</v>
      </c>
      <c r="J39" s="19">
        <f>'$ Portfolio Loss'!$R39</f>
        <v>5.6892253972493414</v>
      </c>
      <c r="L39">
        <v>35</v>
      </c>
      <c r="M39">
        <f>'$ Portfolio Loss'!$I129</f>
        <v>125</v>
      </c>
      <c r="N39" s="19">
        <f>'$ Portfolio Loss'!$R129</f>
        <v>17.235562308607339</v>
      </c>
      <c r="Q39">
        <v>36</v>
      </c>
      <c r="R39">
        <f t="shared" ca="1" si="0"/>
        <v>17.005645458999243</v>
      </c>
    </row>
    <row r="40" spans="1:18" x14ac:dyDescent="0.3">
      <c r="A40" s="2">
        <v>0.91500000000000004</v>
      </c>
      <c r="B40" s="1">
        <f t="shared" si="3"/>
        <v>19.40269543576283</v>
      </c>
      <c r="C40" s="1">
        <f t="shared" si="4"/>
        <v>32.187692220820097</v>
      </c>
      <c r="D40" s="1"/>
      <c r="E40" s="1"/>
      <c r="F40" s="1"/>
      <c r="G40" s="1"/>
      <c r="I40">
        <f>'$ Portfolio Loss'!$I40</f>
        <v>36</v>
      </c>
      <c r="J40" s="19">
        <f>'$ Portfolio Loss'!$R40</f>
        <v>-12.826514873774528</v>
      </c>
      <c r="L40">
        <v>36</v>
      </c>
      <c r="M40">
        <f>'$ Portfolio Loss'!$I143</f>
        <v>139</v>
      </c>
      <c r="N40" s="19">
        <f>'$ Portfolio Loss'!$R143</f>
        <v>16.857227163432956</v>
      </c>
      <c r="Q40">
        <v>37</v>
      </c>
      <c r="R40">
        <f t="shared" ca="1" si="0"/>
        <v>13.981222133818713</v>
      </c>
    </row>
    <row r="41" spans="1:18" x14ac:dyDescent="0.3">
      <c r="A41" s="2">
        <v>0.91</v>
      </c>
      <c r="B41" s="1">
        <f t="shared" si="3"/>
        <v>18.727217037043435</v>
      </c>
      <c r="C41" s="1">
        <f t="shared" si="4"/>
        <v>31.251785541273808</v>
      </c>
      <c r="D41" s="1"/>
      <c r="E41" s="1"/>
      <c r="F41" s="1"/>
      <c r="G41" s="1"/>
      <c r="I41">
        <f>'$ Portfolio Loss'!$I41</f>
        <v>37</v>
      </c>
      <c r="J41" s="19">
        <f>'$ Portfolio Loss'!$R41</f>
        <v>18.478809594886542</v>
      </c>
      <c r="L41">
        <v>37</v>
      </c>
      <c r="M41">
        <f>'$ Portfolio Loss'!$I115</f>
        <v>111</v>
      </c>
      <c r="N41" s="19">
        <f>'$ Portfolio Loss'!$R115</f>
        <v>16.667890549984811</v>
      </c>
      <c r="Q41">
        <v>38</v>
      </c>
      <c r="R41">
        <f t="shared" ca="1" si="0"/>
        <v>1.454587150483291</v>
      </c>
    </row>
    <row r="42" spans="1:18" x14ac:dyDescent="0.3">
      <c r="A42" s="2">
        <v>0.90500000000000003</v>
      </c>
      <c r="B42" s="1">
        <f t="shared" si="3"/>
        <v>18.470064435888503</v>
      </c>
      <c r="C42" s="1">
        <f t="shared" si="4"/>
        <v>30.406240879655851</v>
      </c>
      <c r="D42" s="1"/>
      <c r="E42" s="1"/>
      <c r="F42" s="1"/>
      <c r="G42" s="1"/>
      <c r="I42">
        <f>'$ Portfolio Loss'!$I42</f>
        <v>38</v>
      </c>
      <c r="J42" s="19">
        <f>'$ Portfolio Loss'!$R42</f>
        <v>2.7809832864127157</v>
      </c>
      <c r="L42">
        <v>38</v>
      </c>
      <c r="M42">
        <f>'$ Portfolio Loss'!$I24</f>
        <v>20</v>
      </c>
      <c r="N42" s="19">
        <f>'$ Portfolio Loss'!$R24</f>
        <v>16.556646965486646</v>
      </c>
      <c r="Q42">
        <v>39</v>
      </c>
      <c r="R42">
        <f t="shared" ca="1" si="0"/>
        <v>-13.271133849588695</v>
      </c>
    </row>
    <row r="43" spans="1:18" x14ac:dyDescent="0.3">
      <c r="A43" s="2">
        <v>0.9</v>
      </c>
      <c r="B43" s="1">
        <f t="shared" si="3"/>
        <v>17.991162770170334</v>
      </c>
      <c r="C43" s="1">
        <f t="shared" si="4"/>
        <v>30.007379936601929</v>
      </c>
      <c r="I43">
        <f>'$ Portfolio Loss'!$I43</f>
        <v>39</v>
      </c>
      <c r="J43" s="19">
        <f>'$ Portfolio Loss'!$R43</f>
        <v>-7.4176659776650666</v>
      </c>
      <c r="L43">
        <v>39</v>
      </c>
      <c r="M43">
        <f>'$ Portfolio Loss'!$I98</f>
        <v>94</v>
      </c>
      <c r="N43" s="19">
        <f>'$ Portfolio Loss'!$R98</f>
        <v>15.28632989916408</v>
      </c>
      <c r="Q43">
        <v>40</v>
      </c>
      <c r="R43">
        <f t="shared" ca="1" si="0"/>
        <v>11.292711130722559</v>
      </c>
    </row>
    <row r="44" spans="1:18" x14ac:dyDescent="0.3">
      <c r="A44" s="2"/>
      <c r="I44">
        <f>'$ Portfolio Loss'!$I44</f>
        <v>40</v>
      </c>
      <c r="J44" s="19">
        <f>'$ Portfolio Loss'!$R44</f>
        <v>2.3835503987958431</v>
      </c>
      <c r="L44">
        <v>40</v>
      </c>
      <c r="M44">
        <f>'$ Portfolio Loss'!$I267</f>
        <v>263</v>
      </c>
      <c r="N44" s="19">
        <f>'$ Portfolio Loss'!$R267</f>
        <v>15.177585904068827</v>
      </c>
      <c r="Q44">
        <v>41</v>
      </c>
      <c r="R44">
        <f t="shared" ca="1" si="0"/>
        <v>-7.9436406681662444</v>
      </c>
    </row>
    <row r="45" spans="1:18" x14ac:dyDescent="0.3">
      <c r="A45" s="2"/>
      <c r="I45">
        <f>'$ Portfolio Loss'!$I45</f>
        <v>41</v>
      </c>
      <c r="J45" s="19">
        <f>'$ Portfolio Loss'!$R45</f>
        <v>27.484348793624402</v>
      </c>
      <c r="L45">
        <v>41</v>
      </c>
      <c r="M45">
        <f>'$ Portfolio Loss'!$I130</f>
        <v>126</v>
      </c>
      <c r="N45" s="19">
        <f>'$ Portfolio Loss'!$R130</f>
        <v>15.124045667454482</v>
      </c>
      <c r="Q45">
        <v>42</v>
      </c>
      <c r="R45">
        <f t="shared" ca="1" si="0"/>
        <v>10.930328402638018</v>
      </c>
    </row>
    <row r="46" spans="1:18" x14ac:dyDescent="0.3">
      <c r="A46" s="7"/>
      <c r="B46" s="37"/>
      <c r="C46" s="37"/>
      <c r="D46" s="37"/>
      <c r="E46" s="37"/>
      <c r="F46" s="37"/>
      <c r="G46" s="37"/>
      <c r="I46">
        <f>'$ Portfolio Loss'!$I46</f>
        <v>42</v>
      </c>
      <c r="J46" s="19">
        <f>'$ Portfolio Loss'!$R46</f>
        <v>-20.147060210735916</v>
      </c>
      <c r="L46">
        <v>42</v>
      </c>
      <c r="M46">
        <f>'$ Portfolio Loss'!$I276</f>
        <v>272</v>
      </c>
      <c r="N46" s="19">
        <f>'$ Portfolio Loss'!$R276</f>
        <v>14.973511287038326</v>
      </c>
      <c r="Q46">
        <v>43</v>
      </c>
      <c r="R46">
        <f t="shared" ca="1" si="0"/>
        <v>-19.958022606666216</v>
      </c>
    </row>
    <row r="47" spans="1:18" x14ac:dyDescent="0.3">
      <c r="I47">
        <f>'$ Portfolio Loss'!$I47</f>
        <v>43</v>
      </c>
      <c r="J47" s="19">
        <f>'$ Portfolio Loss'!$R47</f>
        <v>10.239611494979382</v>
      </c>
      <c r="L47">
        <v>43</v>
      </c>
      <c r="M47">
        <f>'$ Portfolio Loss'!$I140</f>
        <v>136</v>
      </c>
      <c r="N47" s="19">
        <f>'$ Portfolio Loss'!$R140</f>
        <v>14.959071369357108</v>
      </c>
      <c r="Q47">
        <v>44</v>
      </c>
      <c r="R47">
        <f t="shared" ca="1" si="0"/>
        <v>-0.60957083315011362</v>
      </c>
    </row>
    <row r="48" spans="1:18" x14ac:dyDescent="0.3">
      <c r="I48">
        <f>'$ Portfolio Loss'!$I48</f>
        <v>44</v>
      </c>
      <c r="J48" s="19">
        <f>'$ Portfolio Loss'!$R48</f>
        <v>-8.0822088673042067</v>
      </c>
      <c r="L48">
        <v>44</v>
      </c>
      <c r="M48">
        <f>'$ Portfolio Loss'!$I167</f>
        <v>163</v>
      </c>
      <c r="N48" s="19">
        <f>'$ Portfolio Loss'!$R167</f>
        <v>14.48169377954185</v>
      </c>
      <c r="Q48">
        <v>45</v>
      </c>
      <c r="R48">
        <f t="shared" ca="1" si="0"/>
        <v>-21.612069142657333</v>
      </c>
    </row>
    <row r="49" spans="9:18" x14ac:dyDescent="0.3">
      <c r="I49">
        <f>'$ Portfolio Loss'!$I49</f>
        <v>45</v>
      </c>
      <c r="J49" s="19">
        <f>'$ Portfolio Loss'!$R49</f>
        <v>-15.06799722976637</v>
      </c>
      <c r="L49">
        <v>45</v>
      </c>
      <c r="M49">
        <f>'$ Portfolio Loss'!$I232</f>
        <v>228</v>
      </c>
      <c r="N49" s="19">
        <f>'$ Portfolio Loss'!$R232</f>
        <v>14.458743415777922</v>
      </c>
      <c r="Q49">
        <v>46</v>
      </c>
      <c r="R49">
        <f t="shared" ca="1" si="0"/>
        <v>-3.2840226088621511</v>
      </c>
    </row>
    <row r="50" spans="9:18" x14ac:dyDescent="0.3">
      <c r="I50">
        <f>'$ Portfolio Loss'!$I50</f>
        <v>46</v>
      </c>
      <c r="J50" s="19">
        <f>'$ Portfolio Loss'!$R50</f>
        <v>-35.10303784958267</v>
      </c>
      <c r="L50">
        <v>46</v>
      </c>
      <c r="M50">
        <f>'$ Portfolio Loss'!$I55</f>
        <v>51</v>
      </c>
      <c r="N50" s="19">
        <f>'$ Portfolio Loss'!$R55</f>
        <v>14.415331318858266</v>
      </c>
      <c r="Q50">
        <v>47</v>
      </c>
      <c r="R50">
        <f t="shared" ca="1" si="0"/>
        <v>-20.510186684375064</v>
      </c>
    </row>
    <row r="51" spans="9:18" x14ac:dyDescent="0.3">
      <c r="I51">
        <f>'$ Portfolio Loss'!$I51</f>
        <v>47</v>
      </c>
      <c r="J51" s="19">
        <f>'$ Portfolio Loss'!$R51</f>
        <v>0.17837172282540797</v>
      </c>
      <c r="L51">
        <v>47</v>
      </c>
      <c r="M51">
        <f>'$ Portfolio Loss'!$I64</f>
        <v>60</v>
      </c>
      <c r="N51" s="19">
        <f>'$ Portfolio Loss'!$R64</f>
        <v>14.048489144422531</v>
      </c>
      <c r="Q51">
        <v>48</v>
      </c>
      <c r="R51">
        <f t="shared" ca="1" si="0"/>
        <v>-0.60857721772953233</v>
      </c>
    </row>
    <row r="52" spans="9:18" x14ac:dyDescent="0.3">
      <c r="I52">
        <f>'$ Portfolio Loss'!$I52</f>
        <v>48</v>
      </c>
      <c r="J52" s="19">
        <f>'$ Portfolio Loss'!$R52</f>
        <v>5.2296468155839442</v>
      </c>
      <c r="L52">
        <v>48</v>
      </c>
      <c r="M52">
        <f>'$ Portfolio Loss'!$I144</f>
        <v>140</v>
      </c>
      <c r="N52" s="19">
        <f>'$ Portfolio Loss'!$R144</f>
        <v>13.970099982157826</v>
      </c>
      <c r="Q52">
        <v>49</v>
      </c>
      <c r="R52">
        <f t="shared" ca="1" si="0"/>
        <v>1.9388382922065797</v>
      </c>
    </row>
    <row r="53" spans="9:18" x14ac:dyDescent="0.3">
      <c r="I53">
        <f>'$ Portfolio Loss'!$I53</f>
        <v>49</v>
      </c>
      <c r="J53" s="19">
        <f>'$ Portfolio Loss'!$R53</f>
        <v>13.239525945979596</v>
      </c>
      <c r="L53">
        <v>49</v>
      </c>
      <c r="M53">
        <f>'$ Portfolio Loss'!$I300</f>
        <v>296</v>
      </c>
      <c r="N53" s="19">
        <f>'$ Portfolio Loss'!$R300</f>
        <v>13.900553897720814</v>
      </c>
      <c r="Q53">
        <v>50</v>
      </c>
      <c r="R53">
        <f t="shared" ca="1" si="0"/>
        <v>9.1975534832375505</v>
      </c>
    </row>
    <row r="54" spans="9:18" x14ac:dyDescent="0.3">
      <c r="I54">
        <f>'$ Portfolio Loss'!$I54</f>
        <v>50</v>
      </c>
      <c r="J54" s="19">
        <f>'$ Portfolio Loss'!$R54</f>
        <v>-5.7488875350892545</v>
      </c>
      <c r="L54">
        <v>50</v>
      </c>
      <c r="M54">
        <f>'$ Portfolio Loss'!$I161</f>
        <v>157</v>
      </c>
      <c r="N54" s="19">
        <f>'$ Portfolio Loss'!$R161</f>
        <v>13.654472418457866</v>
      </c>
      <c r="Q54">
        <v>51</v>
      </c>
      <c r="R54">
        <f t="shared" ca="1" si="0"/>
        <v>-2.613922493430934</v>
      </c>
    </row>
    <row r="55" spans="9:18" x14ac:dyDescent="0.3">
      <c r="I55">
        <f>'$ Portfolio Loss'!$I55</f>
        <v>51</v>
      </c>
      <c r="J55" s="19">
        <f>'$ Portfolio Loss'!$R55</f>
        <v>14.415331318858266</v>
      </c>
      <c r="L55">
        <v>51</v>
      </c>
      <c r="M55">
        <f>'$ Portfolio Loss'!$I109</f>
        <v>105</v>
      </c>
      <c r="N55" s="19">
        <f>'$ Portfolio Loss'!$R109</f>
        <v>13.548695775331259</v>
      </c>
      <c r="Q55">
        <v>52</v>
      </c>
      <c r="R55">
        <f t="shared" ca="1" si="0"/>
        <v>-10.618629200862634</v>
      </c>
    </row>
    <row r="56" spans="9:18" x14ac:dyDescent="0.3">
      <c r="I56">
        <f>'$ Portfolio Loss'!$I56</f>
        <v>52</v>
      </c>
      <c r="J56" s="19">
        <f>'$ Portfolio Loss'!$R56</f>
        <v>-2.4792019862728121</v>
      </c>
      <c r="L56">
        <v>52</v>
      </c>
      <c r="M56">
        <f>'$ Portfolio Loss'!$I206</f>
        <v>202</v>
      </c>
      <c r="N56" s="19">
        <f>'$ Portfolio Loss'!$R206</f>
        <v>13.491782703768253</v>
      </c>
      <c r="Q56">
        <v>53</v>
      </c>
      <c r="R56">
        <f t="shared" ca="1" si="0"/>
        <v>-4.2983781377900785</v>
      </c>
    </row>
    <row r="57" spans="9:18" x14ac:dyDescent="0.3">
      <c r="I57">
        <f>'$ Portfolio Loss'!$I57</f>
        <v>53</v>
      </c>
      <c r="J57" s="19">
        <f>'$ Portfolio Loss'!$R57</f>
        <v>-17.278643169272662</v>
      </c>
      <c r="L57">
        <v>53</v>
      </c>
      <c r="M57">
        <f>'$ Portfolio Loss'!$I209</f>
        <v>205</v>
      </c>
      <c r="N57" s="19">
        <f>'$ Portfolio Loss'!$R209</f>
        <v>13.308938922253848</v>
      </c>
      <c r="Q57">
        <v>54</v>
      </c>
      <c r="R57">
        <f t="shared" ca="1" si="0"/>
        <v>-28.297751369527159</v>
      </c>
    </row>
    <row r="58" spans="9:18" x14ac:dyDescent="0.3">
      <c r="I58">
        <f>'$ Portfolio Loss'!$I58</f>
        <v>54</v>
      </c>
      <c r="J58" s="19">
        <f>'$ Portfolio Loss'!$R58</f>
        <v>25.381080925219059</v>
      </c>
      <c r="L58">
        <v>54</v>
      </c>
      <c r="M58">
        <f>'$ Portfolio Loss'!$I53</f>
        <v>49</v>
      </c>
      <c r="N58" s="19">
        <f>'$ Portfolio Loss'!$R53</f>
        <v>13.239525945979596</v>
      </c>
      <c r="Q58">
        <v>55</v>
      </c>
      <c r="R58">
        <f t="shared" ca="1" si="0"/>
        <v>6.0586034746410622</v>
      </c>
    </row>
    <row r="59" spans="9:18" x14ac:dyDescent="0.3">
      <c r="I59">
        <f>'$ Portfolio Loss'!$I59</f>
        <v>55</v>
      </c>
      <c r="J59" s="19">
        <f>'$ Portfolio Loss'!$R59</f>
        <v>1.2156825145068169</v>
      </c>
      <c r="L59">
        <v>55</v>
      </c>
      <c r="M59">
        <f>'$ Portfolio Loss'!$I124</f>
        <v>120</v>
      </c>
      <c r="N59" s="19">
        <f>'$ Portfolio Loss'!$R124</f>
        <v>13.143827811648608</v>
      </c>
      <c r="Q59">
        <v>56</v>
      </c>
      <c r="R59">
        <f t="shared" ca="1" si="0"/>
        <v>-30.454573767324899</v>
      </c>
    </row>
    <row r="60" spans="9:18" x14ac:dyDescent="0.3">
      <c r="I60">
        <f>'$ Portfolio Loss'!$I60</f>
        <v>56</v>
      </c>
      <c r="J60" s="19">
        <f>'$ Portfolio Loss'!$R60</f>
        <v>-7.0147997055766584</v>
      </c>
      <c r="L60">
        <v>56</v>
      </c>
      <c r="M60">
        <f>'$ Portfolio Loss'!$I201</f>
        <v>197</v>
      </c>
      <c r="N60" s="19">
        <f>'$ Portfolio Loss'!$R201</f>
        <v>12.893032524746657</v>
      </c>
      <c r="Q60">
        <v>57</v>
      </c>
      <c r="R60">
        <f t="shared" ca="1" si="0"/>
        <v>-5.4067507180229484</v>
      </c>
    </row>
    <row r="61" spans="9:18" x14ac:dyDescent="0.3">
      <c r="I61">
        <f>'$ Portfolio Loss'!$I61</f>
        <v>57</v>
      </c>
      <c r="J61" s="19">
        <f>'$ Portfolio Loss'!$R61</f>
        <v>17.333299984312056</v>
      </c>
      <c r="L61">
        <v>57</v>
      </c>
      <c r="M61">
        <f>'$ Portfolio Loss'!$I101</f>
        <v>97</v>
      </c>
      <c r="N61" s="19">
        <f>'$ Portfolio Loss'!$R101</f>
        <v>12.85196009535265</v>
      </c>
      <c r="Q61">
        <v>58</v>
      </c>
      <c r="R61">
        <f t="shared" ca="1" si="0"/>
        <v>-21.228113448604521</v>
      </c>
    </row>
    <row r="62" spans="9:18" x14ac:dyDescent="0.3">
      <c r="I62">
        <f>'$ Portfolio Loss'!$I62</f>
        <v>58</v>
      </c>
      <c r="J62" s="19">
        <f>'$ Portfolio Loss'!$R62</f>
        <v>-12.994325704149485</v>
      </c>
      <c r="L62">
        <v>58</v>
      </c>
      <c r="M62">
        <f>'$ Portfolio Loss'!$I192</f>
        <v>188</v>
      </c>
      <c r="N62" s="19">
        <f>'$ Portfolio Loss'!$R192</f>
        <v>12.128498463487029</v>
      </c>
      <c r="Q62">
        <v>59</v>
      </c>
      <c r="R62">
        <f t="shared" ca="1" si="0"/>
        <v>-13.595490383950127</v>
      </c>
    </row>
    <row r="63" spans="9:18" x14ac:dyDescent="0.3">
      <c r="I63">
        <f>'$ Portfolio Loss'!$I63</f>
        <v>59</v>
      </c>
      <c r="J63" s="19">
        <f>'$ Portfolio Loss'!$R63</f>
        <v>-23.616506478227496</v>
      </c>
      <c r="L63">
        <v>59</v>
      </c>
      <c r="M63">
        <f>'$ Portfolio Loss'!$I303</f>
        <v>299</v>
      </c>
      <c r="N63" s="19">
        <f>'$ Portfolio Loss'!$R303</f>
        <v>11.598615172617793</v>
      </c>
      <c r="Q63">
        <v>60</v>
      </c>
      <c r="R63">
        <f t="shared" ca="1" si="0"/>
        <v>-42.204255563023182</v>
      </c>
    </row>
    <row r="64" spans="9:18" x14ac:dyDescent="0.3">
      <c r="I64">
        <f>'$ Portfolio Loss'!$I64</f>
        <v>60</v>
      </c>
      <c r="J64" s="19">
        <f>'$ Portfolio Loss'!$R64</f>
        <v>14.048489144422531</v>
      </c>
      <c r="L64">
        <v>60</v>
      </c>
      <c r="M64">
        <f>'$ Portfolio Loss'!$I102</f>
        <v>98</v>
      </c>
      <c r="N64" s="19">
        <f>'$ Portfolio Loss'!$R102</f>
        <v>11.510792895518064</v>
      </c>
      <c r="Q64">
        <v>61</v>
      </c>
      <c r="R64">
        <f t="shared" ca="1" si="0"/>
        <v>-50.915948315967945</v>
      </c>
    </row>
    <row r="65" spans="9:18" x14ac:dyDescent="0.3">
      <c r="I65">
        <f>'$ Portfolio Loss'!$I65</f>
        <v>61</v>
      </c>
      <c r="J65" s="19">
        <f>'$ Portfolio Loss'!$R65</f>
        <v>3.1979104333106281</v>
      </c>
      <c r="L65">
        <v>61</v>
      </c>
      <c r="M65">
        <f>'$ Portfolio Loss'!$I135</f>
        <v>131</v>
      </c>
      <c r="N65" s="19">
        <f>'$ Portfolio Loss'!$R135</f>
        <v>11.378802255985498</v>
      </c>
      <c r="Q65">
        <v>62</v>
      </c>
      <c r="R65">
        <f t="shared" ca="1" si="0"/>
        <v>40.420217706138416</v>
      </c>
    </row>
    <row r="66" spans="9:18" x14ac:dyDescent="0.3">
      <c r="I66">
        <f>'$ Portfolio Loss'!$I66</f>
        <v>62</v>
      </c>
      <c r="J66" s="19">
        <f>'$ Portfolio Loss'!$R66</f>
        <v>-0.58103953235650063</v>
      </c>
      <c r="L66">
        <v>62</v>
      </c>
      <c r="M66">
        <f>'$ Portfolio Loss'!$I31</f>
        <v>27</v>
      </c>
      <c r="N66" s="19">
        <f>'$ Portfolio Loss'!$R31</f>
        <v>11.163725752216219</v>
      </c>
      <c r="Q66">
        <v>63</v>
      </c>
      <c r="R66">
        <f t="shared" ca="1" si="0"/>
        <v>-4.8797010052404035</v>
      </c>
    </row>
    <row r="67" spans="9:18" x14ac:dyDescent="0.3">
      <c r="I67">
        <f>'$ Portfolio Loss'!$I67</f>
        <v>63</v>
      </c>
      <c r="J67" s="19">
        <f>'$ Portfolio Loss'!$R67</f>
        <v>-5.851985875431418</v>
      </c>
      <c r="L67">
        <v>63</v>
      </c>
      <c r="M67">
        <f>'$ Portfolio Loss'!$I87</f>
        <v>83</v>
      </c>
      <c r="N67" s="19">
        <f>'$ Portfolio Loss'!$R87</f>
        <v>11.12422852235961</v>
      </c>
      <c r="Q67">
        <v>64</v>
      </c>
      <c r="R67">
        <f t="shared" ca="1" si="0"/>
        <v>-57.020646864610974</v>
      </c>
    </row>
    <row r="68" spans="9:18" x14ac:dyDescent="0.3">
      <c r="I68">
        <f>'$ Portfolio Loss'!$I68</f>
        <v>64</v>
      </c>
      <c r="J68" s="19">
        <f>'$ Portfolio Loss'!$R68</f>
        <v>-18.67678621706915</v>
      </c>
      <c r="L68">
        <v>64</v>
      </c>
      <c r="M68">
        <f>'$ Portfolio Loss'!$I233</f>
        <v>229</v>
      </c>
      <c r="N68" s="19">
        <f>'$ Portfolio Loss'!$R233</f>
        <v>10.918395502117633</v>
      </c>
      <c r="Q68">
        <v>65</v>
      </c>
      <c r="R68">
        <f t="shared" ref="R68:R131" ca="1" si="5">_xlfn.NORM.INV(RAND(),$B$16,$B$17)</f>
        <v>1.3043903939673041</v>
      </c>
    </row>
    <row r="69" spans="9:18" x14ac:dyDescent="0.3">
      <c r="I69">
        <f>'$ Portfolio Loss'!$I69</f>
        <v>65</v>
      </c>
      <c r="J69" s="19">
        <f>'$ Portfolio Loss'!$R69</f>
        <v>2.0047194742708205</v>
      </c>
      <c r="L69">
        <v>65</v>
      </c>
      <c r="M69">
        <f>'$ Portfolio Loss'!$I108</f>
        <v>104</v>
      </c>
      <c r="N69" s="19">
        <f>'$ Portfolio Loss'!$R108</f>
        <v>10.844313215246796</v>
      </c>
      <c r="Q69">
        <v>66</v>
      </c>
      <c r="R69">
        <f t="shared" ca="1" si="5"/>
        <v>11.912848060784365</v>
      </c>
    </row>
    <row r="70" spans="9:18" x14ac:dyDescent="0.3">
      <c r="I70">
        <f>'$ Portfolio Loss'!$I70</f>
        <v>66</v>
      </c>
      <c r="J70" s="19">
        <f>'$ Portfolio Loss'!$R70</f>
        <v>19.948785491507412</v>
      </c>
      <c r="L70">
        <v>66</v>
      </c>
      <c r="M70">
        <f>'$ Portfolio Loss'!$I123</f>
        <v>119</v>
      </c>
      <c r="N70" s="19">
        <f>'$ Portfolio Loss'!$R123</f>
        <v>10.591087826389909</v>
      </c>
      <c r="Q70">
        <v>67</v>
      </c>
      <c r="R70">
        <f t="shared" ca="1" si="5"/>
        <v>-16.965755796128601</v>
      </c>
    </row>
    <row r="71" spans="9:18" x14ac:dyDescent="0.3">
      <c r="I71">
        <f>'$ Portfolio Loss'!$I71</f>
        <v>67</v>
      </c>
      <c r="J71" s="19">
        <f>'$ Portfolio Loss'!$R71</f>
        <v>3.9215579220541716</v>
      </c>
      <c r="L71">
        <v>67</v>
      </c>
      <c r="M71">
        <f>'$ Portfolio Loss'!$I156</f>
        <v>152</v>
      </c>
      <c r="N71" s="19">
        <f>'$ Portfolio Loss'!$R156</f>
        <v>10.380744744747162</v>
      </c>
      <c r="Q71">
        <v>68</v>
      </c>
      <c r="R71">
        <f t="shared" ca="1" si="5"/>
        <v>24.017097115230584</v>
      </c>
    </row>
    <row r="72" spans="9:18" x14ac:dyDescent="0.3">
      <c r="I72">
        <f>'$ Portfolio Loss'!$I72</f>
        <v>68</v>
      </c>
      <c r="J72" s="19">
        <f>'$ Portfolio Loss'!$R72</f>
        <v>21.053577494633199</v>
      </c>
      <c r="L72">
        <v>68</v>
      </c>
      <c r="M72">
        <f>'$ Portfolio Loss'!$I75</f>
        <v>71</v>
      </c>
      <c r="N72" s="19">
        <f>'$ Portfolio Loss'!$R75</f>
        <v>10.375335281963586</v>
      </c>
      <c r="Q72">
        <v>69</v>
      </c>
      <c r="R72">
        <f t="shared" ca="1" si="5"/>
        <v>-17.600248104664306</v>
      </c>
    </row>
    <row r="73" spans="9:18" x14ac:dyDescent="0.3">
      <c r="I73">
        <f>'$ Portfolio Loss'!$I73</f>
        <v>69</v>
      </c>
      <c r="J73" s="19">
        <f>'$ Portfolio Loss'!$R73</f>
        <v>-1.9209353026148082</v>
      </c>
      <c r="L73">
        <v>69</v>
      </c>
      <c r="M73">
        <f>'$ Portfolio Loss'!$I47</f>
        <v>43</v>
      </c>
      <c r="N73" s="19">
        <f>'$ Portfolio Loss'!$R47</f>
        <v>10.239611494979382</v>
      </c>
      <c r="Q73">
        <v>70</v>
      </c>
      <c r="R73">
        <f t="shared" ca="1" si="5"/>
        <v>25.54945642406804</v>
      </c>
    </row>
    <row r="74" spans="9:18" x14ac:dyDescent="0.3">
      <c r="I74">
        <f>'$ Portfolio Loss'!$I74</f>
        <v>70</v>
      </c>
      <c r="J74" s="19">
        <f>'$ Portfolio Loss'!$R74</f>
        <v>-7.2655913306410316</v>
      </c>
      <c r="L74">
        <v>70</v>
      </c>
      <c r="M74">
        <f>'$ Portfolio Loss'!$I249</f>
        <v>245</v>
      </c>
      <c r="N74" s="19">
        <f>'$ Portfolio Loss'!$R249</f>
        <v>10.167197428786158</v>
      </c>
      <c r="Q74">
        <v>71</v>
      </c>
      <c r="R74">
        <f t="shared" ca="1" si="5"/>
        <v>3.7670226097430604</v>
      </c>
    </row>
    <row r="75" spans="9:18" x14ac:dyDescent="0.3">
      <c r="I75">
        <f>'$ Portfolio Loss'!$I75</f>
        <v>71</v>
      </c>
      <c r="J75" s="19">
        <f>'$ Portfolio Loss'!$R75</f>
        <v>10.375335281963586</v>
      </c>
      <c r="L75">
        <v>71</v>
      </c>
      <c r="M75">
        <f>'$ Portfolio Loss'!$I165</f>
        <v>161</v>
      </c>
      <c r="N75" s="19">
        <f>'$ Portfolio Loss'!$R165</f>
        <v>9.992086916080952</v>
      </c>
      <c r="Q75">
        <v>72</v>
      </c>
      <c r="R75">
        <f t="shared" ca="1" si="5"/>
        <v>4.3155925764090481</v>
      </c>
    </row>
    <row r="76" spans="9:18" x14ac:dyDescent="0.3">
      <c r="I76">
        <f>'$ Portfolio Loss'!$I76</f>
        <v>72</v>
      </c>
      <c r="J76" s="19">
        <f>'$ Portfolio Loss'!$R76</f>
        <v>-13.517766179144145</v>
      </c>
      <c r="L76">
        <v>72</v>
      </c>
      <c r="M76">
        <f>'$ Portfolio Loss'!$I191</f>
        <v>187</v>
      </c>
      <c r="N76" s="19">
        <f>'$ Portfolio Loss'!$R191</f>
        <v>9.6870527339353565</v>
      </c>
      <c r="Q76">
        <v>73</v>
      </c>
      <c r="R76">
        <f t="shared" ca="1" si="5"/>
        <v>-22.384404728133028</v>
      </c>
    </row>
    <row r="77" spans="9:18" x14ac:dyDescent="0.3">
      <c r="I77">
        <f>'$ Portfolio Loss'!$I77</f>
        <v>73</v>
      </c>
      <c r="J77" s="19">
        <f>'$ Portfolio Loss'!$R77</f>
        <v>-20.725827652657628</v>
      </c>
      <c r="L77">
        <v>73</v>
      </c>
      <c r="M77">
        <f>'$ Portfolio Loss'!$I247</f>
        <v>243</v>
      </c>
      <c r="N77" s="19">
        <f>'$ Portfolio Loss'!$R247</f>
        <v>9.6327890766043662</v>
      </c>
      <c r="Q77">
        <v>74</v>
      </c>
      <c r="R77">
        <f t="shared" ca="1" si="5"/>
        <v>-27.977744311792101</v>
      </c>
    </row>
    <row r="78" spans="9:18" x14ac:dyDescent="0.3">
      <c r="I78">
        <f>'$ Portfolio Loss'!$I78</f>
        <v>74</v>
      </c>
      <c r="J78" s="19">
        <f>'$ Portfolio Loss'!$R78</f>
        <v>-25.412725352409364</v>
      </c>
      <c r="L78">
        <v>74</v>
      </c>
      <c r="M78">
        <f>'$ Portfolio Loss'!$I30</f>
        <v>26</v>
      </c>
      <c r="N78" s="19">
        <f>'$ Portfolio Loss'!$R30</f>
        <v>9.5804998320612906</v>
      </c>
      <c r="Q78">
        <v>75</v>
      </c>
      <c r="R78">
        <f t="shared" ca="1" si="5"/>
        <v>-9.3161717469219116</v>
      </c>
    </row>
    <row r="79" spans="9:18" x14ac:dyDescent="0.3">
      <c r="I79">
        <f>'$ Portfolio Loss'!$I79</f>
        <v>75</v>
      </c>
      <c r="J79" s="19">
        <f>'$ Portfolio Loss'!$R79</f>
        <v>-4.4704730498918295</v>
      </c>
      <c r="L79">
        <v>75</v>
      </c>
      <c r="M79">
        <f>'$ Portfolio Loss'!$I263</f>
        <v>259</v>
      </c>
      <c r="N79" s="19">
        <f>'$ Portfolio Loss'!$R263</f>
        <v>9.5313302291131023</v>
      </c>
      <c r="Q79">
        <v>76</v>
      </c>
      <c r="R79">
        <f t="shared" ca="1" si="5"/>
        <v>-1.2067552634866603</v>
      </c>
    </row>
    <row r="80" spans="9:18" x14ac:dyDescent="0.3">
      <c r="I80">
        <f>'$ Portfolio Loss'!$I80</f>
        <v>76</v>
      </c>
      <c r="J80" s="19">
        <f>'$ Portfolio Loss'!$R80</f>
        <v>-26.464903616825939</v>
      </c>
      <c r="L80">
        <v>76</v>
      </c>
      <c r="M80">
        <f>'$ Portfolio Loss'!$I257</f>
        <v>253</v>
      </c>
      <c r="N80" s="19">
        <f>'$ Portfolio Loss'!$R257</f>
        <v>9.4702418726385833</v>
      </c>
      <c r="Q80">
        <v>77</v>
      </c>
      <c r="R80">
        <f t="shared" ca="1" si="5"/>
        <v>7.9485478581806355</v>
      </c>
    </row>
    <row r="81" spans="9:18" x14ac:dyDescent="0.3">
      <c r="I81">
        <f>'$ Portfolio Loss'!$I81</f>
        <v>77</v>
      </c>
      <c r="J81" s="19">
        <f>'$ Portfolio Loss'!$R81</f>
        <v>-3.195940716852784</v>
      </c>
      <c r="L81">
        <v>77</v>
      </c>
      <c r="M81">
        <f>'$ Portfolio Loss'!$I197</f>
        <v>193</v>
      </c>
      <c r="N81" s="19">
        <f>'$ Portfolio Loss'!$R197</f>
        <v>9.446613784752012</v>
      </c>
      <c r="Q81">
        <v>78</v>
      </c>
      <c r="R81">
        <f t="shared" ca="1" si="5"/>
        <v>22.143121721064439</v>
      </c>
    </row>
    <row r="82" spans="9:18" x14ac:dyDescent="0.3">
      <c r="I82">
        <f>'$ Portfolio Loss'!$I82</f>
        <v>78</v>
      </c>
      <c r="J82" s="19">
        <f>'$ Portfolio Loss'!$R82</f>
        <v>1.0862364976127148</v>
      </c>
      <c r="L82">
        <v>78</v>
      </c>
      <c r="M82">
        <f>'$ Portfolio Loss'!$I287</f>
        <v>283</v>
      </c>
      <c r="N82" s="19">
        <f>'$ Portfolio Loss'!$R287</f>
        <v>8.8809855514571669</v>
      </c>
      <c r="Q82">
        <v>79</v>
      </c>
      <c r="R82">
        <f t="shared" ca="1" si="5"/>
        <v>20.374071545141703</v>
      </c>
    </row>
    <row r="83" spans="9:18" x14ac:dyDescent="0.3">
      <c r="I83">
        <f>'$ Portfolio Loss'!$I83</f>
        <v>79</v>
      </c>
      <c r="J83" s="19">
        <f>'$ Portfolio Loss'!$R83</f>
        <v>-26.546646925997972</v>
      </c>
      <c r="L83">
        <v>79</v>
      </c>
      <c r="M83">
        <f>'$ Portfolio Loss'!$I299</f>
        <v>295</v>
      </c>
      <c r="N83" s="19">
        <f>'$ Portfolio Loss'!$R299</f>
        <v>8.6976424350928063</v>
      </c>
      <c r="Q83">
        <v>80</v>
      </c>
      <c r="R83">
        <f t="shared" ca="1" si="5"/>
        <v>5.4936339713721312</v>
      </c>
    </row>
    <row r="84" spans="9:18" x14ac:dyDescent="0.3">
      <c r="I84">
        <f>'$ Portfolio Loss'!$I84</f>
        <v>80</v>
      </c>
      <c r="J84" s="19">
        <f>'$ Portfolio Loss'!$R84</f>
        <v>-18.318249789217354</v>
      </c>
      <c r="L84">
        <v>80</v>
      </c>
      <c r="M84">
        <f>'$ Portfolio Loss'!$I7</f>
        <v>3</v>
      </c>
      <c r="N84" s="19">
        <f>'$ Portfolio Loss'!$R7</f>
        <v>8.6898776253383154</v>
      </c>
      <c r="Q84">
        <v>81</v>
      </c>
      <c r="R84">
        <f t="shared" ca="1" si="5"/>
        <v>-25.775280457921198</v>
      </c>
    </row>
    <row r="85" spans="9:18" x14ac:dyDescent="0.3">
      <c r="I85">
        <f>'$ Portfolio Loss'!$I85</f>
        <v>81</v>
      </c>
      <c r="J85" s="19">
        <f>'$ Portfolio Loss'!$R85</f>
        <v>-4.4008056924371717</v>
      </c>
      <c r="L85">
        <v>81</v>
      </c>
      <c r="M85">
        <f>'$ Portfolio Loss'!$I16</f>
        <v>12</v>
      </c>
      <c r="N85" s="19">
        <f>'$ Portfolio Loss'!$R16</f>
        <v>8.495230763407827</v>
      </c>
      <c r="Q85">
        <v>82</v>
      </c>
      <c r="R85">
        <f t="shared" ca="1" si="5"/>
        <v>8.6003976167839529</v>
      </c>
    </row>
    <row r="86" spans="9:18" x14ac:dyDescent="0.3">
      <c r="I86">
        <f>'$ Portfolio Loss'!$I86</f>
        <v>82</v>
      </c>
      <c r="J86" s="19">
        <f>'$ Portfolio Loss'!$R86</f>
        <v>7.0684897019234896</v>
      </c>
      <c r="L86">
        <v>82</v>
      </c>
      <c r="M86">
        <f>'$ Portfolio Loss'!$I246</f>
        <v>242</v>
      </c>
      <c r="N86" s="19">
        <f>'$ Portfolio Loss'!$R246</f>
        <v>8.4238354440810674</v>
      </c>
      <c r="Q86">
        <v>83</v>
      </c>
      <c r="R86">
        <f t="shared" ca="1" si="5"/>
        <v>-9.7174535291671766</v>
      </c>
    </row>
    <row r="87" spans="9:18" x14ac:dyDescent="0.3">
      <c r="I87">
        <f>'$ Portfolio Loss'!$I87</f>
        <v>83</v>
      </c>
      <c r="J87" s="19">
        <f>'$ Portfolio Loss'!$R87</f>
        <v>11.12422852235961</v>
      </c>
      <c r="L87">
        <v>83</v>
      </c>
      <c r="M87">
        <f>'$ Portfolio Loss'!$I29</f>
        <v>25</v>
      </c>
      <c r="N87" s="19">
        <f>'$ Portfolio Loss'!$R29</f>
        <v>7.8661047735856773</v>
      </c>
      <c r="Q87">
        <v>84</v>
      </c>
      <c r="R87">
        <f t="shared" ca="1" si="5"/>
        <v>12.270052496296394</v>
      </c>
    </row>
    <row r="88" spans="9:18" x14ac:dyDescent="0.3">
      <c r="I88">
        <f>'$ Portfolio Loss'!$I88</f>
        <v>84</v>
      </c>
      <c r="J88" s="19">
        <f>'$ Portfolio Loss'!$R88</f>
        <v>-16.861863612771629</v>
      </c>
      <c r="L88">
        <v>84</v>
      </c>
      <c r="M88">
        <f>'$ Portfolio Loss'!$I250</f>
        <v>246</v>
      </c>
      <c r="N88" s="19">
        <f>'$ Portfolio Loss'!$R250</f>
        <v>7.7441872217566967</v>
      </c>
      <c r="Q88">
        <v>85</v>
      </c>
      <c r="R88">
        <f t="shared" ca="1" si="5"/>
        <v>-6.1345247400317904</v>
      </c>
    </row>
    <row r="89" spans="9:18" x14ac:dyDescent="0.3">
      <c r="I89">
        <f>'$ Portfolio Loss'!$I89</f>
        <v>85</v>
      </c>
      <c r="J89" s="19">
        <f>'$ Portfolio Loss'!$R89</f>
        <v>-22.804240996327163</v>
      </c>
      <c r="L89">
        <v>85</v>
      </c>
      <c r="M89">
        <f>'$ Portfolio Loss'!$I315</f>
        <v>311</v>
      </c>
      <c r="N89" s="19">
        <f>'$ Portfolio Loss'!$R315</f>
        <v>7.7403118931996824</v>
      </c>
      <c r="Q89">
        <v>86</v>
      </c>
      <c r="R89">
        <f t="shared" ca="1" si="5"/>
        <v>32.161630273124317</v>
      </c>
    </row>
    <row r="90" spans="9:18" x14ac:dyDescent="0.3">
      <c r="I90">
        <f>'$ Portfolio Loss'!$I90</f>
        <v>86</v>
      </c>
      <c r="J90" s="19">
        <f>'$ Portfolio Loss'!$R90</f>
        <v>-8.741113230062961</v>
      </c>
      <c r="L90">
        <v>86</v>
      </c>
      <c r="M90">
        <f>'$ Portfolio Loss'!$I136</f>
        <v>132</v>
      </c>
      <c r="N90" s="19">
        <f>'$ Portfolio Loss'!$R136</f>
        <v>7.4808611849004034</v>
      </c>
      <c r="Q90">
        <v>87</v>
      </c>
      <c r="R90">
        <f t="shared" ca="1" si="5"/>
        <v>1.292333079443136</v>
      </c>
    </row>
    <row r="91" spans="9:18" x14ac:dyDescent="0.3">
      <c r="I91">
        <f>'$ Portfolio Loss'!$I91</f>
        <v>87</v>
      </c>
      <c r="J91" s="19">
        <f>'$ Portfolio Loss'!$R91</f>
        <v>1.362785347337842</v>
      </c>
      <c r="L91">
        <v>87</v>
      </c>
      <c r="M91">
        <f>'$ Portfolio Loss'!$I256</f>
        <v>252</v>
      </c>
      <c r="N91" s="19">
        <f>'$ Portfolio Loss'!$R256</f>
        <v>7.2358253656623361</v>
      </c>
      <c r="Q91">
        <v>88</v>
      </c>
      <c r="R91">
        <f t="shared" ca="1" si="5"/>
        <v>-3.5951872686690134</v>
      </c>
    </row>
    <row r="92" spans="9:18" x14ac:dyDescent="0.3">
      <c r="I92">
        <f>'$ Portfolio Loss'!$I92</f>
        <v>88</v>
      </c>
      <c r="J92" s="19">
        <f>'$ Portfolio Loss'!$R92</f>
        <v>-16.309522718004228</v>
      </c>
      <c r="L92">
        <v>88</v>
      </c>
      <c r="M92">
        <f>'$ Portfolio Loss'!$I219</f>
        <v>215</v>
      </c>
      <c r="N92" s="19">
        <f>'$ Portfolio Loss'!$R219</f>
        <v>7.0880049301949741</v>
      </c>
      <c r="Q92">
        <v>89</v>
      </c>
      <c r="R92">
        <f t="shared" ca="1" si="5"/>
        <v>-9.0376125109690371</v>
      </c>
    </row>
    <row r="93" spans="9:18" x14ac:dyDescent="0.3">
      <c r="I93">
        <f>'$ Portfolio Loss'!$I93</f>
        <v>89</v>
      </c>
      <c r="J93" s="19">
        <f>'$ Portfolio Loss'!$R93</f>
        <v>-10.577580103795887</v>
      </c>
      <c r="L93">
        <v>89</v>
      </c>
      <c r="M93">
        <f>'$ Portfolio Loss'!$I226</f>
        <v>222</v>
      </c>
      <c r="N93" s="19">
        <f>'$ Portfolio Loss'!$R226</f>
        <v>7.0863196069631575</v>
      </c>
      <c r="Q93">
        <v>90</v>
      </c>
      <c r="R93">
        <f t="shared" ca="1" si="5"/>
        <v>-3.899735973814245</v>
      </c>
    </row>
    <row r="94" spans="9:18" x14ac:dyDescent="0.3">
      <c r="I94">
        <f>'$ Portfolio Loss'!$I94</f>
        <v>90</v>
      </c>
      <c r="J94" s="19">
        <f>'$ Portfolio Loss'!$R94</f>
        <v>-4.8836940214740041</v>
      </c>
      <c r="L94">
        <v>90</v>
      </c>
      <c r="M94">
        <f>'$ Portfolio Loss'!$I86</f>
        <v>82</v>
      </c>
      <c r="N94" s="19">
        <f>'$ Portfolio Loss'!$R86</f>
        <v>7.0684897019234896</v>
      </c>
      <c r="Q94">
        <v>91</v>
      </c>
      <c r="R94">
        <f t="shared" ca="1" si="5"/>
        <v>11.483313314012538</v>
      </c>
    </row>
    <row r="95" spans="9:18" x14ac:dyDescent="0.3">
      <c r="I95">
        <f>'$ Portfolio Loss'!$I95</f>
        <v>91</v>
      </c>
      <c r="J95" s="19">
        <f>'$ Portfolio Loss'!$R95</f>
        <v>23.704043288554072</v>
      </c>
      <c r="L95">
        <v>91</v>
      </c>
      <c r="M95">
        <f>'$ Portfolio Loss'!$I230</f>
        <v>226</v>
      </c>
      <c r="N95" s="19">
        <f>'$ Portfolio Loss'!$R230</f>
        <v>7.0584059355471132</v>
      </c>
      <c r="Q95">
        <v>92</v>
      </c>
      <c r="R95">
        <f t="shared" ca="1" si="5"/>
        <v>30.187937951795472</v>
      </c>
    </row>
    <row r="96" spans="9:18" x14ac:dyDescent="0.3">
      <c r="I96">
        <f>'$ Portfolio Loss'!$I96</f>
        <v>92</v>
      </c>
      <c r="J96" s="19">
        <f>'$ Portfolio Loss'!$R96</f>
        <v>1.6216705546586514</v>
      </c>
      <c r="L96">
        <v>92</v>
      </c>
      <c r="M96">
        <f>'$ Portfolio Loss'!$I288</f>
        <v>284</v>
      </c>
      <c r="N96" s="19">
        <f>'$ Portfolio Loss'!$R288</f>
        <v>6.9207914344182013</v>
      </c>
      <c r="Q96">
        <v>93</v>
      </c>
      <c r="R96">
        <f t="shared" ca="1" si="5"/>
        <v>28.667770284940673</v>
      </c>
    </row>
    <row r="97" spans="9:18" x14ac:dyDescent="0.3">
      <c r="I97">
        <f>'$ Portfolio Loss'!$I97</f>
        <v>93</v>
      </c>
      <c r="J97" s="19">
        <f>'$ Portfolio Loss'!$R97</f>
        <v>18.041551644984246</v>
      </c>
      <c r="L97">
        <v>93</v>
      </c>
      <c r="M97">
        <f>'$ Portfolio Loss'!$I5</f>
        <v>1</v>
      </c>
      <c r="N97" s="19">
        <f>'$ Portfolio Loss'!$R5</f>
        <v>6.8680997198442224</v>
      </c>
      <c r="Q97">
        <v>94</v>
      </c>
      <c r="R97">
        <f t="shared" ca="1" si="5"/>
        <v>-9.6337166160616636</v>
      </c>
    </row>
    <row r="98" spans="9:18" x14ac:dyDescent="0.3">
      <c r="I98">
        <f>'$ Portfolio Loss'!$I98</f>
        <v>94</v>
      </c>
      <c r="J98" s="19">
        <f>'$ Portfolio Loss'!$R98</f>
        <v>15.28632989916408</v>
      </c>
      <c r="L98">
        <v>94</v>
      </c>
      <c r="M98">
        <f>'$ Portfolio Loss'!$I278</f>
        <v>274</v>
      </c>
      <c r="N98" s="19">
        <f>'$ Portfolio Loss'!$R278</f>
        <v>6.5116523689923289</v>
      </c>
      <c r="Q98">
        <v>95</v>
      </c>
      <c r="R98">
        <f t="shared" ca="1" si="5"/>
        <v>3.1989200995883751</v>
      </c>
    </row>
    <row r="99" spans="9:18" x14ac:dyDescent="0.3">
      <c r="I99">
        <f>'$ Portfolio Loss'!$I99</f>
        <v>95</v>
      </c>
      <c r="J99" s="19">
        <f>'$ Portfolio Loss'!$R99</f>
        <v>-13.067010090300679</v>
      </c>
      <c r="L99">
        <v>95</v>
      </c>
      <c r="M99">
        <f>'$ Portfolio Loss'!$I275</f>
        <v>271</v>
      </c>
      <c r="N99" s="19">
        <f>'$ Portfolio Loss'!$R275</f>
        <v>6.4209798290779592</v>
      </c>
      <c r="Q99">
        <v>96</v>
      </c>
      <c r="R99">
        <f t="shared" ca="1" si="5"/>
        <v>20.647740581012037</v>
      </c>
    </row>
    <row r="100" spans="9:18" x14ac:dyDescent="0.3">
      <c r="I100">
        <f>'$ Portfolio Loss'!$I100</f>
        <v>96</v>
      </c>
      <c r="J100" s="19">
        <f>'$ Portfolio Loss'!$R100</f>
        <v>18.658421639122366</v>
      </c>
      <c r="L100">
        <v>96</v>
      </c>
      <c r="M100">
        <f>'$ Portfolio Loss'!$I211</f>
        <v>207</v>
      </c>
      <c r="N100" s="19">
        <f>'$ Portfolio Loss'!$R211</f>
        <v>6.390181812355995</v>
      </c>
      <c r="Q100">
        <v>97</v>
      </c>
      <c r="R100">
        <f t="shared" ca="1" si="5"/>
        <v>0.15526777332078878</v>
      </c>
    </row>
    <row r="101" spans="9:18" x14ac:dyDescent="0.3">
      <c r="I101">
        <f>'$ Portfolio Loss'!$I101</f>
        <v>97</v>
      </c>
      <c r="J101" s="19">
        <f>'$ Portfolio Loss'!$R101</f>
        <v>12.85196009535265</v>
      </c>
      <c r="L101">
        <v>97</v>
      </c>
      <c r="M101">
        <f>'$ Portfolio Loss'!$I9</f>
        <v>5</v>
      </c>
      <c r="N101" s="19">
        <f>'$ Portfolio Loss'!$R9</f>
        <v>5.928020450423479</v>
      </c>
      <c r="Q101">
        <v>98</v>
      </c>
      <c r="R101">
        <f t="shared" ca="1" si="5"/>
        <v>-29.063551823893704</v>
      </c>
    </row>
    <row r="102" spans="9:18" x14ac:dyDescent="0.3">
      <c r="I102">
        <f>'$ Portfolio Loss'!$I102</f>
        <v>98</v>
      </c>
      <c r="J102" s="19">
        <f>'$ Portfolio Loss'!$R102</f>
        <v>11.510792895518064</v>
      </c>
      <c r="L102">
        <v>98</v>
      </c>
      <c r="M102">
        <f>'$ Portfolio Loss'!$I151</f>
        <v>147</v>
      </c>
      <c r="N102" s="19">
        <f>'$ Portfolio Loss'!$R151</f>
        <v>5.9172103448091748</v>
      </c>
      <c r="Q102">
        <v>99</v>
      </c>
      <c r="R102">
        <f t="shared" ca="1" si="5"/>
        <v>-13.491927341214943</v>
      </c>
    </row>
    <row r="103" spans="9:18" x14ac:dyDescent="0.3">
      <c r="I103">
        <f>'$ Portfolio Loss'!$I103</f>
        <v>99</v>
      </c>
      <c r="J103" s="19">
        <f>'$ Portfolio Loss'!$R103</f>
        <v>-20.578442002954244</v>
      </c>
      <c r="L103">
        <v>99</v>
      </c>
      <c r="M103">
        <f>'$ Portfolio Loss'!$I269</f>
        <v>265</v>
      </c>
      <c r="N103" s="19">
        <f>'$ Portfolio Loss'!$R269</f>
        <v>5.9116436561235188</v>
      </c>
      <c r="Q103">
        <v>100</v>
      </c>
      <c r="R103">
        <f t="shared" ca="1" si="5"/>
        <v>-51.654115584883357</v>
      </c>
    </row>
    <row r="104" spans="9:18" x14ac:dyDescent="0.3">
      <c r="I104">
        <f>'$ Portfolio Loss'!$I104</f>
        <v>100</v>
      </c>
      <c r="J104" s="19">
        <f>'$ Portfolio Loss'!$R104</f>
        <v>-5.5001814809896947</v>
      </c>
      <c r="L104">
        <v>100</v>
      </c>
      <c r="M104">
        <f>'$ Portfolio Loss'!$I111</f>
        <v>107</v>
      </c>
      <c r="N104" s="19">
        <f>'$ Portfolio Loss'!$R111</f>
        <v>5.8914324648476839</v>
      </c>
      <c r="Q104">
        <v>101</v>
      </c>
      <c r="R104">
        <f t="shared" ca="1" si="5"/>
        <v>8.4441617144082066</v>
      </c>
    </row>
    <row r="105" spans="9:18" x14ac:dyDescent="0.3">
      <c r="I105">
        <f>'$ Portfolio Loss'!$I105</f>
        <v>101</v>
      </c>
      <c r="J105" s="19">
        <f>'$ Portfolio Loss'!$R105</f>
        <v>2.4370818478124141</v>
      </c>
      <c r="L105">
        <v>101</v>
      </c>
      <c r="M105">
        <f>'$ Portfolio Loss'!$I234</f>
        <v>230</v>
      </c>
      <c r="N105" s="19">
        <f>'$ Portfolio Loss'!$R234</f>
        <v>5.7465726095172167</v>
      </c>
      <c r="Q105">
        <v>102</v>
      </c>
      <c r="R105">
        <f t="shared" ca="1" si="5"/>
        <v>7.9081816183093974</v>
      </c>
    </row>
    <row r="106" spans="9:18" x14ac:dyDescent="0.3">
      <c r="I106">
        <f>'$ Portfolio Loss'!$I106</f>
        <v>102</v>
      </c>
      <c r="J106" s="19">
        <f>'$ Portfolio Loss'!$R106</f>
        <v>-4.0823420161374804</v>
      </c>
      <c r="L106">
        <v>102</v>
      </c>
      <c r="M106">
        <f>'$ Portfolio Loss'!$I39</f>
        <v>35</v>
      </c>
      <c r="N106" s="19">
        <f>'$ Portfolio Loss'!$R39</f>
        <v>5.6892253972493414</v>
      </c>
      <c r="Q106">
        <v>103</v>
      </c>
      <c r="R106">
        <f t="shared" ca="1" si="5"/>
        <v>2.3711576441459421</v>
      </c>
    </row>
    <row r="107" spans="9:18" x14ac:dyDescent="0.3">
      <c r="I107">
        <f>'$ Portfolio Loss'!$I107</f>
        <v>103</v>
      </c>
      <c r="J107" s="19">
        <f>'$ Portfolio Loss'!$R107</f>
        <v>5.5429098317619561</v>
      </c>
      <c r="L107">
        <v>103</v>
      </c>
      <c r="M107">
        <f>'$ Portfolio Loss'!$I217</f>
        <v>213</v>
      </c>
      <c r="N107" s="19">
        <f>'$ Portfolio Loss'!$R217</f>
        <v>5.6632082631509304</v>
      </c>
      <c r="Q107">
        <v>104</v>
      </c>
      <c r="R107">
        <f t="shared" ca="1" si="5"/>
        <v>-4.7084731006520331</v>
      </c>
    </row>
    <row r="108" spans="9:18" x14ac:dyDescent="0.3">
      <c r="I108">
        <f>'$ Portfolio Loss'!$I108</f>
        <v>104</v>
      </c>
      <c r="J108" s="19">
        <f>'$ Portfolio Loss'!$R108</f>
        <v>10.844313215246796</v>
      </c>
      <c r="L108">
        <v>104</v>
      </c>
      <c r="M108">
        <f>'$ Portfolio Loss'!$I107</f>
        <v>103</v>
      </c>
      <c r="N108" s="19">
        <f>'$ Portfolio Loss'!$R107</f>
        <v>5.5429098317619561</v>
      </c>
      <c r="Q108">
        <v>105</v>
      </c>
      <c r="R108">
        <f t="shared" ca="1" si="5"/>
        <v>-17.568233667379932</v>
      </c>
    </row>
    <row r="109" spans="9:18" x14ac:dyDescent="0.3">
      <c r="I109">
        <f>'$ Portfolio Loss'!$I109</f>
        <v>105</v>
      </c>
      <c r="J109" s="19">
        <f>'$ Portfolio Loss'!$R109</f>
        <v>13.548695775331259</v>
      </c>
      <c r="L109">
        <v>105</v>
      </c>
      <c r="M109">
        <f>'$ Portfolio Loss'!$I169</f>
        <v>165</v>
      </c>
      <c r="N109" s="19">
        <f>'$ Portfolio Loss'!$R169</f>
        <v>5.4625491786419156</v>
      </c>
      <c r="Q109">
        <v>106</v>
      </c>
      <c r="R109">
        <f t="shared" ca="1" si="5"/>
        <v>-31.509315821764005</v>
      </c>
    </row>
    <row r="110" spans="9:18" x14ac:dyDescent="0.3">
      <c r="I110">
        <f>'$ Portfolio Loss'!$I110</f>
        <v>106</v>
      </c>
      <c r="J110" s="19">
        <f>'$ Portfolio Loss'!$R110</f>
        <v>-10.386311795782447</v>
      </c>
      <c r="L110">
        <v>106</v>
      </c>
      <c r="M110">
        <f>'$ Portfolio Loss'!$I202</f>
        <v>198</v>
      </c>
      <c r="N110" s="19">
        <f>'$ Portfolio Loss'!$R202</f>
        <v>5.4121498699214454</v>
      </c>
      <c r="Q110">
        <v>107</v>
      </c>
      <c r="R110">
        <f t="shared" ca="1" si="5"/>
        <v>32.643371246181729</v>
      </c>
    </row>
    <row r="111" spans="9:18" x14ac:dyDescent="0.3">
      <c r="I111">
        <f>'$ Portfolio Loss'!$I111</f>
        <v>107</v>
      </c>
      <c r="J111" s="19">
        <f>'$ Portfolio Loss'!$R111</f>
        <v>5.8914324648476839</v>
      </c>
      <c r="L111">
        <v>107</v>
      </c>
      <c r="M111">
        <f>'$ Portfolio Loss'!$I126</f>
        <v>122</v>
      </c>
      <c r="N111" s="19">
        <f>'$ Portfolio Loss'!$R126</f>
        <v>5.2571686665446755</v>
      </c>
      <c r="Q111">
        <v>108</v>
      </c>
      <c r="R111">
        <f t="shared" ca="1" si="5"/>
        <v>-16.979103601258469</v>
      </c>
    </row>
    <row r="112" spans="9:18" x14ac:dyDescent="0.3">
      <c r="I112">
        <f>'$ Portfolio Loss'!$I112</f>
        <v>108</v>
      </c>
      <c r="J112" s="19">
        <f>'$ Portfolio Loss'!$R112</f>
        <v>2.2281088712741135</v>
      </c>
      <c r="L112">
        <v>108</v>
      </c>
      <c r="M112">
        <f>'$ Portfolio Loss'!$I52</f>
        <v>48</v>
      </c>
      <c r="N112" s="19">
        <f>'$ Portfolio Loss'!$R52</f>
        <v>5.2296468155839442</v>
      </c>
      <c r="Q112">
        <v>109</v>
      </c>
      <c r="R112">
        <f t="shared" ca="1" si="5"/>
        <v>-5.0216947178957181</v>
      </c>
    </row>
    <row r="113" spans="9:18" x14ac:dyDescent="0.3">
      <c r="I113">
        <f>'$ Portfolio Loss'!$I113</f>
        <v>109</v>
      </c>
      <c r="J113" s="19">
        <f>'$ Portfolio Loss'!$R113</f>
        <v>1.2898891789984703</v>
      </c>
      <c r="L113">
        <v>109</v>
      </c>
      <c r="M113">
        <f>'$ Portfolio Loss'!$I142</f>
        <v>138</v>
      </c>
      <c r="N113" s="19">
        <f>'$ Portfolio Loss'!$R142</f>
        <v>5.2158894560327527</v>
      </c>
      <c r="Q113">
        <v>110</v>
      </c>
      <c r="R113">
        <f t="shared" ca="1" si="5"/>
        <v>11.071903046157924</v>
      </c>
    </row>
    <row r="114" spans="9:18" x14ac:dyDescent="0.3">
      <c r="I114">
        <f>'$ Portfolio Loss'!$I114</f>
        <v>110</v>
      </c>
      <c r="J114" s="19">
        <f>'$ Portfolio Loss'!$R114</f>
        <v>-25.026891818968295</v>
      </c>
      <c r="L114">
        <v>110</v>
      </c>
      <c r="M114">
        <f>'$ Portfolio Loss'!$I155</f>
        <v>151</v>
      </c>
      <c r="N114" s="19">
        <f>'$ Portfolio Loss'!$R155</f>
        <v>5.1705666610068084</v>
      </c>
      <c r="Q114">
        <v>111</v>
      </c>
      <c r="R114">
        <f t="shared" ca="1" si="5"/>
        <v>4.0717777752187718</v>
      </c>
    </row>
    <row r="115" spans="9:18" x14ac:dyDescent="0.3">
      <c r="I115">
        <f>'$ Portfolio Loss'!$I115</f>
        <v>111</v>
      </c>
      <c r="J115" s="19">
        <f>'$ Portfolio Loss'!$R115</f>
        <v>16.667890549984811</v>
      </c>
      <c r="L115">
        <v>111</v>
      </c>
      <c r="M115">
        <f>'$ Portfolio Loss'!$I10</f>
        <v>6</v>
      </c>
      <c r="N115" s="19">
        <f>'$ Portfolio Loss'!$R10</f>
        <v>5.1544066681878569</v>
      </c>
      <c r="Q115">
        <v>112</v>
      </c>
      <c r="R115">
        <f t="shared" ca="1" si="5"/>
        <v>-2.8986499709116873</v>
      </c>
    </row>
    <row r="116" spans="9:18" x14ac:dyDescent="0.3">
      <c r="I116">
        <f>'$ Portfolio Loss'!$I116</f>
        <v>112</v>
      </c>
      <c r="J116" s="19">
        <f>'$ Portfolio Loss'!$R116</f>
        <v>1.6916453012752533</v>
      </c>
      <c r="L116">
        <v>112</v>
      </c>
      <c r="M116">
        <f>'$ Portfolio Loss'!$I194</f>
        <v>190</v>
      </c>
      <c r="N116" s="19">
        <f>'$ Portfolio Loss'!$R194</f>
        <v>5.0282356155427692</v>
      </c>
      <c r="Q116">
        <v>113</v>
      </c>
      <c r="R116">
        <f t="shared" ca="1" si="5"/>
        <v>-43.781087388757477</v>
      </c>
    </row>
    <row r="117" spans="9:18" x14ac:dyDescent="0.3">
      <c r="I117">
        <f>'$ Portfolio Loss'!$I117</f>
        <v>113</v>
      </c>
      <c r="J117" s="19">
        <f>'$ Portfolio Loss'!$R117</f>
        <v>-2.4921209119458196</v>
      </c>
      <c r="L117">
        <v>113</v>
      </c>
      <c r="M117">
        <f>'$ Portfolio Loss'!$I35</f>
        <v>31</v>
      </c>
      <c r="N117" s="19">
        <f>'$ Portfolio Loss'!$R35</f>
        <v>4.4963935196657179</v>
      </c>
      <c r="Q117">
        <v>114</v>
      </c>
      <c r="R117">
        <f t="shared" ca="1" si="5"/>
        <v>-48.208548456483847</v>
      </c>
    </row>
    <row r="118" spans="9:18" x14ac:dyDescent="0.3">
      <c r="I118">
        <f>'$ Portfolio Loss'!$I118</f>
        <v>114</v>
      </c>
      <c r="J118" s="19">
        <f>'$ Portfolio Loss'!$R118</f>
        <v>-1.8938405270482301</v>
      </c>
      <c r="L118">
        <v>114</v>
      </c>
      <c r="M118">
        <f>'$ Portfolio Loss'!$I158</f>
        <v>154</v>
      </c>
      <c r="N118" s="19">
        <f>'$ Portfolio Loss'!$R158</f>
        <v>4.2162779492958782</v>
      </c>
      <c r="Q118">
        <v>115</v>
      </c>
      <c r="R118">
        <f t="shared" ca="1" si="5"/>
        <v>1.7219736968470196</v>
      </c>
    </row>
    <row r="119" spans="9:18" x14ac:dyDescent="0.3">
      <c r="I119">
        <f>'$ Portfolio Loss'!$I119</f>
        <v>115</v>
      </c>
      <c r="J119" s="19">
        <f>'$ Portfolio Loss'!$R119</f>
        <v>24.063951138277172</v>
      </c>
      <c r="L119">
        <v>115</v>
      </c>
      <c r="M119">
        <f>'$ Portfolio Loss'!$I71</f>
        <v>67</v>
      </c>
      <c r="N119" s="19">
        <f>'$ Portfolio Loss'!$R71</f>
        <v>3.9215579220541716</v>
      </c>
      <c r="Q119">
        <v>116</v>
      </c>
      <c r="R119">
        <f t="shared" ca="1" si="5"/>
        <v>-4.0203089124421219</v>
      </c>
    </row>
    <row r="120" spans="9:18" x14ac:dyDescent="0.3">
      <c r="I120">
        <f>'$ Portfolio Loss'!$I120</f>
        <v>116</v>
      </c>
      <c r="J120" s="19">
        <f>'$ Portfolio Loss'!$R120</f>
        <v>-1.0407886129490138</v>
      </c>
      <c r="L120">
        <v>116</v>
      </c>
      <c r="M120">
        <f>'$ Portfolio Loss'!$I213</f>
        <v>209</v>
      </c>
      <c r="N120" s="19">
        <f>'$ Portfolio Loss'!$R213</f>
        <v>3.5106759211804865</v>
      </c>
      <c r="Q120">
        <v>117</v>
      </c>
      <c r="R120">
        <f t="shared" ca="1" si="5"/>
        <v>-9.9358249480642051</v>
      </c>
    </row>
    <row r="121" spans="9:18" x14ac:dyDescent="0.3">
      <c r="I121">
        <f>'$ Portfolio Loss'!$I121</f>
        <v>117</v>
      </c>
      <c r="J121" s="19">
        <f>'$ Portfolio Loss'!$R121</f>
        <v>-4.8534405007632975</v>
      </c>
      <c r="L121">
        <v>117</v>
      </c>
      <c r="M121">
        <f>'$ Portfolio Loss'!$I168</f>
        <v>164</v>
      </c>
      <c r="N121" s="19">
        <f>'$ Portfolio Loss'!$R168</f>
        <v>3.4745491986310482</v>
      </c>
      <c r="Q121">
        <v>118</v>
      </c>
      <c r="R121">
        <f t="shared" ca="1" si="5"/>
        <v>10.928682943547438</v>
      </c>
    </row>
    <row r="122" spans="9:18" x14ac:dyDescent="0.3">
      <c r="I122">
        <f>'$ Portfolio Loss'!$I122</f>
        <v>118</v>
      </c>
      <c r="J122" s="19">
        <f>'$ Portfolio Loss'!$R122</f>
        <v>-12.497816810507894</v>
      </c>
      <c r="L122">
        <v>118</v>
      </c>
      <c r="M122">
        <f>'$ Portfolio Loss'!$I12</f>
        <v>8</v>
      </c>
      <c r="N122" s="19">
        <f>'$ Portfolio Loss'!$R12</f>
        <v>3.2750483901110887</v>
      </c>
      <c r="Q122">
        <v>119</v>
      </c>
      <c r="R122">
        <f t="shared" ca="1" si="5"/>
        <v>16.315928851509447</v>
      </c>
    </row>
    <row r="123" spans="9:18" x14ac:dyDescent="0.3">
      <c r="I123">
        <f>'$ Portfolio Loss'!$I123</f>
        <v>119</v>
      </c>
      <c r="J123" s="19">
        <f>'$ Portfolio Loss'!$R123</f>
        <v>10.591087826389909</v>
      </c>
      <c r="L123">
        <v>119</v>
      </c>
      <c r="M123">
        <f>'$ Portfolio Loss'!$I65</f>
        <v>61</v>
      </c>
      <c r="N123" s="19">
        <f>'$ Portfolio Loss'!$R65</f>
        <v>3.1979104333106281</v>
      </c>
      <c r="Q123">
        <v>120</v>
      </c>
      <c r="R123">
        <f t="shared" ca="1" si="5"/>
        <v>-16.37852683804898</v>
      </c>
    </row>
    <row r="124" spans="9:18" x14ac:dyDescent="0.3">
      <c r="I124">
        <f>'$ Portfolio Loss'!$I124</f>
        <v>120</v>
      </c>
      <c r="J124" s="19">
        <f>'$ Portfolio Loss'!$R124</f>
        <v>13.143827811648608</v>
      </c>
      <c r="L124">
        <v>120</v>
      </c>
      <c r="M124">
        <f>'$ Portfolio Loss'!$I208</f>
        <v>204</v>
      </c>
      <c r="N124" s="19">
        <f>'$ Portfolio Loss'!$R208</f>
        <v>3.1429879986174107</v>
      </c>
      <c r="Q124">
        <v>121</v>
      </c>
      <c r="R124">
        <f t="shared" ca="1" si="5"/>
        <v>-2.7028951925686409</v>
      </c>
    </row>
    <row r="125" spans="9:18" x14ac:dyDescent="0.3">
      <c r="I125">
        <f>'$ Portfolio Loss'!$I125</f>
        <v>121</v>
      </c>
      <c r="J125" s="19">
        <f>'$ Portfolio Loss'!$R125</f>
        <v>-0.21201357117199898</v>
      </c>
      <c r="L125">
        <v>121</v>
      </c>
      <c r="M125">
        <f>'$ Portfolio Loss'!$I292</f>
        <v>288</v>
      </c>
      <c r="N125" s="19">
        <f>'$ Portfolio Loss'!$R292</f>
        <v>3.1015397080161571</v>
      </c>
      <c r="Q125">
        <v>122</v>
      </c>
      <c r="R125">
        <f t="shared" ca="1" si="5"/>
        <v>28.937266181436833</v>
      </c>
    </row>
    <row r="126" spans="9:18" x14ac:dyDescent="0.3">
      <c r="I126">
        <f>'$ Portfolio Loss'!$I126</f>
        <v>122</v>
      </c>
      <c r="J126" s="19">
        <f>'$ Portfolio Loss'!$R126</f>
        <v>5.2571686665446755</v>
      </c>
      <c r="L126">
        <v>122</v>
      </c>
      <c r="M126">
        <f>'$ Portfolio Loss'!$I145</f>
        <v>141</v>
      </c>
      <c r="N126" s="19">
        <f>'$ Portfolio Loss'!$R145</f>
        <v>2.9037208779170514</v>
      </c>
      <c r="Q126">
        <v>123</v>
      </c>
      <c r="R126">
        <f t="shared" ca="1" si="5"/>
        <v>-4.4931061148245677</v>
      </c>
    </row>
    <row r="127" spans="9:18" x14ac:dyDescent="0.3">
      <c r="I127">
        <f>'$ Portfolio Loss'!$I127</f>
        <v>123</v>
      </c>
      <c r="J127" s="19">
        <f>'$ Portfolio Loss'!$R127</f>
        <v>-20.398685759801388</v>
      </c>
      <c r="L127">
        <v>123</v>
      </c>
      <c r="M127">
        <f>'$ Portfolio Loss'!$I248</f>
        <v>244</v>
      </c>
      <c r="N127" s="19">
        <f>'$ Portfolio Loss'!$R248</f>
        <v>2.8145624972712993</v>
      </c>
      <c r="Q127">
        <v>124</v>
      </c>
      <c r="R127">
        <f t="shared" ca="1" si="5"/>
        <v>-10.524305555137611</v>
      </c>
    </row>
    <row r="128" spans="9:18" x14ac:dyDescent="0.3">
      <c r="I128">
        <f>'$ Portfolio Loss'!$I128</f>
        <v>124</v>
      </c>
      <c r="J128" s="19">
        <f>'$ Portfolio Loss'!$R128</f>
        <v>-22.168406727602004</v>
      </c>
      <c r="L128">
        <v>124</v>
      </c>
      <c r="M128">
        <f>'$ Portfolio Loss'!$I42</f>
        <v>38</v>
      </c>
      <c r="N128" s="19">
        <f>'$ Portfolio Loss'!$R42</f>
        <v>2.7809832864127157</v>
      </c>
      <c r="Q128">
        <v>125</v>
      </c>
      <c r="R128">
        <f t="shared" ca="1" si="5"/>
        <v>-2.8042947908690889</v>
      </c>
    </row>
    <row r="129" spans="9:18" x14ac:dyDescent="0.3">
      <c r="I129">
        <f>'$ Portfolio Loss'!$I129</f>
        <v>125</v>
      </c>
      <c r="J129" s="19">
        <f>'$ Portfolio Loss'!$R129</f>
        <v>17.235562308607339</v>
      </c>
      <c r="L129">
        <v>125</v>
      </c>
      <c r="M129">
        <f>'$ Portfolio Loss'!$I26</f>
        <v>22</v>
      </c>
      <c r="N129" s="19">
        <f>'$ Portfolio Loss'!$R26</f>
        <v>2.6968251211432217</v>
      </c>
      <c r="Q129">
        <v>126</v>
      </c>
      <c r="R129">
        <f t="shared" ca="1" si="5"/>
        <v>12.968803732420351</v>
      </c>
    </row>
    <row r="130" spans="9:18" x14ac:dyDescent="0.3">
      <c r="I130">
        <f>'$ Portfolio Loss'!$I130</f>
        <v>126</v>
      </c>
      <c r="J130" s="19">
        <f>'$ Portfolio Loss'!$R130</f>
        <v>15.124045667454482</v>
      </c>
      <c r="L130">
        <v>126</v>
      </c>
      <c r="M130">
        <f>'$ Portfolio Loss'!$I281</f>
        <v>277</v>
      </c>
      <c r="N130" s="19">
        <f>'$ Portfolio Loss'!$R281</f>
        <v>2.6493602277579309</v>
      </c>
      <c r="Q130">
        <v>127</v>
      </c>
      <c r="R130">
        <f t="shared" ca="1" si="5"/>
        <v>4.9620448277553963</v>
      </c>
    </row>
    <row r="131" spans="9:18" x14ac:dyDescent="0.3">
      <c r="I131">
        <f>'$ Portfolio Loss'!$I131</f>
        <v>127</v>
      </c>
      <c r="J131" s="19">
        <f>'$ Portfolio Loss'!$R131</f>
        <v>1.879678507516265</v>
      </c>
      <c r="L131">
        <v>127</v>
      </c>
      <c r="M131">
        <f>'$ Portfolio Loss'!$I236</f>
        <v>232</v>
      </c>
      <c r="N131" s="19">
        <f>'$ Portfolio Loss'!$R236</f>
        <v>2.6446405208693742</v>
      </c>
      <c r="Q131">
        <v>128</v>
      </c>
      <c r="R131">
        <f t="shared" ca="1" si="5"/>
        <v>31.649063481548129</v>
      </c>
    </row>
    <row r="132" spans="9:18" x14ac:dyDescent="0.3">
      <c r="I132">
        <f>'$ Portfolio Loss'!$I132</f>
        <v>128</v>
      </c>
      <c r="J132" s="19">
        <f>'$ Portfolio Loss'!$R132</f>
        <v>-1.0765972177073955</v>
      </c>
      <c r="L132">
        <v>128</v>
      </c>
      <c r="M132">
        <f>'$ Portfolio Loss'!$I241</f>
        <v>237</v>
      </c>
      <c r="N132" s="19">
        <f>'$ Portfolio Loss'!$R241</f>
        <v>2.5736759871299268</v>
      </c>
      <c r="Q132">
        <v>129</v>
      </c>
      <c r="R132">
        <f t="shared" ref="R132:R195" ca="1" si="6">_xlfn.NORM.INV(RAND(),$B$16,$B$17)</f>
        <v>2.361089558021904</v>
      </c>
    </row>
    <row r="133" spans="9:18" x14ac:dyDescent="0.3">
      <c r="I133">
        <f>'$ Portfolio Loss'!$I133</f>
        <v>129</v>
      </c>
      <c r="J133" s="19">
        <f>'$ Portfolio Loss'!$R133</f>
        <v>22.485592787600279</v>
      </c>
      <c r="L133">
        <v>129</v>
      </c>
      <c r="M133">
        <f>'$ Portfolio Loss'!$I222</f>
        <v>218</v>
      </c>
      <c r="N133" s="19">
        <f>'$ Portfolio Loss'!$R222</f>
        <v>2.4404297083393334</v>
      </c>
      <c r="Q133">
        <v>130</v>
      </c>
      <c r="R133">
        <f t="shared" ca="1" si="6"/>
        <v>8.4587483546786935</v>
      </c>
    </row>
    <row r="134" spans="9:18" x14ac:dyDescent="0.3">
      <c r="I134">
        <f>'$ Portfolio Loss'!$I134</f>
        <v>130</v>
      </c>
      <c r="J134" s="19">
        <f>'$ Portfolio Loss'!$R134</f>
        <v>-15.345720369394542</v>
      </c>
      <c r="L134">
        <v>130</v>
      </c>
      <c r="M134">
        <f>'$ Portfolio Loss'!$I105</f>
        <v>101</v>
      </c>
      <c r="N134" s="19">
        <f>'$ Portfolio Loss'!$R105</f>
        <v>2.4370818478124141</v>
      </c>
      <c r="Q134">
        <v>131</v>
      </c>
      <c r="R134">
        <f t="shared" ca="1" si="6"/>
        <v>-18.618186826774465</v>
      </c>
    </row>
    <row r="135" spans="9:18" x14ac:dyDescent="0.3">
      <c r="I135">
        <f>'$ Portfolio Loss'!$I135</f>
        <v>131</v>
      </c>
      <c r="J135" s="19">
        <f>'$ Portfolio Loss'!$R135</f>
        <v>11.378802255985498</v>
      </c>
      <c r="L135">
        <v>131</v>
      </c>
      <c r="M135">
        <f>'$ Portfolio Loss'!$I284</f>
        <v>280</v>
      </c>
      <c r="N135" s="19">
        <f>'$ Portfolio Loss'!$R284</f>
        <v>2.4066521943788528</v>
      </c>
      <c r="Q135">
        <v>132</v>
      </c>
      <c r="R135">
        <f t="shared" ca="1" si="6"/>
        <v>7.8684728552052459</v>
      </c>
    </row>
    <row r="136" spans="9:18" x14ac:dyDescent="0.3">
      <c r="I136">
        <f>'$ Portfolio Loss'!$I136</f>
        <v>132</v>
      </c>
      <c r="J136" s="19">
        <f>'$ Portfolio Loss'!$R136</f>
        <v>7.4808611849004034</v>
      </c>
      <c r="L136">
        <v>132</v>
      </c>
      <c r="M136">
        <f>'$ Portfolio Loss'!$I44</f>
        <v>40</v>
      </c>
      <c r="N136" s="19">
        <f>'$ Portfolio Loss'!$R44</f>
        <v>2.3835503987958431</v>
      </c>
      <c r="Q136">
        <v>133</v>
      </c>
      <c r="R136">
        <f t="shared" ca="1" si="6"/>
        <v>25.676699937456906</v>
      </c>
    </row>
    <row r="137" spans="9:18" x14ac:dyDescent="0.3">
      <c r="I137">
        <f>'$ Portfolio Loss'!$I137</f>
        <v>133</v>
      </c>
      <c r="J137" s="19">
        <f>'$ Portfolio Loss'!$R137</f>
        <v>19.780622694604872</v>
      </c>
      <c r="L137">
        <v>133</v>
      </c>
      <c r="M137">
        <f>'$ Portfolio Loss'!$I237</f>
        <v>233</v>
      </c>
      <c r="N137" s="19">
        <f>'$ Portfolio Loss'!$R237</f>
        <v>2.3624773724523784</v>
      </c>
      <c r="Q137">
        <v>134</v>
      </c>
      <c r="R137">
        <f t="shared" ca="1" si="6"/>
        <v>6.3713760553730214</v>
      </c>
    </row>
    <row r="138" spans="9:18" x14ac:dyDescent="0.3">
      <c r="I138">
        <f>'$ Portfolio Loss'!$I138</f>
        <v>134</v>
      </c>
      <c r="J138" s="19">
        <f>'$ Portfolio Loss'!$R138</f>
        <v>-0.38919571477603915</v>
      </c>
      <c r="L138">
        <v>134</v>
      </c>
      <c r="M138">
        <f>'$ Portfolio Loss'!$I112</f>
        <v>108</v>
      </c>
      <c r="N138" s="19">
        <f>'$ Portfolio Loss'!$R112</f>
        <v>2.2281088712741135</v>
      </c>
      <c r="Q138">
        <v>135</v>
      </c>
      <c r="R138">
        <f t="shared" ca="1" si="6"/>
        <v>19.202117992291381</v>
      </c>
    </row>
    <row r="139" spans="9:18" x14ac:dyDescent="0.3">
      <c r="I139">
        <f>'$ Portfolio Loss'!$I139</f>
        <v>135</v>
      </c>
      <c r="J139" s="19">
        <f>'$ Portfolio Loss'!$R139</f>
        <v>-8.3299723260117773</v>
      </c>
      <c r="L139">
        <v>135</v>
      </c>
      <c r="M139">
        <f>'$ Portfolio Loss'!$I261</f>
        <v>257</v>
      </c>
      <c r="N139" s="19">
        <f>'$ Portfolio Loss'!$R261</f>
        <v>2.2080332035858632</v>
      </c>
      <c r="Q139">
        <v>136</v>
      </c>
      <c r="R139">
        <f t="shared" ca="1" si="6"/>
        <v>-23.075491700836725</v>
      </c>
    </row>
    <row r="140" spans="9:18" x14ac:dyDescent="0.3">
      <c r="I140">
        <f>'$ Portfolio Loss'!$I140</f>
        <v>136</v>
      </c>
      <c r="J140" s="19">
        <f>'$ Portfolio Loss'!$R140</f>
        <v>14.959071369357108</v>
      </c>
      <c r="L140">
        <v>136</v>
      </c>
      <c r="M140">
        <f>'$ Portfolio Loss'!$I220</f>
        <v>216</v>
      </c>
      <c r="N140" s="19">
        <f>'$ Portfolio Loss'!$R220</f>
        <v>2.0268135219905377</v>
      </c>
      <c r="Q140">
        <v>137</v>
      </c>
      <c r="R140">
        <f t="shared" ca="1" si="6"/>
        <v>-5.7399284788281921</v>
      </c>
    </row>
    <row r="141" spans="9:18" x14ac:dyDescent="0.3">
      <c r="I141">
        <f>'$ Portfolio Loss'!$I141</f>
        <v>137</v>
      </c>
      <c r="J141" s="19">
        <f>'$ Portfolio Loss'!$R141</f>
        <v>-20.990408181898953</v>
      </c>
      <c r="L141">
        <v>137</v>
      </c>
      <c r="M141">
        <f>'$ Portfolio Loss'!$I27</f>
        <v>23</v>
      </c>
      <c r="N141" s="19">
        <f>'$ Portfolio Loss'!$R27</f>
        <v>2.0132931568976642</v>
      </c>
      <c r="Q141">
        <v>138</v>
      </c>
      <c r="R141">
        <f t="shared" ca="1" si="6"/>
        <v>7.8022203473999543</v>
      </c>
    </row>
    <row r="142" spans="9:18" x14ac:dyDescent="0.3">
      <c r="I142">
        <f>'$ Portfolio Loss'!$I142</f>
        <v>138</v>
      </c>
      <c r="J142" s="19">
        <f>'$ Portfolio Loss'!$R142</f>
        <v>5.2158894560327527</v>
      </c>
      <c r="L142">
        <v>138</v>
      </c>
      <c r="M142">
        <f>'$ Portfolio Loss'!$I69</f>
        <v>65</v>
      </c>
      <c r="N142" s="19">
        <f>'$ Portfolio Loss'!$R69</f>
        <v>2.0047194742708205</v>
      </c>
      <c r="Q142">
        <v>139</v>
      </c>
      <c r="R142">
        <f t="shared" ca="1" si="6"/>
        <v>2.1997725111479411</v>
      </c>
    </row>
    <row r="143" spans="9:18" x14ac:dyDescent="0.3">
      <c r="I143">
        <f>'$ Portfolio Loss'!$I143</f>
        <v>139</v>
      </c>
      <c r="J143" s="19">
        <f>'$ Portfolio Loss'!$R143</f>
        <v>16.857227163432956</v>
      </c>
      <c r="L143">
        <v>139</v>
      </c>
      <c r="M143">
        <f>'$ Portfolio Loss'!$I131</f>
        <v>127</v>
      </c>
      <c r="N143" s="19">
        <f>'$ Portfolio Loss'!$R131</f>
        <v>1.879678507516265</v>
      </c>
      <c r="Q143">
        <v>140</v>
      </c>
      <c r="R143">
        <f t="shared" ca="1" si="6"/>
        <v>-22.972076589349939</v>
      </c>
    </row>
    <row r="144" spans="9:18" x14ac:dyDescent="0.3">
      <c r="I144">
        <f>'$ Portfolio Loss'!$I144</f>
        <v>140</v>
      </c>
      <c r="J144" s="19">
        <f>'$ Portfolio Loss'!$R144</f>
        <v>13.970099982157826</v>
      </c>
      <c r="L144">
        <v>140</v>
      </c>
      <c r="M144">
        <f>'$ Portfolio Loss'!$I244</f>
        <v>240</v>
      </c>
      <c r="N144" s="19">
        <f>'$ Portfolio Loss'!$R244</f>
        <v>1.758921609448552</v>
      </c>
      <c r="Q144">
        <v>141</v>
      </c>
      <c r="R144">
        <f t="shared" ca="1" si="6"/>
        <v>-11.243571550020093</v>
      </c>
    </row>
    <row r="145" spans="9:18" x14ac:dyDescent="0.3">
      <c r="I145">
        <f>'$ Portfolio Loss'!$I145</f>
        <v>141</v>
      </c>
      <c r="J145" s="19">
        <f>'$ Portfolio Loss'!$R145</f>
        <v>2.9037208779170514</v>
      </c>
      <c r="L145">
        <v>141</v>
      </c>
      <c r="M145">
        <f>'$ Portfolio Loss'!$I116</f>
        <v>112</v>
      </c>
      <c r="N145" s="19">
        <f>'$ Portfolio Loss'!$R116</f>
        <v>1.6916453012752533</v>
      </c>
      <c r="Q145">
        <v>142</v>
      </c>
      <c r="R145">
        <f t="shared" ca="1" si="6"/>
        <v>36.244215518345385</v>
      </c>
    </row>
    <row r="146" spans="9:18" x14ac:dyDescent="0.3">
      <c r="I146">
        <f>'$ Portfolio Loss'!$I146</f>
        <v>142</v>
      </c>
      <c r="J146" s="19">
        <f>'$ Portfolio Loss'!$R146</f>
        <v>-13.744136780299664</v>
      </c>
      <c r="L146">
        <v>142</v>
      </c>
      <c r="M146">
        <f>'$ Portfolio Loss'!$I96</f>
        <v>92</v>
      </c>
      <c r="N146" s="19">
        <f>'$ Portfolio Loss'!$R96</f>
        <v>1.6216705546586514</v>
      </c>
      <c r="Q146">
        <v>143</v>
      </c>
      <c r="R146">
        <f t="shared" ca="1" si="6"/>
        <v>-3.9576058946330201</v>
      </c>
    </row>
    <row r="147" spans="9:18" x14ac:dyDescent="0.3">
      <c r="I147">
        <f>'$ Portfolio Loss'!$I147</f>
        <v>143</v>
      </c>
      <c r="J147" s="19">
        <f>'$ Portfolio Loss'!$R147</f>
        <v>0.24628337618780136</v>
      </c>
      <c r="L147">
        <v>143</v>
      </c>
      <c r="M147">
        <f>'$ Portfolio Loss'!$I91</f>
        <v>87</v>
      </c>
      <c r="N147" s="19">
        <f>'$ Portfolio Loss'!$R91</f>
        <v>1.362785347337842</v>
      </c>
      <c r="Q147">
        <v>144</v>
      </c>
      <c r="R147">
        <f t="shared" ca="1" si="6"/>
        <v>-31.281187893467443</v>
      </c>
    </row>
    <row r="148" spans="9:18" x14ac:dyDescent="0.3">
      <c r="I148">
        <f>'$ Portfolio Loss'!$I148</f>
        <v>144</v>
      </c>
      <c r="J148" s="19">
        <f>'$ Portfolio Loss'!$R148</f>
        <v>-13.550510841892242</v>
      </c>
      <c r="L148">
        <v>144</v>
      </c>
      <c r="M148">
        <f>'$ Portfolio Loss'!$I195</f>
        <v>191</v>
      </c>
      <c r="N148" s="19">
        <f>'$ Portfolio Loss'!$R195</f>
        <v>1.2934427137962581</v>
      </c>
      <c r="Q148">
        <v>145</v>
      </c>
      <c r="R148">
        <f t="shared" ca="1" si="6"/>
        <v>-26.987976949903651</v>
      </c>
    </row>
    <row r="149" spans="9:18" x14ac:dyDescent="0.3">
      <c r="I149">
        <f>'$ Portfolio Loss'!$I149</f>
        <v>145</v>
      </c>
      <c r="J149" s="19">
        <f>'$ Portfolio Loss'!$R149</f>
        <v>-1.0036404381039143</v>
      </c>
      <c r="L149">
        <v>145</v>
      </c>
      <c r="M149">
        <f>'$ Portfolio Loss'!$I113</f>
        <v>109</v>
      </c>
      <c r="N149" s="19">
        <f>'$ Portfolio Loss'!$R113</f>
        <v>1.2898891789984703</v>
      </c>
      <c r="Q149">
        <v>146</v>
      </c>
      <c r="R149">
        <f t="shared" ca="1" si="6"/>
        <v>5.9936279775094086</v>
      </c>
    </row>
    <row r="150" spans="9:18" x14ac:dyDescent="0.3">
      <c r="I150">
        <f>'$ Portfolio Loss'!$I150</f>
        <v>146</v>
      </c>
      <c r="J150" s="19">
        <f>'$ Portfolio Loss'!$R150</f>
        <v>-3.3115453564056159</v>
      </c>
      <c r="L150">
        <v>146</v>
      </c>
      <c r="M150">
        <f>'$ Portfolio Loss'!$I272</f>
        <v>268</v>
      </c>
      <c r="N150" s="19">
        <f>'$ Portfolio Loss'!$R272</f>
        <v>1.2252087648832799</v>
      </c>
      <c r="Q150">
        <v>147</v>
      </c>
      <c r="R150">
        <f t="shared" ca="1" si="6"/>
        <v>-27.450939680839529</v>
      </c>
    </row>
    <row r="151" spans="9:18" x14ac:dyDescent="0.3">
      <c r="I151">
        <f>'$ Portfolio Loss'!$I151</f>
        <v>147</v>
      </c>
      <c r="J151" s="19">
        <f>'$ Portfolio Loss'!$R151</f>
        <v>5.9172103448091748</v>
      </c>
      <c r="L151">
        <v>147</v>
      </c>
      <c r="M151">
        <f>'$ Portfolio Loss'!$I59</f>
        <v>55</v>
      </c>
      <c r="N151" s="19">
        <f>'$ Portfolio Loss'!$R59</f>
        <v>1.2156825145068169</v>
      </c>
      <c r="Q151">
        <v>148</v>
      </c>
      <c r="R151">
        <f t="shared" ca="1" si="6"/>
        <v>8.9229782557731401</v>
      </c>
    </row>
    <row r="152" spans="9:18" x14ac:dyDescent="0.3">
      <c r="I152">
        <f>'$ Portfolio Loss'!$I152</f>
        <v>148</v>
      </c>
      <c r="J152" s="19">
        <f>'$ Portfolio Loss'!$R152</f>
        <v>-8.6902177064776417E-2</v>
      </c>
      <c r="L152">
        <v>148</v>
      </c>
      <c r="M152">
        <f>'$ Portfolio Loss'!$I242</f>
        <v>238</v>
      </c>
      <c r="N152" s="19">
        <f>'$ Portfolio Loss'!$R242</f>
        <v>1.1592532303391696</v>
      </c>
      <c r="Q152">
        <v>149</v>
      </c>
      <c r="R152">
        <f t="shared" ca="1" si="6"/>
        <v>-1.025607262308956</v>
      </c>
    </row>
    <row r="153" spans="9:18" x14ac:dyDescent="0.3">
      <c r="I153">
        <f>'$ Portfolio Loss'!$I153</f>
        <v>149</v>
      </c>
      <c r="J153" s="19">
        <f>'$ Portfolio Loss'!$R153</f>
        <v>-18.70910103091073</v>
      </c>
      <c r="L153">
        <v>149</v>
      </c>
      <c r="M153">
        <f>'$ Portfolio Loss'!$I166</f>
        <v>162</v>
      </c>
      <c r="N153" s="19">
        <f>'$ Portfolio Loss'!$R166</f>
        <v>1.1521129318648577</v>
      </c>
      <c r="Q153">
        <v>150</v>
      </c>
      <c r="R153">
        <f t="shared" ca="1" si="6"/>
        <v>-5.9720648133981209</v>
      </c>
    </row>
    <row r="154" spans="9:18" x14ac:dyDescent="0.3">
      <c r="I154">
        <f>'$ Portfolio Loss'!$I154</f>
        <v>150</v>
      </c>
      <c r="J154" s="19">
        <f>'$ Portfolio Loss'!$R154</f>
        <v>-11.401832737764359</v>
      </c>
      <c r="L154">
        <v>150</v>
      </c>
      <c r="M154">
        <f>'$ Portfolio Loss'!$I245</f>
        <v>241</v>
      </c>
      <c r="N154" s="19">
        <f>'$ Portfolio Loss'!$R245</f>
        <v>1.1317116370124818</v>
      </c>
      <c r="Q154">
        <v>151</v>
      </c>
      <c r="R154">
        <f t="shared" ca="1" si="6"/>
        <v>11.247388573261356</v>
      </c>
    </row>
    <row r="155" spans="9:18" x14ac:dyDescent="0.3">
      <c r="I155">
        <f>'$ Portfolio Loss'!$I155</f>
        <v>151</v>
      </c>
      <c r="J155" s="19">
        <f>'$ Portfolio Loss'!$R155</f>
        <v>5.1705666610068084</v>
      </c>
      <c r="L155">
        <v>151</v>
      </c>
      <c r="M155">
        <f>'$ Portfolio Loss'!$I82</f>
        <v>78</v>
      </c>
      <c r="N155" s="19">
        <f>'$ Portfolio Loss'!$R82</f>
        <v>1.0862364976127148</v>
      </c>
      <c r="Q155">
        <v>152</v>
      </c>
      <c r="R155">
        <f t="shared" ca="1" si="6"/>
        <v>-4.4304359879305784</v>
      </c>
    </row>
    <row r="156" spans="9:18" x14ac:dyDescent="0.3">
      <c r="I156">
        <f>'$ Portfolio Loss'!$I156</f>
        <v>152</v>
      </c>
      <c r="J156" s="19">
        <f>'$ Portfolio Loss'!$R156</f>
        <v>10.380744744747162</v>
      </c>
      <c r="L156">
        <v>152</v>
      </c>
      <c r="M156">
        <f>'$ Portfolio Loss'!$I183</f>
        <v>179</v>
      </c>
      <c r="N156" s="19">
        <f>'$ Portfolio Loss'!$R183</f>
        <v>0.87469536798954006</v>
      </c>
      <c r="Q156">
        <v>153</v>
      </c>
      <c r="R156">
        <f t="shared" ca="1" si="6"/>
        <v>23.038082474706275</v>
      </c>
    </row>
    <row r="157" spans="9:18" x14ac:dyDescent="0.3">
      <c r="I157">
        <f>'$ Portfolio Loss'!$I157</f>
        <v>153</v>
      </c>
      <c r="J157" s="19">
        <f>'$ Portfolio Loss'!$R157</f>
        <v>-12.456948403416037</v>
      </c>
      <c r="L157">
        <v>153</v>
      </c>
      <c r="M157">
        <f>'$ Portfolio Loss'!$I198</f>
        <v>194</v>
      </c>
      <c r="N157" s="19">
        <f>'$ Portfolio Loss'!$R198</f>
        <v>0.57105697185873983</v>
      </c>
      <c r="Q157">
        <v>154</v>
      </c>
      <c r="R157">
        <f t="shared" ca="1" si="6"/>
        <v>2.3939538437453658</v>
      </c>
    </row>
    <row r="158" spans="9:18" x14ac:dyDescent="0.3">
      <c r="I158">
        <f>'$ Portfolio Loss'!$I158</f>
        <v>154</v>
      </c>
      <c r="J158" s="19">
        <f>'$ Portfolio Loss'!$R158</f>
        <v>4.2162779492958782</v>
      </c>
      <c r="L158">
        <v>154</v>
      </c>
      <c r="M158">
        <f>'$ Portfolio Loss'!$I147</f>
        <v>143</v>
      </c>
      <c r="N158" s="19">
        <f>'$ Portfolio Loss'!$R147</f>
        <v>0.24628337618780136</v>
      </c>
      <c r="Q158">
        <v>155</v>
      </c>
      <c r="R158">
        <f t="shared" ca="1" si="6"/>
        <v>16.838892569361541</v>
      </c>
    </row>
    <row r="159" spans="9:18" x14ac:dyDescent="0.3">
      <c r="I159">
        <f>'$ Portfolio Loss'!$I159</f>
        <v>155</v>
      </c>
      <c r="J159" s="19">
        <f>'$ Portfolio Loss'!$R159</f>
        <v>-8.5266480471158026</v>
      </c>
      <c r="L159">
        <v>155</v>
      </c>
      <c r="M159">
        <f>'$ Portfolio Loss'!$I51</f>
        <v>47</v>
      </c>
      <c r="N159" s="19">
        <f>'$ Portfolio Loss'!$R51</f>
        <v>0.17837172282540797</v>
      </c>
      <c r="Q159">
        <v>156</v>
      </c>
      <c r="R159">
        <f t="shared" ca="1" si="6"/>
        <v>-9.3764387529819064</v>
      </c>
    </row>
    <row r="160" spans="9:18" x14ac:dyDescent="0.3">
      <c r="I160">
        <f>'$ Portfolio Loss'!$I160</f>
        <v>156</v>
      </c>
      <c r="J160" s="19">
        <f>'$ Portfolio Loss'!$R160</f>
        <v>-5.1182963355618716</v>
      </c>
      <c r="L160">
        <v>156</v>
      </c>
      <c r="M160">
        <f>'$ Portfolio Loss'!$I229</f>
        <v>225</v>
      </c>
      <c r="N160" s="19">
        <f>'$ Portfolio Loss'!$R229</f>
        <v>9.3940823133707052E-2</v>
      </c>
      <c r="Q160">
        <v>157</v>
      </c>
      <c r="R160">
        <f t="shared" ca="1" si="6"/>
        <v>3.5509253701199599</v>
      </c>
    </row>
    <row r="161" spans="9:18" x14ac:dyDescent="0.3">
      <c r="I161">
        <f>'$ Portfolio Loss'!$I161</f>
        <v>157</v>
      </c>
      <c r="J161" s="19">
        <f>'$ Portfolio Loss'!$R161</f>
        <v>13.654472418457866</v>
      </c>
      <c r="L161">
        <v>157</v>
      </c>
      <c r="M161">
        <f>'$ Portfolio Loss'!$I310</f>
        <v>306</v>
      </c>
      <c r="N161" s="19">
        <f>'$ Portfolio Loss'!$R310</f>
        <v>-7.1996143736839296E-2</v>
      </c>
      <c r="Q161">
        <v>158</v>
      </c>
      <c r="R161">
        <f t="shared" ca="1" si="6"/>
        <v>-35.392749677660717</v>
      </c>
    </row>
    <row r="162" spans="9:18" x14ac:dyDescent="0.3">
      <c r="I162">
        <f>'$ Portfolio Loss'!$I162</f>
        <v>158</v>
      </c>
      <c r="J162" s="19">
        <f>'$ Portfolio Loss'!$R162</f>
        <v>-4.3771426415315871</v>
      </c>
      <c r="L162">
        <v>158</v>
      </c>
      <c r="M162">
        <f>'$ Portfolio Loss'!$I152</f>
        <v>148</v>
      </c>
      <c r="N162" s="19">
        <f>'$ Portfolio Loss'!$R152</f>
        <v>-8.6902177064776417E-2</v>
      </c>
      <c r="Q162">
        <v>159</v>
      </c>
      <c r="R162">
        <f t="shared" ca="1" si="6"/>
        <v>11.362434987194732</v>
      </c>
    </row>
    <row r="163" spans="9:18" x14ac:dyDescent="0.3">
      <c r="I163">
        <f>'$ Portfolio Loss'!$I163</f>
        <v>159</v>
      </c>
      <c r="J163" s="19">
        <f>'$ Portfolio Loss'!$R163</f>
        <v>-15.692182309390187</v>
      </c>
      <c r="L163">
        <v>159</v>
      </c>
      <c r="M163">
        <f>'$ Portfolio Loss'!$I125</f>
        <v>121</v>
      </c>
      <c r="N163" s="19">
        <f>'$ Portfolio Loss'!$R125</f>
        <v>-0.21201357117199898</v>
      </c>
      <c r="Q163">
        <v>160</v>
      </c>
      <c r="R163">
        <f t="shared" ca="1" si="6"/>
        <v>-8.4012219736778828</v>
      </c>
    </row>
    <row r="164" spans="9:18" x14ac:dyDescent="0.3">
      <c r="I164">
        <f>'$ Portfolio Loss'!$I164</f>
        <v>160</v>
      </c>
      <c r="J164" s="19">
        <f>'$ Portfolio Loss'!$R164</f>
        <v>17.957570186961053</v>
      </c>
      <c r="L164">
        <v>160</v>
      </c>
      <c r="M164">
        <f>'$ Portfolio Loss'!$I318</f>
        <v>314</v>
      </c>
      <c r="N164" s="19">
        <f>'$ Portfolio Loss'!$R318</f>
        <v>-0.23302101018881799</v>
      </c>
      <c r="Q164">
        <v>161</v>
      </c>
      <c r="R164">
        <f t="shared" ca="1" si="6"/>
        <v>-19.325360294036113</v>
      </c>
    </row>
    <row r="165" spans="9:18" x14ac:dyDescent="0.3">
      <c r="I165">
        <f>'$ Portfolio Loss'!$I165</f>
        <v>161</v>
      </c>
      <c r="J165" s="19">
        <f>'$ Portfolio Loss'!$R165</f>
        <v>9.992086916080952</v>
      </c>
      <c r="L165">
        <v>161</v>
      </c>
      <c r="M165">
        <f>'$ Portfolio Loss'!$I280</f>
        <v>276</v>
      </c>
      <c r="N165" s="19">
        <f>'$ Portfolio Loss'!$R280</f>
        <v>-0.29191776927411556</v>
      </c>
      <c r="Q165">
        <v>162</v>
      </c>
      <c r="R165">
        <f t="shared" ca="1" si="6"/>
        <v>-9.6354356727856594</v>
      </c>
    </row>
    <row r="166" spans="9:18" x14ac:dyDescent="0.3">
      <c r="I166">
        <f>'$ Portfolio Loss'!$I166</f>
        <v>162</v>
      </c>
      <c r="J166" s="19">
        <f>'$ Portfolio Loss'!$R166</f>
        <v>1.1521129318648577</v>
      </c>
      <c r="L166">
        <v>162</v>
      </c>
      <c r="M166">
        <f>'$ Portfolio Loss'!$I138</f>
        <v>134</v>
      </c>
      <c r="N166" s="19">
        <f>'$ Portfolio Loss'!$R138</f>
        <v>-0.38919571477603915</v>
      </c>
      <c r="Q166">
        <v>163</v>
      </c>
      <c r="R166">
        <f t="shared" ca="1" si="6"/>
        <v>-29.454588108217109</v>
      </c>
    </row>
    <row r="167" spans="9:18" x14ac:dyDescent="0.3">
      <c r="I167">
        <f>'$ Portfolio Loss'!$I167</f>
        <v>163</v>
      </c>
      <c r="J167" s="19">
        <f>'$ Portfolio Loss'!$R167</f>
        <v>14.48169377954185</v>
      </c>
      <c r="L167">
        <v>163</v>
      </c>
      <c r="M167">
        <f>'$ Portfolio Loss'!$I66</f>
        <v>62</v>
      </c>
      <c r="N167" s="19">
        <f>'$ Portfolio Loss'!$R66</f>
        <v>-0.58103953235650063</v>
      </c>
      <c r="Q167">
        <v>164</v>
      </c>
      <c r="R167">
        <f t="shared" ca="1" si="6"/>
        <v>-1.5247598634281441</v>
      </c>
    </row>
    <row r="168" spans="9:18" x14ac:dyDescent="0.3">
      <c r="I168">
        <f>'$ Portfolio Loss'!$I168</f>
        <v>164</v>
      </c>
      <c r="J168" s="19">
        <f>'$ Portfolio Loss'!$R168</f>
        <v>3.4745491986310482</v>
      </c>
      <c r="L168">
        <v>164</v>
      </c>
      <c r="M168">
        <f>'$ Portfolio Loss'!$I317</f>
        <v>313</v>
      </c>
      <c r="N168" s="19">
        <f>'$ Portfolio Loss'!$R317</f>
        <v>-0.60244124159967904</v>
      </c>
      <c r="Q168">
        <v>165</v>
      </c>
      <c r="R168">
        <f t="shared" ca="1" si="6"/>
        <v>-3.9302733944072026</v>
      </c>
    </row>
    <row r="169" spans="9:18" x14ac:dyDescent="0.3">
      <c r="I169">
        <f>'$ Portfolio Loss'!$I169</f>
        <v>165</v>
      </c>
      <c r="J169" s="19">
        <f>'$ Portfolio Loss'!$R169</f>
        <v>5.4625491786419156</v>
      </c>
      <c r="L169">
        <v>165</v>
      </c>
      <c r="M169">
        <f>'$ Portfolio Loss'!$I38</f>
        <v>34</v>
      </c>
      <c r="N169" s="19">
        <f>'$ Portfolio Loss'!$R38</f>
        <v>-0.76895461986398694</v>
      </c>
      <c r="Q169">
        <v>166</v>
      </c>
      <c r="R169">
        <f t="shared" ca="1" si="6"/>
        <v>-25.158676058409689</v>
      </c>
    </row>
    <row r="170" spans="9:18" x14ac:dyDescent="0.3">
      <c r="I170">
        <f>'$ Portfolio Loss'!$I170</f>
        <v>166</v>
      </c>
      <c r="J170" s="19">
        <f>'$ Portfolio Loss'!$R170</f>
        <v>-2.1504908530590536</v>
      </c>
      <c r="L170">
        <v>166</v>
      </c>
      <c r="M170">
        <f>'$ Portfolio Loss'!$I149</f>
        <v>145</v>
      </c>
      <c r="N170" s="19">
        <f>'$ Portfolio Loss'!$R149</f>
        <v>-1.0036404381039143</v>
      </c>
      <c r="Q170">
        <v>167</v>
      </c>
      <c r="R170">
        <f t="shared" ca="1" si="6"/>
        <v>-38.095487220097851</v>
      </c>
    </row>
    <row r="171" spans="9:18" x14ac:dyDescent="0.3">
      <c r="I171">
        <f>'$ Portfolio Loss'!$I171</f>
        <v>167</v>
      </c>
      <c r="J171" s="19">
        <f>'$ Portfolio Loss'!$R171</f>
        <v>-7.0611956041107176</v>
      </c>
      <c r="L171">
        <v>167</v>
      </c>
      <c r="M171">
        <f>'$ Portfolio Loss'!$I120</f>
        <v>116</v>
      </c>
      <c r="N171" s="19">
        <f>'$ Portfolio Loss'!$R120</f>
        <v>-1.0407886129490138</v>
      </c>
      <c r="Q171">
        <v>168</v>
      </c>
      <c r="R171">
        <f t="shared" ca="1" si="6"/>
        <v>9.0682501831496438</v>
      </c>
    </row>
    <row r="172" spans="9:18" x14ac:dyDescent="0.3">
      <c r="I172">
        <f>'$ Portfolio Loss'!$I172</f>
        <v>168</v>
      </c>
      <c r="J172" s="19">
        <f>'$ Portfolio Loss'!$R172</f>
        <v>-3.3183838656944036</v>
      </c>
      <c r="L172">
        <v>168</v>
      </c>
      <c r="M172">
        <f>'$ Portfolio Loss'!$I132</f>
        <v>128</v>
      </c>
      <c r="N172" s="19">
        <f>'$ Portfolio Loss'!$R132</f>
        <v>-1.0765972177073955</v>
      </c>
      <c r="Q172">
        <v>169</v>
      </c>
      <c r="R172">
        <f t="shared" ca="1" si="6"/>
        <v>3.0423942775420896</v>
      </c>
    </row>
    <row r="173" spans="9:18" x14ac:dyDescent="0.3">
      <c r="I173">
        <f>'$ Portfolio Loss'!$I173</f>
        <v>169</v>
      </c>
      <c r="J173" s="19">
        <f>'$ Portfolio Loss'!$R173</f>
        <v>-11.220516543077469</v>
      </c>
      <c r="L173">
        <v>169</v>
      </c>
      <c r="M173">
        <f>'$ Portfolio Loss'!$I200</f>
        <v>196</v>
      </c>
      <c r="N173" s="19">
        <f>'$ Portfolio Loss'!$R200</f>
        <v>-1.1218361720054149</v>
      </c>
      <c r="Q173">
        <v>170</v>
      </c>
      <c r="R173">
        <f t="shared" ca="1" si="6"/>
        <v>27.751714849160553</v>
      </c>
    </row>
    <row r="174" spans="9:18" x14ac:dyDescent="0.3">
      <c r="I174">
        <f>'$ Portfolio Loss'!$I174</f>
        <v>170</v>
      </c>
      <c r="J174" s="19">
        <f>'$ Portfolio Loss'!$R174</f>
        <v>-22.087099338392974</v>
      </c>
      <c r="L174">
        <v>170</v>
      </c>
      <c r="M174">
        <f>'$ Portfolio Loss'!$I118</f>
        <v>114</v>
      </c>
      <c r="N174" s="19">
        <f>'$ Portfolio Loss'!$R118</f>
        <v>-1.8938405270482301</v>
      </c>
      <c r="Q174">
        <v>171</v>
      </c>
      <c r="R174">
        <f t="shared" ca="1" si="6"/>
        <v>-21.263755406271258</v>
      </c>
    </row>
    <row r="175" spans="9:18" x14ac:dyDescent="0.3">
      <c r="I175">
        <f>'$ Portfolio Loss'!$I175</f>
        <v>171</v>
      </c>
      <c r="J175" s="19">
        <f>'$ Portfolio Loss'!$R175</f>
        <v>-14.924280989764451</v>
      </c>
      <c r="L175">
        <v>171</v>
      </c>
      <c r="M175">
        <f>'$ Portfolio Loss'!$I302</f>
        <v>298</v>
      </c>
      <c r="N175" s="19">
        <f>'$ Portfolio Loss'!$R302</f>
        <v>-1.9173437212216855</v>
      </c>
      <c r="Q175">
        <v>172</v>
      </c>
      <c r="R175">
        <f t="shared" ca="1" si="6"/>
        <v>23.126348400451928</v>
      </c>
    </row>
    <row r="176" spans="9:18" x14ac:dyDescent="0.3">
      <c r="I176">
        <f>'$ Portfolio Loss'!$I176</f>
        <v>172</v>
      </c>
      <c r="J176" s="19">
        <f>'$ Portfolio Loss'!$R176</f>
        <v>-3.4889910888115168</v>
      </c>
      <c r="L176">
        <v>172</v>
      </c>
      <c r="M176">
        <f>'$ Portfolio Loss'!$I73</f>
        <v>69</v>
      </c>
      <c r="N176" s="19">
        <f>'$ Portfolio Loss'!$R73</f>
        <v>-1.9209353026148082</v>
      </c>
      <c r="Q176">
        <v>173</v>
      </c>
      <c r="R176">
        <f t="shared" ca="1" si="6"/>
        <v>-3.4976232875531306</v>
      </c>
    </row>
    <row r="177" spans="9:18" x14ac:dyDescent="0.3">
      <c r="I177">
        <f>'$ Portfolio Loss'!$I177</f>
        <v>173</v>
      </c>
      <c r="J177" s="19">
        <f>'$ Portfolio Loss'!$R177</f>
        <v>-39.497725312521219</v>
      </c>
      <c r="L177">
        <v>173</v>
      </c>
      <c r="M177">
        <f>'$ Portfolio Loss'!$I225</f>
        <v>221</v>
      </c>
      <c r="N177" s="19">
        <f>'$ Portfolio Loss'!$R225</f>
        <v>-2.0671953517972232</v>
      </c>
      <c r="Q177">
        <v>174</v>
      </c>
      <c r="R177">
        <f t="shared" ca="1" si="6"/>
        <v>39.281105167000788</v>
      </c>
    </row>
    <row r="178" spans="9:18" x14ac:dyDescent="0.3">
      <c r="I178">
        <f>'$ Portfolio Loss'!$I178</f>
        <v>174</v>
      </c>
      <c r="J178" s="19">
        <f>'$ Portfolio Loss'!$R178</f>
        <v>-15.167961129248738</v>
      </c>
      <c r="L178">
        <v>174</v>
      </c>
      <c r="M178">
        <f>'$ Portfolio Loss'!$I170</f>
        <v>166</v>
      </c>
      <c r="N178" s="19">
        <f>'$ Portfolio Loss'!$R170</f>
        <v>-2.1504908530590536</v>
      </c>
      <c r="Q178">
        <v>175</v>
      </c>
      <c r="R178">
        <f t="shared" ca="1" si="6"/>
        <v>-23.585832883197757</v>
      </c>
    </row>
    <row r="179" spans="9:18" x14ac:dyDescent="0.3">
      <c r="I179">
        <f>'$ Portfolio Loss'!$I179</f>
        <v>175</v>
      </c>
      <c r="J179" s="19">
        <f>'$ Portfolio Loss'!$R179</f>
        <v>-43.449868003333691</v>
      </c>
      <c r="L179">
        <v>175</v>
      </c>
      <c r="M179">
        <f>'$ Portfolio Loss'!$I56</f>
        <v>52</v>
      </c>
      <c r="N179" s="19">
        <f>'$ Portfolio Loss'!$R56</f>
        <v>-2.4792019862728121</v>
      </c>
      <c r="Q179">
        <v>176</v>
      </c>
      <c r="R179">
        <f t="shared" ca="1" si="6"/>
        <v>-22.222142498745878</v>
      </c>
    </row>
    <row r="180" spans="9:18" x14ac:dyDescent="0.3">
      <c r="I180">
        <f>'$ Portfolio Loss'!$I180</f>
        <v>176</v>
      </c>
      <c r="J180" s="19">
        <f>'$ Portfolio Loss'!$R180</f>
        <v>-42.458928007577775</v>
      </c>
      <c r="L180">
        <v>176</v>
      </c>
      <c r="M180">
        <f>'$ Portfolio Loss'!$I117</f>
        <v>113</v>
      </c>
      <c r="N180" s="19">
        <f>'$ Portfolio Loss'!$R117</f>
        <v>-2.4921209119458196</v>
      </c>
      <c r="Q180">
        <v>177</v>
      </c>
      <c r="R180">
        <f t="shared" ca="1" si="6"/>
        <v>-10.597081886927548</v>
      </c>
    </row>
    <row r="181" spans="9:18" x14ac:dyDescent="0.3">
      <c r="I181">
        <f>'$ Portfolio Loss'!$I181</f>
        <v>177</v>
      </c>
      <c r="J181" s="19">
        <f>'$ Portfolio Loss'!$R181</f>
        <v>-35.382940061201928</v>
      </c>
      <c r="L181">
        <v>177</v>
      </c>
      <c r="M181">
        <f>'$ Portfolio Loss'!$I316</f>
        <v>312</v>
      </c>
      <c r="N181" s="19">
        <f>'$ Portfolio Loss'!$R316</f>
        <v>-2.5689458140461445</v>
      </c>
      <c r="Q181">
        <v>178</v>
      </c>
      <c r="R181">
        <f t="shared" ca="1" si="6"/>
        <v>8.2285650971864399</v>
      </c>
    </row>
    <row r="182" spans="9:18" x14ac:dyDescent="0.3">
      <c r="I182">
        <f>'$ Portfolio Loss'!$I182</f>
        <v>178</v>
      </c>
      <c r="J182" s="19">
        <f>'$ Portfolio Loss'!$R182</f>
        <v>-62.380728288762569</v>
      </c>
      <c r="L182">
        <v>178</v>
      </c>
      <c r="M182">
        <f>'$ Portfolio Loss'!$I260</f>
        <v>256</v>
      </c>
      <c r="N182" s="19">
        <f>'$ Portfolio Loss'!$R260</f>
        <v>-3.1948140663642883</v>
      </c>
      <c r="Q182">
        <v>179</v>
      </c>
      <c r="R182">
        <f t="shared" ca="1" si="6"/>
        <v>-3.1800098985900931</v>
      </c>
    </row>
    <row r="183" spans="9:18" x14ac:dyDescent="0.3">
      <c r="I183">
        <f>'$ Portfolio Loss'!$I183</f>
        <v>179</v>
      </c>
      <c r="J183" s="19">
        <f>'$ Portfolio Loss'!$R183</f>
        <v>0.87469536798954006</v>
      </c>
      <c r="L183">
        <v>179</v>
      </c>
      <c r="M183">
        <f>'$ Portfolio Loss'!$I81</f>
        <v>77</v>
      </c>
      <c r="N183" s="19">
        <f>'$ Portfolio Loss'!$R81</f>
        <v>-3.195940716852784</v>
      </c>
      <c r="Q183">
        <v>180</v>
      </c>
      <c r="R183">
        <f t="shared" ca="1" si="6"/>
        <v>18.752401017834121</v>
      </c>
    </row>
    <row r="184" spans="9:18" x14ac:dyDescent="0.3">
      <c r="I184">
        <f>'$ Portfolio Loss'!$I184</f>
        <v>180</v>
      </c>
      <c r="J184" s="19">
        <f>'$ Portfolio Loss'!$R184</f>
        <v>-22.691095375971795</v>
      </c>
      <c r="L184">
        <v>180</v>
      </c>
      <c r="M184">
        <f>'$ Portfolio Loss'!$I199</f>
        <v>195</v>
      </c>
      <c r="N184" s="19">
        <f>'$ Portfolio Loss'!$R199</f>
        <v>-3.2319786104946138</v>
      </c>
      <c r="Q184">
        <v>181</v>
      </c>
      <c r="R184">
        <f t="shared" ca="1" si="6"/>
        <v>1.5639189490689878</v>
      </c>
    </row>
    <row r="185" spans="9:18" x14ac:dyDescent="0.3">
      <c r="I185">
        <f>'$ Portfolio Loss'!$I185</f>
        <v>181</v>
      </c>
      <c r="J185" s="19">
        <f>'$ Portfolio Loss'!$R185</f>
        <v>-26.935164492684962</v>
      </c>
      <c r="L185">
        <v>181</v>
      </c>
      <c r="M185">
        <f>'$ Portfolio Loss'!$I216</f>
        <v>212</v>
      </c>
      <c r="N185" s="19">
        <f>'$ Portfolio Loss'!$R216</f>
        <v>-3.2321972104294301</v>
      </c>
      <c r="Q185">
        <v>182</v>
      </c>
      <c r="R185">
        <f t="shared" ca="1" si="6"/>
        <v>-18.557721649182128</v>
      </c>
    </row>
    <row r="186" spans="9:18" x14ac:dyDescent="0.3">
      <c r="I186">
        <f>'$ Portfolio Loss'!$I186</f>
        <v>182</v>
      </c>
      <c r="J186" s="19">
        <f>'$ Portfolio Loss'!$R186</f>
        <v>81.009313556189653</v>
      </c>
      <c r="L186">
        <v>182</v>
      </c>
      <c r="M186">
        <f>'$ Portfolio Loss'!$I150</f>
        <v>146</v>
      </c>
      <c r="N186" s="19">
        <f>'$ Portfolio Loss'!$R150</f>
        <v>-3.3115453564056159</v>
      </c>
      <c r="Q186">
        <v>183</v>
      </c>
      <c r="R186">
        <f t="shared" ca="1" si="6"/>
        <v>5.505919092260215</v>
      </c>
    </row>
    <row r="187" spans="9:18" x14ac:dyDescent="0.3">
      <c r="I187">
        <f>'$ Portfolio Loss'!$I187</f>
        <v>183</v>
      </c>
      <c r="J187" s="19">
        <f>'$ Portfolio Loss'!$R187</f>
        <v>37.140800868900534</v>
      </c>
      <c r="L187">
        <v>183</v>
      </c>
      <c r="M187">
        <f>'$ Portfolio Loss'!$I172</f>
        <v>168</v>
      </c>
      <c r="N187" s="19">
        <f>'$ Portfolio Loss'!$R172</f>
        <v>-3.3183838656944036</v>
      </c>
      <c r="Q187">
        <v>184</v>
      </c>
      <c r="R187">
        <f t="shared" ca="1" si="6"/>
        <v>-6.7142306032611394</v>
      </c>
    </row>
    <row r="188" spans="9:18" x14ac:dyDescent="0.3">
      <c r="I188">
        <f>'$ Portfolio Loss'!$I188</f>
        <v>184</v>
      </c>
      <c r="J188" s="19">
        <f>'$ Portfolio Loss'!$R188</f>
        <v>-21.923092830547333</v>
      </c>
      <c r="L188">
        <v>184</v>
      </c>
      <c r="M188">
        <f>'$ Portfolio Loss'!$I301</f>
        <v>297</v>
      </c>
      <c r="N188" s="19">
        <f>'$ Portfolio Loss'!$R301</f>
        <v>-3.4092786193678379</v>
      </c>
      <c r="Q188">
        <v>185</v>
      </c>
      <c r="R188">
        <f t="shared" ca="1" si="6"/>
        <v>-20.266330921080336</v>
      </c>
    </row>
    <row r="189" spans="9:18" x14ac:dyDescent="0.3">
      <c r="I189">
        <f>'$ Portfolio Loss'!$I189</f>
        <v>185</v>
      </c>
      <c r="J189" s="19">
        <f>'$ Portfolio Loss'!$R189</f>
        <v>-3.5139587508509158</v>
      </c>
      <c r="L189">
        <v>185</v>
      </c>
      <c r="M189">
        <f>'$ Portfolio Loss'!$I176</f>
        <v>172</v>
      </c>
      <c r="N189" s="19">
        <f>'$ Portfolio Loss'!$R176</f>
        <v>-3.4889910888115168</v>
      </c>
      <c r="Q189">
        <v>186</v>
      </c>
      <c r="R189">
        <f t="shared" ca="1" si="6"/>
        <v>-13.421746527562112</v>
      </c>
    </row>
    <row r="190" spans="9:18" x14ac:dyDescent="0.3">
      <c r="I190">
        <f>'$ Portfolio Loss'!$I190</f>
        <v>186</v>
      </c>
      <c r="J190" s="19">
        <f>'$ Portfolio Loss'!$R190</f>
        <v>33.059894936240433</v>
      </c>
      <c r="L190">
        <v>186</v>
      </c>
      <c r="M190">
        <f>'$ Portfolio Loss'!$I189</f>
        <v>185</v>
      </c>
      <c r="N190" s="19">
        <f>'$ Portfolio Loss'!$R189</f>
        <v>-3.5139587508509158</v>
      </c>
      <c r="Q190">
        <v>187</v>
      </c>
      <c r="R190">
        <f t="shared" ca="1" si="6"/>
        <v>-19.153169180711227</v>
      </c>
    </row>
    <row r="191" spans="9:18" x14ac:dyDescent="0.3">
      <c r="I191">
        <f>'$ Portfolio Loss'!$I191</f>
        <v>187</v>
      </c>
      <c r="J191" s="19">
        <f>'$ Portfolio Loss'!$R191</f>
        <v>9.6870527339353565</v>
      </c>
      <c r="L191">
        <v>187</v>
      </c>
      <c r="M191">
        <f>'$ Portfolio Loss'!$I33</f>
        <v>29</v>
      </c>
      <c r="N191" s="19">
        <f>'$ Portfolio Loss'!$R33</f>
        <v>-3.6123870886712073</v>
      </c>
      <c r="Q191">
        <v>188</v>
      </c>
      <c r="R191">
        <f t="shared" ca="1" si="6"/>
        <v>12.947017858766039</v>
      </c>
    </row>
    <row r="192" spans="9:18" x14ac:dyDescent="0.3">
      <c r="I192">
        <f>'$ Portfolio Loss'!$I192</f>
        <v>188</v>
      </c>
      <c r="J192" s="19">
        <f>'$ Portfolio Loss'!$R192</f>
        <v>12.128498463487029</v>
      </c>
      <c r="L192">
        <v>188</v>
      </c>
      <c r="M192">
        <f>'$ Portfolio Loss'!$I6</f>
        <v>2</v>
      </c>
      <c r="N192" s="19">
        <f>'$ Portfolio Loss'!$R6</f>
        <v>-3.7099040134418009</v>
      </c>
      <c r="Q192">
        <v>189</v>
      </c>
      <c r="R192">
        <f t="shared" ca="1" si="6"/>
        <v>37.961432345578267</v>
      </c>
    </row>
    <row r="193" spans="9:18" x14ac:dyDescent="0.3">
      <c r="I193">
        <f>'$ Portfolio Loss'!$I193</f>
        <v>189</v>
      </c>
      <c r="J193" s="19">
        <f>'$ Portfolio Loss'!$R193</f>
        <v>-29.66765362273717</v>
      </c>
      <c r="L193">
        <v>189</v>
      </c>
      <c r="M193">
        <f>'$ Portfolio Loss'!$I298</f>
        <v>294</v>
      </c>
      <c r="N193" s="19">
        <f>'$ Portfolio Loss'!$R298</f>
        <v>-3.7775040393128396</v>
      </c>
      <c r="Q193">
        <v>190</v>
      </c>
      <c r="R193">
        <f t="shared" ca="1" si="6"/>
        <v>-6.621996892335658</v>
      </c>
    </row>
    <row r="194" spans="9:18" x14ac:dyDescent="0.3">
      <c r="I194">
        <f>'$ Portfolio Loss'!$I194</f>
        <v>190</v>
      </c>
      <c r="J194" s="19">
        <f>'$ Portfolio Loss'!$R194</f>
        <v>5.0282356155427692</v>
      </c>
      <c r="L194">
        <v>190</v>
      </c>
      <c r="M194">
        <f>'$ Portfolio Loss'!$I106</f>
        <v>102</v>
      </c>
      <c r="N194" s="19">
        <f>'$ Portfolio Loss'!$R106</f>
        <v>-4.0823420161374804</v>
      </c>
      <c r="Q194">
        <v>191</v>
      </c>
      <c r="R194">
        <f t="shared" ca="1" si="6"/>
        <v>0.36026163649763387</v>
      </c>
    </row>
    <row r="195" spans="9:18" x14ac:dyDescent="0.3">
      <c r="I195">
        <f>'$ Portfolio Loss'!$I195</f>
        <v>191</v>
      </c>
      <c r="J195" s="19">
        <f>'$ Portfolio Loss'!$R195</f>
        <v>1.2934427137962581</v>
      </c>
      <c r="L195">
        <v>191</v>
      </c>
      <c r="M195">
        <f>'$ Portfolio Loss'!$I240</f>
        <v>236</v>
      </c>
      <c r="N195" s="19">
        <f>'$ Portfolio Loss'!$R240</f>
        <v>-4.1499699463913444</v>
      </c>
      <c r="Q195">
        <v>192</v>
      </c>
      <c r="R195">
        <f t="shared" ca="1" si="6"/>
        <v>24.984163931831283</v>
      </c>
    </row>
    <row r="196" spans="9:18" x14ac:dyDescent="0.3">
      <c r="I196">
        <f>'$ Portfolio Loss'!$I196</f>
        <v>192</v>
      </c>
      <c r="J196" s="19">
        <f>'$ Portfolio Loss'!$R196</f>
        <v>-9.793509447572708</v>
      </c>
      <c r="L196">
        <v>192</v>
      </c>
      <c r="M196">
        <f>'$ Portfolio Loss'!$I286</f>
        <v>282</v>
      </c>
      <c r="N196" s="19">
        <f>'$ Portfolio Loss'!$R286</f>
        <v>-4.180714139164329</v>
      </c>
      <c r="Q196">
        <v>193</v>
      </c>
      <c r="R196">
        <f t="shared" ref="R196:R259" ca="1" si="7">_xlfn.NORM.INV(RAND(),$B$16,$B$17)</f>
        <v>1.7617621750508976</v>
      </c>
    </row>
    <row r="197" spans="9:18" x14ac:dyDescent="0.3">
      <c r="I197">
        <f>'$ Portfolio Loss'!$I197</f>
        <v>193</v>
      </c>
      <c r="J197" s="19">
        <f>'$ Portfolio Loss'!$R197</f>
        <v>9.446613784752012</v>
      </c>
      <c r="L197">
        <v>193</v>
      </c>
      <c r="M197">
        <f>'$ Portfolio Loss'!$I162</f>
        <v>158</v>
      </c>
      <c r="N197" s="19">
        <f>'$ Portfolio Loss'!$R162</f>
        <v>-4.3771426415315871</v>
      </c>
      <c r="Q197">
        <v>194</v>
      </c>
      <c r="R197">
        <f t="shared" ca="1" si="7"/>
        <v>2.1428720949967239</v>
      </c>
    </row>
    <row r="198" spans="9:18" x14ac:dyDescent="0.3">
      <c r="I198">
        <f>'$ Portfolio Loss'!$I198</f>
        <v>194</v>
      </c>
      <c r="J198" s="19">
        <f>'$ Portfolio Loss'!$R198</f>
        <v>0.57105697185873983</v>
      </c>
      <c r="L198">
        <v>194</v>
      </c>
      <c r="M198">
        <f>'$ Portfolio Loss'!$I85</f>
        <v>81</v>
      </c>
      <c r="N198" s="19">
        <f>'$ Portfolio Loss'!$R85</f>
        <v>-4.4008056924371717</v>
      </c>
      <c r="Q198">
        <v>195</v>
      </c>
      <c r="R198">
        <f t="shared" ca="1" si="7"/>
        <v>0.95019988961420387</v>
      </c>
    </row>
    <row r="199" spans="9:18" x14ac:dyDescent="0.3">
      <c r="I199">
        <f>'$ Portfolio Loss'!$I199</f>
        <v>195</v>
      </c>
      <c r="J199" s="19">
        <f>'$ Portfolio Loss'!$R199</f>
        <v>-3.2319786104946138</v>
      </c>
      <c r="L199">
        <v>195</v>
      </c>
      <c r="M199">
        <f>'$ Portfolio Loss'!$I79</f>
        <v>75</v>
      </c>
      <c r="N199" s="19">
        <f>'$ Portfolio Loss'!$R79</f>
        <v>-4.4704730498918295</v>
      </c>
      <c r="Q199">
        <v>196</v>
      </c>
      <c r="R199">
        <f t="shared" ca="1" si="7"/>
        <v>13.527833392654177</v>
      </c>
    </row>
    <row r="200" spans="9:18" x14ac:dyDescent="0.3">
      <c r="I200">
        <f>'$ Portfolio Loss'!$I200</f>
        <v>196</v>
      </c>
      <c r="J200" s="19">
        <f>'$ Portfolio Loss'!$R200</f>
        <v>-1.1218361720054149</v>
      </c>
      <c r="L200">
        <v>196</v>
      </c>
      <c r="M200">
        <f>'$ Portfolio Loss'!$I223</f>
        <v>219</v>
      </c>
      <c r="N200" s="19">
        <f>'$ Portfolio Loss'!$R223</f>
        <v>-4.5402950923280718</v>
      </c>
      <c r="Q200">
        <v>197</v>
      </c>
      <c r="R200">
        <f t="shared" ca="1" si="7"/>
        <v>15.312589560181303</v>
      </c>
    </row>
    <row r="201" spans="9:18" x14ac:dyDescent="0.3">
      <c r="I201">
        <f>'$ Portfolio Loss'!$I201</f>
        <v>197</v>
      </c>
      <c r="J201" s="19">
        <f>'$ Portfolio Loss'!$R201</f>
        <v>12.893032524746657</v>
      </c>
      <c r="L201">
        <v>197</v>
      </c>
      <c r="M201">
        <f>'$ Portfolio Loss'!$I297</f>
        <v>293</v>
      </c>
      <c r="N201" s="19">
        <f>'$ Portfolio Loss'!$R297</f>
        <v>-4.6283560300526618</v>
      </c>
      <c r="Q201">
        <v>198</v>
      </c>
      <c r="R201">
        <f t="shared" ca="1" si="7"/>
        <v>3.0301432955310359</v>
      </c>
    </row>
    <row r="202" spans="9:18" x14ac:dyDescent="0.3">
      <c r="I202">
        <f>'$ Portfolio Loss'!$I202</f>
        <v>198</v>
      </c>
      <c r="J202" s="19">
        <f>'$ Portfolio Loss'!$R202</f>
        <v>5.4121498699214454</v>
      </c>
      <c r="L202">
        <v>198</v>
      </c>
      <c r="M202">
        <f>'$ Portfolio Loss'!$I204</f>
        <v>200</v>
      </c>
      <c r="N202" s="19">
        <f>'$ Portfolio Loss'!$R204</f>
        <v>-4.7708590026360751</v>
      </c>
      <c r="Q202">
        <v>199</v>
      </c>
      <c r="R202">
        <f t="shared" ca="1" si="7"/>
        <v>-44.100273474193017</v>
      </c>
    </row>
    <row r="203" spans="9:18" x14ac:dyDescent="0.3">
      <c r="I203">
        <f>'$ Portfolio Loss'!$I203</f>
        <v>199</v>
      </c>
      <c r="J203" s="19">
        <f>'$ Portfolio Loss'!$R203</f>
        <v>-4.9385859105587002</v>
      </c>
      <c r="L203">
        <v>199</v>
      </c>
      <c r="M203">
        <f>'$ Portfolio Loss'!$I121</f>
        <v>117</v>
      </c>
      <c r="N203" s="19">
        <f>'$ Portfolio Loss'!$R121</f>
        <v>-4.8534405007632975</v>
      </c>
      <c r="Q203">
        <v>200</v>
      </c>
      <c r="R203">
        <f t="shared" ca="1" si="7"/>
        <v>-11.631963813334819</v>
      </c>
    </row>
    <row r="204" spans="9:18" x14ac:dyDescent="0.3">
      <c r="I204">
        <f>'$ Portfolio Loss'!$I204</f>
        <v>200</v>
      </c>
      <c r="J204" s="19">
        <f>'$ Portfolio Loss'!$R204</f>
        <v>-4.7708590026360751</v>
      </c>
      <c r="L204">
        <v>200</v>
      </c>
      <c r="M204">
        <f>'$ Portfolio Loss'!$I94</f>
        <v>90</v>
      </c>
      <c r="N204" s="19">
        <f>'$ Portfolio Loss'!$R94</f>
        <v>-4.8836940214740041</v>
      </c>
      <c r="Q204">
        <v>201</v>
      </c>
      <c r="R204">
        <f t="shared" ca="1" si="7"/>
        <v>5.849472461290568</v>
      </c>
    </row>
    <row r="205" spans="9:18" x14ac:dyDescent="0.3">
      <c r="I205">
        <f>'$ Portfolio Loss'!$I205</f>
        <v>201</v>
      </c>
      <c r="J205" s="19">
        <f>'$ Portfolio Loss'!$R205</f>
        <v>-21.655498734011054</v>
      </c>
      <c r="L205">
        <v>201</v>
      </c>
      <c r="M205">
        <f>'$ Portfolio Loss'!$I203</f>
        <v>199</v>
      </c>
      <c r="N205" s="19">
        <f>'$ Portfolio Loss'!$R203</f>
        <v>-4.9385859105587002</v>
      </c>
      <c r="Q205">
        <v>202</v>
      </c>
      <c r="R205">
        <f t="shared" ca="1" si="7"/>
        <v>11.810799683206357</v>
      </c>
    </row>
    <row r="206" spans="9:18" x14ac:dyDescent="0.3">
      <c r="I206">
        <f>'$ Portfolio Loss'!$I206</f>
        <v>202</v>
      </c>
      <c r="J206" s="19">
        <f>'$ Portfolio Loss'!$R206</f>
        <v>13.491782703768253</v>
      </c>
      <c r="L206">
        <v>202</v>
      </c>
      <c r="M206">
        <f>'$ Portfolio Loss'!$I160</f>
        <v>156</v>
      </c>
      <c r="N206" s="19">
        <f>'$ Portfolio Loss'!$R160</f>
        <v>-5.1182963355618716</v>
      </c>
      <c r="Q206">
        <v>203</v>
      </c>
      <c r="R206">
        <f t="shared" ca="1" si="7"/>
        <v>-2.1123658893397228</v>
      </c>
    </row>
    <row r="207" spans="9:18" x14ac:dyDescent="0.3">
      <c r="I207">
        <f>'$ Portfolio Loss'!$I207</f>
        <v>203</v>
      </c>
      <c r="J207" s="19">
        <f>'$ Portfolio Loss'!$R207</f>
        <v>-13.26872427898693</v>
      </c>
      <c r="L207">
        <v>203</v>
      </c>
      <c r="M207">
        <f>'$ Portfolio Loss'!$I238</f>
        <v>234</v>
      </c>
      <c r="N207" s="19">
        <f>'$ Portfolio Loss'!$R238</f>
        <v>-5.2182650671384332</v>
      </c>
      <c r="Q207">
        <v>204</v>
      </c>
      <c r="R207">
        <f t="shared" ca="1" si="7"/>
        <v>-20.045337630280702</v>
      </c>
    </row>
    <row r="208" spans="9:18" x14ac:dyDescent="0.3">
      <c r="I208">
        <f>'$ Portfolio Loss'!$I208</f>
        <v>204</v>
      </c>
      <c r="J208" s="19">
        <f>'$ Portfolio Loss'!$R208</f>
        <v>3.1429879986174107</v>
      </c>
      <c r="L208">
        <v>204</v>
      </c>
      <c r="M208">
        <f>'$ Portfolio Loss'!$I104</f>
        <v>100</v>
      </c>
      <c r="N208" s="19">
        <f>'$ Portfolio Loss'!$R104</f>
        <v>-5.5001814809896947</v>
      </c>
      <c r="Q208">
        <v>205</v>
      </c>
      <c r="R208">
        <f t="shared" ca="1" si="7"/>
        <v>-1.413035939791409</v>
      </c>
    </row>
    <row r="209" spans="9:18" x14ac:dyDescent="0.3">
      <c r="I209">
        <f>'$ Portfolio Loss'!$I209</f>
        <v>205</v>
      </c>
      <c r="J209" s="19">
        <f>'$ Portfolio Loss'!$R209</f>
        <v>13.308938922253848</v>
      </c>
      <c r="L209">
        <v>205</v>
      </c>
      <c r="M209">
        <f>'$ Portfolio Loss'!$I54</f>
        <v>50</v>
      </c>
      <c r="N209" s="19">
        <f>'$ Portfolio Loss'!$R54</f>
        <v>-5.7488875350892545</v>
      </c>
      <c r="Q209">
        <v>206</v>
      </c>
      <c r="R209">
        <f t="shared" ca="1" si="7"/>
        <v>-12.069412660119729</v>
      </c>
    </row>
    <row r="210" spans="9:18" x14ac:dyDescent="0.3">
      <c r="I210">
        <f>'$ Portfolio Loss'!$I210</f>
        <v>206</v>
      </c>
      <c r="J210" s="19">
        <f>'$ Portfolio Loss'!$R210</f>
        <v>28.496349071360232</v>
      </c>
      <c r="L210">
        <v>206</v>
      </c>
      <c r="M210">
        <f>'$ Portfolio Loss'!$I319</f>
        <v>315</v>
      </c>
      <c r="N210" s="19">
        <f>'$ Portfolio Loss'!$R319</f>
        <v>-5.7886993052413462</v>
      </c>
      <c r="Q210">
        <v>207</v>
      </c>
      <c r="R210">
        <f t="shared" ca="1" si="7"/>
        <v>-21.620101091737499</v>
      </c>
    </row>
    <row r="211" spans="9:18" x14ac:dyDescent="0.3">
      <c r="I211">
        <f>'$ Portfolio Loss'!$I211</f>
        <v>207</v>
      </c>
      <c r="J211" s="19">
        <f>'$ Portfolio Loss'!$R211</f>
        <v>6.390181812355995</v>
      </c>
      <c r="L211">
        <v>207</v>
      </c>
      <c r="M211">
        <f>'$ Portfolio Loss'!$I214</f>
        <v>210</v>
      </c>
      <c r="N211" s="19">
        <f>'$ Portfolio Loss'!$R214</f>
        <v>-5.8267287740559581</v>
      </c>
      <c r="Q211">
        <v>208</v>
      </c>
      <c r="R211">
        <f t="shared" ca="1" si="7"/>
        <v>15.482618776566303</v>
      </c>
    </row>
    <row r="212" spans="9:18" x14ac:dyDescent="0.3">
      <c r="I212">
        <f>'$ Portfolio Loss'!$I212</f>
        <v>208</v>
      </c>
      <c r="J212" s="19">
        <f>'$ Portfolio Loss'!$R212</f>
        <v>19.488502460363151</v>
      </c>
      <c r="L212">
        <v>208</v>
      </c>
      <c r="M212">
        <f>'$ Portfolio Loss'!$I67</f>
        <v>63</v>
      </c>
      <c r="N212" s="19">
        <f>'$ Portfolio Loss'!$R67</f>
        <v>-5.851985875431418</v>
      </c>
      <c r="Q212">
        <v>209</v>
      </c>
      <c r="R212">
        <f t="shared" ca="1" si="7"/>
        <v>-7.6942504255573603</v>
      </c>
    </row>
    <row r="213" spans="9:18" x14ac:dyDescent="0.3">
      <c r="I213">
        <f>'$ Portfolio Loss'!$I213</f>
        <v>209</v>
      </c>
      <c r="J213" s="19">
        <f>'$ Portfolio Loss'!$R213</f>
        <v>3.5106759211804865</v>
      </c>
      <c r="L213">
        <v>209</v>
      </c>
      <c r="M213">
        <f>'$ Portfolio Loss'!$I290</f>
        <v>286</v>
      </c>
      <c r="N213" s="19">
        <f>'$ Portfolio Loss'!$R290</f>
        <v>-5.9080052648997308</v>
      </c>
      <c r="Q213">
        <v>210</v>
      </c>
      <c r="R213">
        <f t="shared" ca="1" si="7"/>
        <v>-3.0664558159370801</v>
      </c>
    </row>
    <row r="214" spans="9:18" x14ac:dyDescent="0.3">
      <c r="I214">
        <f>'$ Portfolio Loss'!$I214</f>
        <v>210</v>
      </c>
      <c r="J214" s="19">
        <f>'$ Portfolio Loss'!$R214</f>
        <v>-5.8267287740559581</v>
      </c>
      <c r="L214">
        <v>210</v>
      </c>
      <c r="M214">
        <f>'$ Portfolio Loss'!$I254</f>
        <v>250</v>
      </c>
      <c r="N214" s="19">
        <f>'$ Portfolio Loss'!$R254</f>
        <v>-6.6656761009252072</v>
      </c>
      <c r="Q214">
        <v>211</v>
      </c>
      <c r="R214">
        <f t="shared" ca="1" si="7"/>
        <v>12.260388653896184</v>
      </c>
    </row>
    <row r="215" spans="9:18" x14ac:dyDescent="0.3">
      <c r="I215">
        <f>'$ Portfolio Loss'!$I215</f>
        <v>211</v>
      </c>
      <c r="J215" s="19">
        <f>'$ Portfolio Loss'!$R215</f>
        <v>-7.2642954354772566</v>
      </c>
      <c r="L215">
        <v>211</v>
      </c>
      <c r="M215">
        <f>'$ Portfolio Loss'!$I25</f>
        <v>21</v>
      </c>
      <c r="N215" s="19">
        <f>'$ Portfolio Loss'!$R25</f>
        <v>-6.877926741204023</v>
      </c>
      <c r="Q215">
        <v>212</v>
      </c>
      <c r="R215">
        <f t="shared" ca="1" si="7"/>
        <v>-20.423468556973717</v>
      </c>
    </row>
    <row r="216" spans="9:18" x14ac:dyDescent="0.3">
      <c r="I216">
        <f>'$ Portfolio Loss'!$I216</f>
        <v>212</v>
      </c>
      <c r="J216" s="19">
        <f>'$ Portfolio Loss'!$R216</f>
        <v>-3.2321972104294301</v>
      </c>
      <c r="L216">
        <v>212</v>
      </c>
      <c r="M216">
        <f>'$ Portfolio Loss'!$I252</f>
        <v>248</v>
      </c>
      <c r="N216" s="19">
        <f>'$ Portfolio Loss'!$R252</f>
        <v>-6.9486350728887318</v>
      </c>
      <c r="Q216">
        <v>213</v>
      </c>
      <c r="R216">
        <f t="shared" ca="1" si="7"/>
        <v>-21.27590763206468</v>
      </c>
    </row>
    <row r="217" spans="9:18" x14ac:dyDescent="0.3">
      <c r="I217">
        <f>'$ Portfolio Loss'!$I217</f>
        <v>213</v>
      </c>
      <c r="J217" s="19">
        <f>'$ Portfolio Loss'!$R217</f>
        <v>5.6632082631509304</v>
      </c>
      <c r="L217">
        <v>213</v>
      </c>
      <c r="M217">
        <f>'$ Portfolio Loss'!$I60</f>
        <v>56</v>
      </c>
      <c r="N217" s="19">
        <f>'$ Portfolio Loss'!$R60</f>
        <v>-7.0147997055766584</v>
      </c>
      <c r="Q217">
        <v>214</v>
      </c>
      <c r="R217">
        <f t="shared" ca="1" si="7"/>
        <v>7.4657185472599394</v>
      </c>
    </row>
    <row r="218" spans="9:18" x14ac:dyDescent="0.3">
      <c r="I218">
        <f>'$ Portfolio Loss'!$I218</f>
        <v>214</v>
      </c>
      <c r="J218" s="19">
        <f>'$ Portfolio Loss'!$R218</f>
        <v>18.781270563981415</v>
      </c>
      <c r="L218">
        <v>214</v>
      </c>
      <c r="M218">
        <f>'$ Portfolio Loss'!$I171</f>
        <v>167</v>
      </c>
      <c r="N218" s="19">
        <f>'$ Portfolio Loss'!$R171</f>
        <v>-7.0611956041107176</v>
      </c>
      <c r="Q218">
        <v>215</v>
      </c>
      <c r="R218">
        <f t="shared" ca="1" si="7"/>
        <v>16.200702650887703</v>
      </c>
    </row>
    <row r="219" spans="9:18" x14ac:dyDescent="0.3">
      <c r="I219">
        <f>'$ Portfolio Loss'!$I219</f>
        <v>215</v>
      </c>
      <c r="J219" s="19">
        <f>'$ Portfolio Loss'!$R219</f>
        <v>7.0880049301949741</v>
      </c>
      <c r="L219">
        <v>215</v>
      </c>
      <c r="M219">
        <f>'$ Portfolio Loss'!$I313</f>
        <v>309</v>
      </c>
      <c r="N219" s="19">
        <f>'$ Portfolio Loss'!$R313</f>
        <v>-7.1222701385393146</v>
      </c>
      <c r="Q219">
        <v>216</v>
      </c>
      <c r="R219">
        <f t="shared" ca="1" si="7"/>
        <v>-38.47850527565798</v>
      </c>
    </row>
    <row r="220" spans="9:18" x14ac:dyDescent="0.3">
      <c r="I220">
        <f>'$ Portfolio Loss'!$I220</f>
        <v>216</v>
      </c>
      <c r="J220" s="19">
        <f>'$ Portfolio Loss'!$R220</f>
        <v>2.0268135219905377</v>
      </c>
      <c r="L220">
        <v>216</v>
      </c>
      <c r="M220">
        <f>'$ Portfolio Loss'!$I215</f>
        <v>211</v>
      </c>
      <c r="N220" s="19">
        <f>'$ Portfolio Loss'!$R215</f>
        <v>-7.2642954354772566</v>
      </c>
      <c r="Q220">
        <v>217</v>
      </c>
      <c r="R220">
        <f t="shared" ca="1" si="7"/>
        <v>3.1777987699590549</v>
      </c>
    </row>
    <row r="221" spans="9:18" x14ac:dyDescent="0.3">
      <c r="I221">
        <f>'$ Portfolio Loss'!$I221</f>
        <v>217</v>
      </c>
      <c r="J221" s="19">
        <f>'$ Portfolio Loss'!$R221</f>
        <v>-20.04735802747178</v>
      </c>
      <c r="L221">
        <v>217</v>
      </c>
      <c r="M221">
        <f>'$ Portfolio Loss'!$I74</f>
        <v>70</v>
      </c>
      <c r="N221" s="19">
        <f>'$ Portfolio Loss'!$R74</f>
        <v>-7.2655913306410316</v>
      </c>
      <c r="Q221">
        <v>218</v>
      </c>
      <c r="R221">
        <f t="shared" ca="1" si="7"/>
        <v>9.0290237364042234</v>
      </c>
    </row>
    <row r="222" spans="9:18" x14ac:dyDescent="0.3">
      <c r="I222">
        <f>'$ Portfolio Loss'!$I222</f>
        <v>218</v>
      </c>
      <c r="J222" s="19">
        <f>'$ Portfolio Loss'!$R222</f>
        <v>2.4404297083393334</v>
      </c>
      <c r="L222">
        <v>218</v>
      </c>
      <c r="M222">
        <f>'$ Portfolio Loss'!$I43</f>
        <v>39</v>
      </c>
      <c r="N222" s="19">
        <f>'$ Portfolio Loss'!$R43</f>
        <v>-7.4176659776650666</v>
      </c>
      <c r="Q222">
        <v>219</v>
      </c>
      <c r="R222">
        <f t="shared" ca="1" si="7"/>
        <v>-9.3844662491673176</v>
      </c>
    </row>
    <row r="223" spans="9:18" x14ac:dyDescent="0.3">
      <c r="I223">
        <f>'$ Portfolio Loss'!$I223</f>
        <v>219</v>
      </c>
      <c r="J223" s="19">
        <f>'$ Portfolio Loss'!$R223</f>
        <v>-4.5402950923280718</v>
      </c>
      <c r="L223">
        <v>219</v>
      </c>
      <c r="M223">
        <f>'$ Portfolio Loss'!$I15</f>
        <v>11</v>
      </c>
      <c r="N223" s="19">
        <f>'$ Portfolio Loss'!$R15</f>
        <v>-7.5264611821949483</v>
      </c>
      <c r="Q223">
        <v>220</v>
      </c>
      <c r="R223">
        <f t="shared" ca="1" si="7"/>
        <v>-9.6862490716398923</v>
      </c>
    </row>
    <row r="224" spans="9:18" x14ac:dyDescent="0.3">
      <c r="I224">
        <f>'$ Portfolio Loss'!$I224</f>
        <v>220</v>
      </c>
      <c r="J224" s="19">
        <f>'$ Portfolio Loss'!$R224</f>
        <v>-9.2366237501451973</v>
      </c>
      <c r="L224">
        <v>220</v>
      </c>
      <c r="M224">
        <f>'$ Portfolio Loss'!$I48</f>
        <v>44</v>
      </c>
      <c r="N224" s="19">
        <f>'$ Portfolio Loss'!$R48</f>
        <v>-8.0822088673042067</v>
      </c>
      <c r="Q224">
        <v>221</v>
      </c>
      <c r="R224">
        <f t="shared" ca="1" si="7"/>
        <v>-16.984383000400172</v>
      </c>
    </row>
    <row r="225" spans="9:18" x14ac:dyDescent="0.3">
      <c r="I225">
        <f>'$ Portfolio Loss'!$I225</f>
        <v>221</v>
      </c>
      <c r="J225" s="19">
        <f>'$ Portfolio Loss'!$R225</f>
        <v>-2.0671953517972232</v>
      </c>
      <c r="L225">
        <v>221</v>
      </c>
      <c r="M225">
        <f>'$ Portfolio Loss'!$I231</f>
        <v>227</v>
      </c>
      <c r="N225" s="19">
        <f>'$ Portfolio Loss'!$R231</f>
        <v>-8.2221337288520342</v>
      </c>
      <c r="Q225">
        <v>222</v>
      </c>
      <c r="R225">
        <f t="shared" ca="1" si="7"/>
        <v>-27.929050199865483</v>
      </c>
    </row>
    <row r="226" spans="9:18" x14ac:dyDescent="0.3">
      <c r="I226">
        <f>'$ Portfolio Loss'!$I226</f>
        <v>222</v>
      </c>
      <c r="J226" s="19">
        <f>'$ Portfolio Loss'!$R226</f>
        <v>7.0863196069631575</v>
      </c>
      <c r="L226">
        <v>222</v>
      </c>
      <c r="M226">
        <f>'$ Portfolio Loss'!$I139</f>
        <v>135</v>
      </c>
      <c r="N226" s="19">
        <f>'$ Portfolio Loss'!$R139</f>
        <v>-8.3299723260117773</v>
      </c>
      <c r="Q226">
        <v>223</v>
      </c>
      <c r="R226">
        <f t="shared" ca="1" si="7"/>
        <v>-20.791247869780602</v>
      </c>
    </row>
    <row r="227" spans="9:18" x14ac:dyDescent="0.3">
      <c r="I227">
        <f>'$ Portfolio Loss'!$I227</f>
        <v>223</v>
      </c>
      <c r="J227" s="19">
        <f>'$ Portfolio Loss'!$R227</f>
        <v>-12.091910896634579</v>
      </c>
      <c r="L227">
        <v>223</v>
      </c>
      <c r="M227">
        <f>'$ Portfolio Loss'!$I159</f>
        <v>155</v>
      </c>
      <c r="N227" s="19">
        <f>'$ Portfolio Loss'!$R159</f>
        <v>-8.5266480471158026</v>
      </c>
      <c r="Q227">
        <v>224</v>
      </c>
      <c r="R227">
        <f t="shared" ca="1" si="7"/>
        <v>-3.1619936112875209</v>
      </c>
    </row>
    <row r="228" spans="9:18" x14ac:dyDescent="0.3">
      <c r="I228">
        <f>'$ Portfolio Loss'!$I228</f>
        <v>224</v>
      </c>
      <c r="J228" s="19">
        <f>'$ Portfolio Loss'!$R228</f>
        <v>-30.528328677935004</v>
      </c>
      <c r="L228">
        <v>224</v>
      </c>
      <c r="M228">
        <f>'$ Portfolio Loss'!$I90</f>
        <v>86</v>
      </c>
      <c r="N228" s="19">
        <f>'$ Portfolio Loss'!$R90</f>
        <v>-8.741113230062961</v>
      </c>
      <c r="Q228">
        <v>225</v>
      </c>
      <c r="R228">
        <f t="shared" ca="1" si="7"/>
        <v>-4.1701847037866502</v>
      </c>
    </row>
    <row r="229" spans="9:18" x14ac:dyDescent="0.3">
      <c r="I229">
        <f>'$ Portfolio Loss'!$I229</f>
        <v>225</v>
      </c>
      <c r="J229" s="19">
        <f>'$ Portfolio Loss'!$R229</f>
        <v>9.3940823133707052E-2</v>
      </c>
      <c r="L229">
        <v>225</v>
      </c>
      <c r="M229">
        <f>'$ Portfolio Loss'!$I224</f>
        <v>220</v>
      </c>
      <c r="N229" s="19">
        <f>'$ Portfolio Loss'!$R224</f>
        <v>-9.2366237501451973</v>
      </c>
      <c r="Q229">
        <v>226</v>
      </c>
      <c r="R229">
        <f t="shared" ca="1" si="7"/>
        <v>14.723378068811705</v>
      </c>
    </row>
    <row r="230" spans="9:18" x14ac:dyDescent="0.3">
      <c r="I230">
        <f>'$ Portfolio Loss'!$I230</f>
        <v>226</v>
      </c>
      <c r="J230" s="19">
        <f>'$ Portfolio Loss'!$R230</f>
        <v>7.0584059355471132</v>
      </c>
      <c r="L230">
        <v>226</v>
      </c>
      <c r="M230">
        <f>'$ Portfolio Loss'!$I235</f>
        <v>231</v>
      </c>
      <c r="N230" s="19">
        <f>'$ Portfolio Loss'!$R235</f>
        <v>-9.399527989549636</v>
      </c>
      <c r="Q230">
        <v>227</v>
      </c>
      <c r="R230">
        <f t="shared" ca="1" si="7"/>
        <v>15.732752116517405</v>
      </c>
    </row>
    <row r="231" spans="9:18" x14ac:dyDescent="0.3">
      <c r="I231">
        <f>'$ Portfolio Loss'!$I231</f>
        <v>227</v>
      </c>
      <c r="J231" s="19">
        <f>'$ Portfolio Loss'!$R231</f>
        <v>-8.2221337288520342</v>
      </c>
      <c r="L231">
        <v>227</v>
      </c>
      <c r="M231">
        <f>'$ Portfolio Loss'!$I22</f>
        <v>18</v>
      </c>
      <c r="N231" s="19">
        <f>'$ Portfolio Loss'!$R22</f>
        <v>-9.4806255269205568</v>
      </c>
      <c r="Q231">
        <v>228</v>
      </c>
      <c r="R231">
        <f t="shared" ca="1" si="7"/>
        <v>15.390669172976152</v>
      </c>
    </row>
    <row r="232" spans="9:18" x14ac:dyDescent="0.3">
      <c r="I232">
        <f>'$ Portfolio Loss'!$I232</f>
        <v>228</v>
      </c>
      <c r="J232" s="19">
        <f>'$ Portfolio Loss'!$R232</f>
        <v>14.458743415777922</v>
      </c>
      <c r="L232">
        <v>228</v>
      </c>
      <c r="M232">
        <f>'$ Portfolio Loss'!$I253</f>
        <v>249</v>
      </c>
      <c r="N232" s="19">
        <f>'$ Portfolio Loss'!$R253</f>
        <v>-9.7339613290667533</v>
      </c>
      <c r="Q232">
        <v>229</v>
      </c>
      <c r="R232">
        <f t="shared" ca="1" si="7"/>
        <v>-31.501878510359486</v>
      </c>
    </row>
    <row r="233" spans="9:18" x14ac:dyDescent="0.3">
      <c r="I233">
        <f>'$ Portfolio Loss'!$I233</f>
        <v>229</v>
      </c>
      <c r="J233" s="19">
        <f>'$ Portfolio Loss'!$R233</f>
        <v>10.918395502117633</v>
      </c>
      <c r="L233">
        <v>229</v>
      </c>
      <c r="M233">
        <f>'$ Portfolio Loss'!$I196</f>
        <v>192</v>
      </c>
      <c r="N233" s="19">
        <f>'$ Portfolio Loss'!$R196</f>
        <v>-9.793509447572708</v>
      </c>
      <c r="Q233">
        <v>230</v>
      </c>
      <c r="R233">
        <f t="shared" ca="1" si="7"/>
        <v>1.0526761545043624</v>
      </c>
    </row>
    <row r="234" spans="9:18" x14ac:dyDescent="0.3">
      <c r="I234">
        <f>'$ Portfolio Loss'!$I234</f>
        <v>230</v>
      </c>
      <c r="J234" s="19">
        <f>'$ Portfolio Loss'!$R234</f>
        <v>5.7465726095172167</v>
      </c>
      <c r="L234">
        <v>230</v>
      </c>
      <c r="M234">
        <f>'$ Portfolio Loss'!$I295</f>
        <v>291</v>
      </c>
      <c r="N234" s="19">
        <f>'$ Portfolio Loss'!$R295</f>
        <v>-10.325260223882795</v>
      </c>
      <c r="Q234">
        <v>231</v>
      </c>
      <c r="R234">
        <f t="shared" ca="1" si="7"/>
        <v>-21.992329810943325</v>
      </c>
    </row>
    <row r="235" spans="9:18" x14ac:dyDescent="0.3">
      <c r="I235">
        <f>'$ Portfolio Loss'!$I235</f>
        <v>231</v>
      </c>
      <c r="J235" s="19">
        <f>'$ Portfolio Loss'!$R235</f>
        <v>-9.399527989549636</v>
      </c>
      <c r="L235">
        <v>231</v>
      </c>
      <c r="M235">
        <f>'$ Portfolio Loss'!$I110</f>
        <v>106</v>
      </c>
      <c r="N235" s="19">
        <f>'$ Portfolio Loss'!$R110</f>
        <v>-10.386311795782447</v>
      </c>
      <c r="Q235">
        <v>232</v>
      </c>
      <c r="R235">
        <f t="shared" ca="1" si="7"/>
        <v>35.604556172184608</v>
      </c>
    </row>
    <row r="236" spans="9:18" x14ac:dyDescent="0.3">
      <c r="I236">
        <f>'$ Portfolio Loss'!$I236</f>
        <v>232</v>
      </c>
      <c r="J236" s="19">
        <f>'$ Portfolio Loss'!$R236</f>
        <v>2.6446405208693742</v>
      </c>
      <c r="L236">
        <v>232</v>
      </c>
      <c r="M236">
        <f>'$ Portfolio Loss'!$I259</f>
        <v>255</v>
      </c>
      <c r="N236" s="19">
        <f>'$ Portfolio Loss'!$R259</f>
        <v>-10.556086142616749</v>
      </c>
      <c r="Q236">
        <v>233</v>
      </c>
      <c r="R236">
        <f t="shared" ca="1" si="7"/>
        <v>-9.4226285949959685</v>
      </c>
    </row>
    <row r="237" spans="9:18" x14ac:dyDescent="0.3">
      <c r="I237">
        <f>'$ Portfolio Loss'!$I237</f>
        <v>233</v>
      </c>
      <c r="J237" s="19">
        <f>'$ Portfolio Loss'!$R237</f>
        <v>2.3624773724523784</v>
      </c>
      <c r="L237">
        <v>233</v>
      </c>
      <c r="M237">
        <f>'$ Portfolio Loss'!$I93</f>
        <v>89</v>
      </c>
      <c r="N237" s="19">
        <f>'$ Portfolio Loss'!$R93</f>
        <v>-10.577580103795887</v>
      </c>
      <c r="Q237">
        <v>234</v>
      </c>
      <c r="R237">
        <f t="shared" ca="1" si="7"/>
        <v>24.310337995946412</v>
      </c>
    </row>
    <row r="238" spans="9:18" x14ac:dyDescent="0.3">
      <c r="I238">
        <f>'$ Portfolio Loss'!$I238</f>
        <v>234</v>
      </c>
      <c r="J238" s="19">
        <f>'$ Portfolio Loss'!$R238</f>
        <v>-5.2182650671384332</v>
      </c>
      <c r="L238">
        <v>234</v>
      </c>
      <c r="M238">
        <f>'$ Portfolio Loss'!$I265</f>
        <v>261</v>
      </c>
      <c r="N238" s="19">
        <f>'$ Portfolio Loss'!$R265</f>
        <v>-10.695211804877163</v>
      </c>
      <c r="Q238">
        <v>235</v>
      </c>
      <c r="R238">
        <f t="shared" ca="1" si="7"/>
        <v>-15.295982596399957</v>
      </c>
    </row>
    <row r="239" spans="9:18" x14ac:dyDescent="0.3">
      <c r="I239">
        <f>'$ Portfolio Loss'!$I239</f>
        <v>235</v>
      </c>
      <c r="J239" s="19">
        <f>'$ Portfolio Loss'!$R239</f>
        <v>-11.206969023117065</v>
      </c>
      <c r="L239">
        <v>235</v>
      </c>
      <c r="M239">
        <f>'$ Portfolio Loss'!$I239</f>
        <v>235</v>
      </c>
      <c r="N239" s="19">
        <f>'$ Portfolio Loss'!$R239</f>
        <v>-11.206969023117065</v>
      </c>
      <c r="Q239">
        <v>236</v>
      </c>
      <c r="R239">
        <f t="shared" ca="1" si="7"/>
        <v>-25.823970662766946</v>
      </c>
    </row>
    <row r="240" spans="9:18" x14ac:dyDescent="0.3">
      <c r="I240">
        <f>'$ Portfolio Loss'!$I240</f>
        <v>236</v>
      </c>
      <c r="J240" s="19">
        <f>'$ Portfolio Loss'!$R240</f>
        <v>-4.1499699463913444</v>
      </c>
      <c r="L240">
        <v>236</v>
      </c>
      <c r="M240">
        <f>'$ Portfolio Loss'!$I173</f>
        <v>169</v>
      </c>
      <c r="N240" s="19">
        <f>'$ Portfolio Loss'!$R173</f>
        <v>-11.220516543077469</v>
      </c>
      <c r="Q240">
        <v>237</v>
      </c>
      <c r="R240">
        <f t="shared" ca="1" si="7"/>
        <v>5.5398261119322871</v>
      </c>
    </row>
    <row r="241" spans="9:18" x14ac:dyDescent="0.3">
      <c r="I241">
        <f>'$ Portfolio Loss'!$I241</f>
        <v>237</v>
      </c>
      <c r="J241" s="19">
        <f>'$ Portfolio Loss'!$R241</f>
        <v>2.5736759871299268</v>
      </c>
      <c r="L241">
        <v>237</v>
      </c>
      <c r="M241">
        <f>'$ Portfolio Loss'!$I154</f>
        <v>150</v>
      </c>
      <c r="N241" s="19">
        <f>'$ Portfolio Loss'!$R154</f>
        <v>-11.401832737764359</v>
      </c>
      <c r="Q241">
        <v>238</v>
      </c>
      <c r="R241">
        <f t="shared" ca="1" si="7"/>
        <v>10.860536956422704</v>
      </c>
    </row>
    <row r="242" spans="9:18" x14ac:dyDescent="0.3">
      <c r="I242">
        <f>'$ Portfolio Loss'!$I242</f>
        <v>238</v>
      </c>
      <c r="J242" s="19">
        <f>'$ Portfolio Loss'!$R242</f>
        <v>1.1592532303391696</v>
      </c>
      <c r="L242">
        <v>238</v>
      </c>
      <c r="M242">
        <f>'$ Portfolio Loss'!$I32</f>
        <v>28</v>
      </c>
      <c r="N242" s="19">
        <f>'$ Portfolio Loss'!$R32</f>
        <v>-12.042211121222973</v>
      </c>
      <c r="Q242">
        <v>239</v>
      </c>
      <c r="R242">
        <f t="shared" ca="1" si="7"/>
        <v>32.238659108343775</v>
      </c>
    </row>
    <row r="243" spans="9:18" x14ac:dyDescent="0.3">
      <c r="I243">
        <f>'$ Portfolio Loss'!$I243</f>
        <v>239</v>
      </c>
      <c r="J243" s="19">
        <f>'$ Portfolio Loss'!$R243</f>
        <v>19.866957988964081</v>
      </c>
      <c r="L243">
        <v>239</v>
      </c>
      <c r="M243">
        <f>'$ Portfolio Loss'!$I227</f>
        <v>223</v>
      </c>
      <c r="N243" s="19">
        <f>'$ Portfolio Loss'!$R227</f>
        <v>-12.091910896634579</v>
      </c>
      <c r="Q243">
        <v>240</v>
      </c>
      <c r="R243">
        <f t="shared" ca="1" si="7"/>
        <v>7.3564136785583116</v>
      </c>
    </row>
    <row r="244" spans="9:18" x14ac:dyDescent="0.3">
      <c r="I244">
        <f>'$ Portfolio Loss'!$I244</f>
        <v>240</v>
      </c>
      <c r="J244" s="19">
        <f>'$ Portfolio Loss'!$R244</f>
        <v>1.758921609448552</v>
      </c>
      <c r="L244">
        <v>240</v>
      </c>
      <c r="M244">
        <f>'$ Portfolio Loss'!$I157</f>
        <v>153</v>
      </c>
      <c r="N244" s="19">
        <f>'$ Portfolio Loss'!$R157</f>
        <v>-12.456948403416037</v>
      </c>
      <c r="Q244">
        <v>241</v>
      </c>
      <c r="R244">
        <f t="shared" ca="1" si="7"/>
        <v>15.228262096553587</v>
      </c>
    </row>
    <row r="245" spans="9:18" x14ac:dyDescent="0.3">
      <c r="I245">
        <f>'$ Portfolio Loss'!$I245</f>
        <v>241</v>
      </c>
      <c r="J245" s="19">
        <f>'$ Portfolio Loss'!$R245</f>
        <v>1.1317116370124818</v>
      </c>
      <c r="L245">
        <v>241</v>
      </c>
      <c r="M245">
        <f>'$ Portfolio Loss'!$I122</f>
        <v>118</v>
      </c>
      <c r="N245" s="19">
        <f>'$ Portfolio Loss'!$R122</f>
        <v>-12.497816810507894</v>
      </c>
      <c r="Q245">
        <v>242</v>
      </c>
      <c r="R245">
        <f t="shared" ca="1" si="7"/>
        <v>-7.2968991002583676</v>
      </c>
    </row>
    <row r="246" spans="9:18" x14ac:dyDescent="0.3">
      <c r="I246">
        <f>'$ Portfolio Loss'!$I246</f>
        <v>242</v>
      </c>
      <c r="J246" s="19">
        <f>'$ Portfolio Loss'!$R246</f>
        <v>8.4238354440810674</v>
      </c>
      <c r="L246">
        <v>242</v>
      </c>
      <c r="M246">
        <f>'$ Portfolio Loss'!$I40</f>
        <v>36</v>
      </c>
      <c r="N246" s="19">
        <f>'$ Portfolio Loss'!$R40</f>
        <v>-12.826514873774528</v>
      </c>
      <c r="Q246">
        <v>243</v>
      </c>
      <c r="R246">
        <f t="shared" ca="1" si="7"/>
        <v>-8.608886265577107</v>
      </c>
    </row>
    <row r="247" spans="9:18" x14ac:dyDescent="0.3">
      <c r="I247">
        <f>'$ Portfolio Loss'!$I247</f>
        <v>243</v>
      </c>
      <c r="J247" s="19">
        <f>'$ Portfolio Loss'!$R247</f>
        <v>9.6327890766043662</v>
      </c>
      <c r="L247">
        <v>243</v>
      </c>
      <c r="M247">
        <f>'$ Portfolio Loss'!$I62</f>
        <v>58</v>
      </c>
      <c r="N247" s="19">
        <f>'$ Portfolio Loss'!$R62</f>
        <v>-12.994325704149485</v>
      </c>
      <c r="Q247">
        <v>244</v>
      </c>
      <c r="R247">
        <f t="shared" ca="1" si="7"/>
        <v>22.192209054936846</v>
      </c>
    </row>
    <row r="248" spans="9:18" x14ac:dyDescent="0.3">
      <c r="I248">
        <f>'$ Portfolio Loss'!$I248</f>
        <v>244</v>
      </c>
      <c r="J248" s="19">
        <f>'$ Portfolio Loss'!$R248</f>
        <v>2.8145624972712993</v>
      </c>
      <c r="L248">
        <v>244</v>
      </c>
      <c r="M248">
        <f>'$ Portfolio Loss'!$I99</f>
        <v>95</v>
      </c>
      <c r="N248" s="19">
        <f>'$ Portfolio Loss'!$R99</f>
        <v>-13.067010090300679</v>
      </c>
      <c r="Q248">
        <v>245</v>
      </c>
      <c r="R248">
        <f t="shared" ca="1" si="7"/>
        <v>-9.5382345550467953</v>
      </c>
    </row>
    <row r="249" spans="9:18" x14ac:dyDescent="0.3">
      <c r="I249">
        <f>'$ Portfolio Loss'!$I249</f>
        <v>245</v>
      </c>
      <c r="J249" s="19">
        <f>'$ Portfolio Loss'!$R249</f>
        <v>10.167197428786158</v>
      </c>
      <c r="L249">
        <v>245</v>
      </c>
      <c r="M249">
        <f>'$ Portfolio Loss'!$I207</f>
        <v>203</v>
      </c>
      <c r="N249" s="19">
        <f>'$ Portfolio Loss'!$R207</f>
        <v>-13.26872427898693</v>
      </c>
      <c r="Q249">
        <v>246</v>
      </c>
      <c r="R249">
        <f t="shared" ca="1" si="7"/>
        <v>7.8259987122262835</v>
      </c>
    </row>
    <row r="250" spans="9:18" x14ac:dyDescent="0.3">
      <c r="I250">
        <f>'$ Portfolio Loss'!$I250</f>
        <v>246</v>
      </c>
      <c r="J250" s="19">
        <f>'$ Portfolio Loss'!$R250</f>
        <v>7.7441872217566967</v>
      </c>
      <c r="L250">
        <v>246</v>
      </c>
      <c r="M250">
        <f>'$ Portfolio Loss'!$I76</f>
        <v>72</v>
      </c>
      <c r="N250" s="19">
        <f>'$ Portfolio Loss'!$R76</f>
        <v>-13.517766179144145</v>
      </c>
      <c r="Q250">
        <v>247</v>
      </c>
      <c r="R250">
        <f t="shared" ca="1" si="7"/>
        <v>-15.349327433462594</v>
      </c>
    </row>
    <row r="251" spans="9:18" x14ac:dyDescent="0.3">
      <c r="I251">
        <f>'$ Portfolio Loss'!$I251</f>
        <v>247</v>
      </c>
      <c r="J251" s="19">
        <f>'$ Portfolio Loss'!$R251</f>
        <v>-14.183351775316716</v>
      </c>
      <c r="L251">
        <v>247</v>
      </c>
      <c r="M251">
        <f>'$ Portfolio Loss'!$I148</f>
        <v>144</v>
      </c>
      <c r="N251" s="19">
        <f>'$ Portfolio Loss'!$R148</f>
        <v>-13.550510841892242</v>
      </c>
      <c r="Q251">
        <v>248</v>
      </c>
      <c r="R251">
        <f t="shared" ca="1" si="7"/>
        <v>-6.6730261255259862</v>
      </c>
    </row>
    <row r="252" spans="9:18" x14ac:dyDescent="0.3">
      <c r="I252">
        <f>'$ Portfolio Loss'!$I252</f>
        <v>248</v>
      </c>
      <c r="J252" s="19">
        <f>'$ Portfolio Loss'!$R252</f>
        <v>-6.9486350728887318</v>
      </c>
      <c r="L252">
        <v>248</v>
      </c>
      <c r="M252">
        <f>'$ Portfolio Loss'!$I11</f>
        <v>7</v>
      </c>
      <c r="N252" s="19">
        <f>'$ Portfolio Loss'!$R11</f>
        <v>-13.654390523549438</v>
      </c>
      <c r="Q252">
        <v>249</v>
      </c>
      <c r="R252">
        <f t="shared" ca="1" si="7"/>
        <v>3.8550156150099397</v>
      </c>
    </row>
    <row r="253" spans="9:18" x14ac:dyDescent="0.3">
      <c r="I253">
        <f>'$ Portfolio Loss'!$I253</f>
        <v>249</v>
      </c>
      <c r="J253" s="19">
        <f>'$ Portfolio Loss'!$R253</f>
        <v>-9.7339613290667533</v>
      </c>
      <c r="L253">
        <v>249</v>
      </c>
      <c r="M253">
        <f>'$ Portfolio Loss'!$I146</f>
        <v>142</v>
      </c>
      <c r="N253" s="19">
        <f>'$ Portfolio Loss'!$R146</f>
        <v>-13.744136780299664</v>
      </c>
      <c r="Q253">
        <v>250</v>
      </c>
      <c r="R253">
        <f t="shared" ca="1" si="7"/>
        <v>22.548825251765408</v>
      </c>
    </row>
    <row r="254" spans="9:18" x14ac:dyDescent="0.3">
      <c r="I254">
        <f>'$ Portfolio Loss'!$I254</f>
        <v>250</v>
      </c>
      <c r="J254" s="19">
        <f>'$ Portfolio Loss'!$R254</f>
        <v>-6.6656761009252072</v>
      </c>
      <c r="L254">
        <v>250</v>
      </c>
      <c r="M254">
        <f>'$ Portfolio Loss'!$I251</f>
        <v>247</v>
      </c>
      <c r="N254" s="19">
        <f>'$ Portfolio Loss'!$R251</f>
        <v>-14.183351775316716</v>
      </c>
      <c r="Q254">
        <v>251</v>
      </c>
      <c r="R254">
        <f t="shared" ca="1" si="7"/>
        <v>-30.976179093691776</v>
      </c>
    </row>
    <row r="255" spans="9:18" x14ac:dyDescent="0.3">
      <c r="I255">
        <f>'$ Portfolio Loss'!$I255</f>
        <v>251</v>
      </c>
      <c r="J255" s="19">
        <f>'$ Portfolio Loss'!$R255</f>
        <v>-20.340257992534639</v>
      </c>
      <c r="L255">
        <v>251</v>
      </c>
      <c r="M255">
        <f>'$ Portfolio Loss'!$I175</f>
        <v>171</v>
      </c>
      <c r="N255" s="19">
        <f>'$ Portfolio Loss'!$R175</f>
        <v>-14.924280989764451</v>
      </c>
      <c r="Q255">
        <v>252</v>
      </c>
      <c r="R255">
        <f t="shared" ca="1" si="7"/>
        <v>-24.102997820700907</v>
      </c>
    </row>
    <row r="256" spans="9:18" x14ac:dyDescent="0.3">
      <c r="I256">
        <f>'$ Portfolio Loss'!$I256</f>
        <v>252</v>
      </c>
      <c r="J256" s="19">
        <f>'$ Portfolio Loss'!$R256</f>
        <v>7.2358253656623361</v>
      </c>
      <c r="L256">
        <v>252</v>
      </c>
      <c r="M256">
        <f>'$ Portfolio Loss'!$I308</f>
        <v>304</v>
      </c>
      <c r="N256" s="19">
        <f>'$ Portfolio Loss'!$R308</f>
        <v>-15.036403195800542</v>
      </c>
      <c r="Q256">
        <v>253</v>
      </c>
      <c r="R256">
        <f t="shared" ca="1" si="7"/>
        <v>-33.235710398106569</v>
      </c>
    </row>
    <row r="257" spans="9:18" x14ac:dyDescent="0.3">
      <c r="I257">
        <f>'$ Portfolio Loss'!$I257</f>
        <v>253</v>
      </c>
      <c r="J257" s="19">
        <f>'$ Portfolio Loss'!$R257</f>
        <v>9.4702418726385833</v>
      </c>
      <c r="L257">
        <v>253</v>
      </c>
      <c r="M257">
        <f>'$ Portfolio Loss'!$I49</f>
        <v>45</v>
      </c>
      <c r="N257" s="19">
        <f>'$ Portfolio Loss'!$R49</f>
        <v>-15.06799722976637</v>
      </c>
      <c r="Q257">
        <v>254</v>
      </c>
      <c r="R257">
        <f t="shared" ca="1" si="7"/>
        <v>-19.187721502359263</v>
      </c>
    </row>
    <row r="258" spans="9:18" x14ac:dyDescent="0.3">
      <c r="I258">
        <f>'$ Portfolio Loss'!$I258</f>
        <v>254</v>
      </c>
      <c r="J258" s="19">
        <f>'$ Portfolio Loss'!$R258</f>
        <v>-15.477247919872761</v>
      </c>
      <c r="L258">
        <v>254</v>
      </c>
      <c r="M258">
        <f>'$ Portfolio Loss'!$I178</f>
        <v>174</v>
      </c>
      <c r="N258" s="19">
        <f>'$ Portfolio Loss'!$R178</f>
        <v>-15.167961129248738</v>
      </c>
      <c r="Q258">
        <v>255</v>
      </c>
      <c r="R258">
        <f t="shared" ca="1" si="7"/>
        <v>-7.2235460805382381</v>
      </c>
    </row>
    <row r="259" spans="9:18" x14ac:dyDescent="0.3">
      <c r="I259">
        <f>'$ Portfolio Loss'!$I259</f>
        <v>255</v>
      </c>
      <c r="J259" s="19">
        <f>'$ Portfolio Loss'!$R259</f>
        <v>-10.556086142616749</v>
      </c>
      <c r="L259">
        <v>255</v>
      </c>
      <c r="M259">
        <f>'$ Portfolio Loss'!$I134</f>
        <v>130</v>
      </c>
      <c r="N259" s="19">
        <f>'$ Portfolio Loss'!$R134</f>
        <v>-15.345720369394542</v>
      </c>
      <c r="Q259">
        <v>256</v>
      </c>
      <c r="R259">
        <f t="shared" ca="1" si="7"/>
        <v>-23.192935909125488</v>
      </c>
    </row>
    <row r="260" spans="9:18" x14ac:dyDescent="0.3">
      <c r="I260">
        <f>'$ Portfolio Loss'!$I260</f>
        <v>256</v>
      </c>
      <c r="J260" s="19">
        <f>'$ Portfolio Loss'!$R260</f>
        <v>-3.1948140663642883</v>
      </c>
      <c r="L260">
        <v>256</v>
      </c>
      <c r="M260">
        <f>'$ Portfolio Loss'!$I258</f>
        <v>254</v>
      </c>
      <c r="N260" s="19">
        <f>'$ Portfolio Loss'!$R258</f>
        <v>-15.477247919872761</v>
      </c>
      <c r="Q260">
        <v>257</v>
      </c>
      <c r="R260">
        <f t="shared" ref="R260:R323" ca="1" si="8">_xlfn.NORM.INV(RAND(),$B$16,$B$17)</f>
        <v>10.971417307069315</v>
      </c>
    </row>
    <row r="261" spans="9:18" x14ac:dyDescent="0.3">
      <c r="I261">
        <f>'$ Portfolio Loss'!$I261</f>
        <v>257</v>
      </c>
      <c r="J261" s="19">
        <f>'$ Portfolio Loss'!$R261</f>
        <v>2.2080332035858632</v>
      </c>
      <c r="L261">
        <v>257</v>
      </c>
      <c r="M261">
        <f>'$ Portfolio Loss'!$I163</f>
        <v>159</v>
      </c>
      <c r="N261" s="19">
        <f>'$ Portfolio Loss'!$R163</f>
        <v>-15.692182309390187</v>
      </c>
      <c r="Q261">
        <v>258</v>
      </c>
      <c r="R261">
        <f t="shared" ca="1" si="8"/>
        <v>-16.202864953888383</v>
      </c>
    </row>
    <row r="262" spans="9:18" x14ac:dyDescent="0.3">
      <c r="I262">
        <f>'$ Portfolio Loss'!$I262</f>
        <v>258</v>
      </c>
      <c r="J262" s="19">
        <f>'$ Portfolio Loss'!$R262</f>
        <v>-32.26211814796865</v>
      </c>
      <c r="L262">
        <v>258</v>
      </c>
      <c r="M262">
        <f>'$ Portfolio Loss'!$I312</f>
        <v>308</v>
      </c>
      <c r="N262" s="19">
        <f>'$ Portfolio Loss'!$R312</f>
        <v>-15.859744708509803</v>
      </c>
      <c r="Q262">
        <v>259</v>
      </c>
      <c r="R262">
        <f t="shared" ca="1" si="8"/>
        <v>-12.063893523689114</v>
      </c>
    </row>
    <row r="263" spans="9:18" x14ac:dyDescent="0.3">
      <c r="I263">
        <f>'$ Portfolio Loss'!$I263</f>
        <v>259</v>
      </c>
      <c r="J263" s="19">
        <f>'$ Portfolio Loss'!$R263</f>
        <v>9.5313302291131023</v>
      </c>
      <c r="L263">
        <v>259</v>
      </c>
      <c r="M263">
        <f>'$ Portfolio Loss'!$I92</f>
        <v>88</v>
      </c>
      <c r="N263" s="19">
        <f>'$ Portfolio Loss'!$R92</f>
        <v>-16.309522718004228</v>
      </c>
      <c r="Q263">
        <v>260</v>
      </c>
      <c r="R263">
        <f t="shared" ca="1" si="8"/>
        <v>-21.937265413346186</v>
      </c>
    </row>
    <row r="264" spans="9:18" x14ac:dyDescent="0.3">
      <c r="I264">
        <f>'$ Portfolio Loss'!$I264</f>
        <v>260</v>
      </c>
      <c r="J264" s="19">
        <f>'$ Portfolio Loss'!$R264</f>
        <v>-16.553538996410609</v>
      </c>
      <c r="L264">
        <v>260</v>
      </c>
      <c r="M264">
        <f>'$ Portfolio Loss'!$I306</f>
        <v>302</v>
      </c>
      <c r="N264" s="19">
        <f>'$ Portfolio Loss'!$R306</f>
        <v>-16.535275021268486</v>
      </c>
      <c r="Q264">
        <v>261</v>
      </c>
      <c r="R264">
        <f t="shared" ca="1" si="8"/>
        <v>22.576178130962887</v>
      </c>
    </row>
    <row r="265" spans="9:18" x14ac:dyDescent="0.3">
      <c r="I265">
        <f>'$ Portfolio Loss'!$I265</f>
        <v>261</v>
      </c>
      <c r="J265" s="19">
        <f>'$ Portfolio Loss'!$R265</f>
        <v>-10.695211804877163</v>
      </c>
      <c r="L265">
        <v>261</v>
      </c>
      <c r="M265">
        <f>'$ Portfolio Loss'!$I264</f>
        <v>260</v>
      </c>
      <c r="N265" s="19">
        <f>'$ Portfolio Loss'!$R264</f>
        <v>-16.553538996410609</v>
      </c>
      <c r="Q265">
        <v>262</v>
      </c>
      <c r="R265">
        <f t="shared" ca="1" si="8"/>
        <v>10.801030296838617</v>
      </c>
    </row>
    <row r="266" spans="9:18" x14ac:dyDescent="0.3">
      <c r="I266">
        <f>'$ Portfolio Loss'!$I266</f>
        <v>262</v>
      </c>
      <c r="J266" s="19">
        <f>'$ Portfolio Loss'!$R266</f>
        <v>-18.63321672656226</v>
      </c>
      <c r="L266">
        <v>262</v>
      </c>
      <c r="M266">
        <f>'$ Portfolio Loss'!$I88</f>
        <v>84</v>
      </c>
      <c r="N266" s="19">
        <f>'$ Portfolio Loss'!$R88</f>
        <v>-16.861863612771629</v>
      </c>
      <c r="Q266">
        <v>263</v>
      </c>
      <c r="R266">
        <f t="shared" ca="1" si="8"/>
        <v>9.3159932744690988</v>
      </c>
    </row>
    <row r="267" spans="9:18" x14ac:dyDescent="0.3">
      <c r="I267">
        <f>'$ Portfolio Loss'!$I267</f>
        <v>263</v>
      </c>
      <c r="J267" s="19">
        <f>'$ Portfolio Loss'!$R267</f>
        <v>15.177585904068827</v>
      </c>
      <c r="L267">
        <v>263</v>
      </c>
      <c r="M267">
        <f>'$ Portfolio Loss'!$I57</f>
        <v>53</v>
      </c>
      <c r="N267" s="19">
        <f>'$ Portfolio Loss'!$R57</f>
        <v>-17.278643169272662</v>
      </c>
      <c r="Q267">
        <v>264</v>
      </c>
      <c r="R267">
        <f t="shared" ca="1" si="8"/>
        <v>1.9591055707468621</v>
      </c>
    </row>
    <row r="268" spans="9:18" x14ac:dyDescent="0.3">
      <c r="I268">
        <f>'$ Portfolio Loss'!$I268</f>
        <v>264</v>
      </c>
      <c r="J268" s="19">
        <f>'$ Portfolio Loss'!$R268</f>
        <v>-26.116306621233463</v>
      </c>
      <c r="L268">
        <v>264</v>
      </c>
      <c r="M268">
        <f>'$ Portfolio Loss'!$I271</f>
        <v>267</v>
      </c>
      <c r="N268" s="19">
        <f>'$ Portfolio Loss'!$R271</f>
        <v>-17.318746572437764</v>
      </c>
      <c r="Q268">
        <v>265</v>
      </c>
      <c r="R268">
        <f t="shared" ca="1" si="8"/>
        <v>30.215508071370646</v>
      </c>
    </row>
    <row r="269" spans="9:18" x14ac:dyDescent="0.3">
      <c r="I269">
        <f>'$ Portfolio Loss'!$I269</f>
        <v>265</v>
      </c>
      <c r="J269" s="19">
        <f>'$ Portfolio Loss'!$R269</f>
        <v>5.9116436561235188</v>
      </c>
      <c r="L269">
        <v>265</v>
      </c>
      <c r="M269">
        <f>'$ Portfolio Loss'!$I314</f>
        <v>310</v>
      </c>
      <c r="N269" s="19">
        <f>'$ Portfolio Loss'!$R314</f>
        <v>-18.181294135917426</v>
      </c>
      <c r="Q269">
        <v>266</v>
      </c>
      <c r="R269">
        <f t="shared" ca="1" si="8"/>
        <v>-6.8299960581633723</v>
      </c>
    </row>
    <row r="270" spans="9:18" x14ac:dyDescent="0.3">
      <c r="I270">
        <f>'$ Portfolio Loss'!$I270</f>
        <v>266</v>
      </c>
      <c r="J270" s="19">
        <f>'$ Portfolio Loss'!$R270</f>
        <v>-41.578340638215778</v>
      </c>
      <c r="L270">
        <v>266</v>
      </c>
      <c r="M270">
        <f>'$ Portfolio Loss'!$I84</f>
        <v>80</v>
      </c>
      <c r="N270" s="19">
        <f>'$ Portfolio Loss'!$R84</f>
        <v>-18.318249789217354</v>
      </c>
      <c r="Q270">
        <v>267</v>
      </c>
      <c r="R270">
        <f t="shared" ca="1" si="8"/>
        <v>11.723597758460874</v>
      </c>
    </row>
    <row r="271" spans="9:18" x14ac:dyDescent="0.3">
      <c r="I271">
        <f>'$ Portfolio Loss'!$I271</f>
        <v>267</v>
      </c>
      <c r="J271" s="19">
        <f>'$ Portfolio Loss'!$R271</f>
        <v>-17.318746572437764</v>
      </c>
      <c r="L271">
        <v>267</v>
      </c>
      <c r="M271">
        <f>'$ Portfolio Loss'!$I266</f>
        <v>262</v>
      </c>
      <c r="N271" s="19">
        <f>'$ Portfolio Loss'!$R266</f>
        <v>-18.63321672656226</v>
      </c>
      <c r="Q271">
        <v>268</v>
      </c>
      <c r="R271">
        <f t="shared" ca="1" si="8"/>
        <v>29.844095656813796</v>
      </c>
    </row>
    <row r="272" spans="9:18" x14ac:dyDescent="0.3">
      <c r="I272">
        <f>'$ Portfolio Loss'!$I272</f>
        <v>268</v>
      </c>
      <c r="J272" s="19">
        <f>'$ Portfolio Loss'!$R272</f>
        <v>1.2252087648832799</v>
      </c>
      <c r="L272">
        <v>268</v>
      </c>
      <c r="M272">
        <f>'$ Portfolio Loss'!$I68</f>
        <v>64</v>
      </c>
      <c r="N272" s="19">
        <f>'$ Portfolio Loss'!$R68</f>
        <v>-18.67678621706915</v>
      </c>
      <c r="Q272">
        <v>269</v>
      </c>
      <c r="R272">
        <f t="shared" ca="1" si="8"/>
        <v>16.575529486781647</v>
      </c>
    </row>
    <row r="273" spans="9:18" x14ac:dyDescent="0.3">
      <c r="I273">
        <f>'$ Portfolio Loss'!$I273</f>
        <v>269</v>
      </c>
      <c r="J273" s="19">
        <f>'$ Portfolio Loss'!$R273</f>
        <v>17.241482419643521</v>
      </c>
      <c r="L273">
        <v>269</v>
      </c>
      <c r="M273">
        <f>'$ Portfolio Loss'!$I153</f>
        <v>149</v>
      </c>
      <c r="N273" s="19">
        <f>'$ Portfolio Loss'!$R153</f>
        <v>-18.70910103091073</v>
      </c>
      <c r="Q273">
        <v>270</v>
      </c>
      <c r="R273">
        <f t="shared" ca="1" si="8"/>
        <v>18.719910257421613</v>
      </c>
    </row>
    <row r="274" spans="9:18" x14ac:dyDescent="0.3">
      <c r="I274">
        <f>'$ Portfolio Loss'!$I274</f>
        <v>270</v>
      </c>
      <c r="J274" s="19">
        <f>'$ Portfolio Loss'!$R274</f>
        <v>-41.646199387303355</v>
      </c>
      <c r="L274">
        <v>270</v>
      </c>
      <c r="M274">
        <f>'$ Portfolio Loss'!$I307</f>
        <v>303</v>
      </c>
      <c r="N274" s="19">
        <f>'$ Portfolio Loss'!$R307</f>
        <v>-19.360071406262755</v>
      </c>
      <c r="Q274">
        <v>271</v>
      </c>
      <c r="R274">
        <f t="shared" ca="1" si="8"/>
        <v>7.7677360106471518</v>
      </c>
    </row>
    <row r="275" spans="9:18" x14ac:dyDescent="0.3">
      <c r="I275">
        <f>'$ Portfolio Loss'!$I275</f>
        <v>271</v>
      </c>
      <c r="J275" s="19">
        <f>'$ Portfolio Loss'!$R275</f>
        <v>6.4209798290779592</v>
      </c>
      <c r="L275">
        <v>271</v>
      </c>
      <c r="M275">
        <f>'$ Portfolio Loss'!$I221</f>
        <v>217</v>
      </c>
      <c r="N275" s="19">
        <f>'$ Portfolio Loss'!$R221</f>
        <v>-20.04735802747178</v>
      </c>
      <c r="Q275">
        <v>272</v>
      </c>
      <c r="R275">
        <f t="shared" ca="1" si="8"/>
        <v>-19.256235855569557</v>
      </c>
    </row>
    <row r="276" spans="9:18" x14ac:dyDescent="0.3">
      <c r="I276">
        <f>'$ Portfolio Loss'!$I276</f>
        <v>272</v>
      </c>
      <c r="J276" s="19">
        <f>'$ Portfolio Loss'!$R276</f>
        <v>14.973511287038326</v>
      </c>
      <c r="L276">
        <v>272</v>
      </c>
      <c r="M276">
        <f>'$ Portfolio Loss'!$I309</f>
        <v>305</v>
      </c>
      <c r="N276" s="19">
        <f>'$ Portfolio Loss'!$R309</f>
        <v>-20.078823567359567</v>
      </c>
      <c r="Q276">
        <v>273</v>
      </c>
      <c r="R276">
        <f t="shared" ca="1" si="8"/>
        <v>-0.79355432235302281</v>
      </c>
    </row>
    <row r="277" spans="9:18" x14ac:dyDescent="0.3">
      <c r="I277">
        <f>'$ Portfolio Loss'!$I277</f>
        <v>273</v>
      </c>
      <c r="J277" s="19">
        <f>'$ Portfolio Loss'!$R277</f>
        <v>-33.621052242786647</v>
      </c>
      <c r="L277">
        <v>273</v>
      </c>
      <c r="M277">
        <f>'$ Portfolio Loss'!$I46</f>
        <v>42</v>
      </c>
      <c r="N277" s="19">
        <f>'$ Portfolio Loss'!$R46</f>
        <v>-20.147060210735916</v>
      </c>
      <c r="Q277">
        <v>274</v>
      </c>
      <c r="R277">
        <f t="shared" ca="1" si="8"/>
        <v>3.1098427901690027</v>
      </c>
    </row>
    <row r="278" spans="9:18" x14ac:dyDescent="0.3">
      <c r="I278">
        <f>'$ Portfolio Loss'!$I278</f>
        <v>274</v>
      </c>
      <c r="J278" s="19">
        <f>'$ Portfolio Loss'!$R278</f>
        <v>6.5116523689923289</v>
      </c>
      <c r="L278">
        <v>274</v>
      </c>
      <c r="M278">
        <f>'$ Portfolio Loss'!$I37</f>
        <v>33</v>
      </c>
      <c r="N278" s="19">
        <f>'$ Portfolio Loss'!$R37</f>
        <v>-20.290737397518395</v>
      </c>
      <c r="Q278">
        <v>275</v>
      </c>
      <c r="R278">
        <f t="shared" ca="1" si="8"/>
        <v>2.0502827622764226</v>
      </c>
    </row>
    <row r="279" spans="9:18" x14ac:dyDescent="0.3">
      <c r="I279">
        <f>'$ Portfolio Loss'!$I279</f>
        <v>275</v>
      </c>
      <c r="J279" s="19">
        <f>'$ Portfolio Loss'!$R279</f>
        <v>35.972034145971534</v>
      </c>
      <c r="L279">
        <v>275</v>
      </c>
      <c r="M279">
        <f>'$ Portfolio Loss'!$I36</f>
        <v>32</v>
      </c>
      <c r="N279" s="19">
        <f>'$ Portfolio Loss'!$R36</f>
        <v>-20.329542828097104</v>
      </c>
      <c r="Q279">
        <v>276</v>
      </c>
      <c r="R279">
        <f t="shared" ca="1" si="8"/>
        <v>-10.016798926277989</v>
      </c>
    </row>
    <row r="280" spans="9:18" x14ac:dyDescent="0.3">
      <c r="I280">
        <f>'$ Portfolio Loss'!$I280</f>
        <v>276</v>
      </c>
      <c r="J280" s="19">
        <f>'$ Portfolio Loss'!$R280</f>
        <v>-0.29191776927411556</v>
      </c>
      <c r="L280">
        <v>276</v>
      </c>
      <c r="M280">
        <f>'$ Portfolio Loss'!$I255</f>
        <v>251</v>
      </c>
      <c r="N280" s="19">
        <f>'$ Portfolio Loss'!$R255</f>
        <v>-20.340257992534639</v>
      </c>
      <c r="Q280">
        <v>277</v>
      </c>
      <c r="R280">
        <f t="shared" ca="1" si="8"/>
        <v>-31.505660747502258</v>
      </c>
    </row>
    <row r="281" spans="9:18" x14ac:dyDescent="0.3">
      <c r="I281">
        <f>'$ Portfolio Loss'!$I281</f>
        <v>277</v>
      </c>
      <c r="J281" s="19">
        <f>'$ Portfolio Loss'!$R281</f>
        <v>2.6493602277579309</v>
      </c>
      <c r="L281">
        <v>277</v>
      </c>
      <c r="M281">
        <f>'$ Portfolio Loss'!$I127</f>
        <v>123</v>
      </c>
      <c r="N281" s="19">
        <f>'$ Portfolio Loss'!$R127</f>
        <v>-20.398685759801388</v>
      </c>
      <c r="Q281">
        <v>278</v>
      </c>
      <c r="R281">
        <f t="shared" ca="1" si="8"/>
        <v>-21.884956255565733</v>
      </c>
    </row>
    <row r="282" spans="9:18" x14ac:dyDescent="0.3">
      <c r="I282">
        <f>'$ Portfolio Loss'!$I282</f>
        <v>278</v>
      </c>
      <c r="J282" s="19">
        <f>'$ Portfolio Loss'!$R282</f>
        <v>-28.670805016884923</v>
      </c>
      <c r="L282">
        <v>278</v>
      </c>
      <c r="M282">
        <f>'$ Portfolio Loss'!$I103</f>
        <v>99</v>
      </c>
      <c r="N282" s="19">
        <f>'$ Portfolio Loss'!$R103</f>
        <v>-20.578442002954244</v>
      </c>
      <c r="Q282">
        <v>279</v>
      </c>
      <c r="R282">
        <f t="shared" ca="1" si="8"/>
        <v>5.6532077794585129</v>
      </c>
    </row>
    <row r="283" spans="9:18" x14ac:dyDescent="0.3">
      <c r="I283">
        <f>'$ Portfolio Loss'!$I283</f>
        <v>279</v>
      </c>
      <c r="J283" s="19">
        <f>'$ Portfolio Loss'!$R283</f>
        <v>-35.120088389568089</v>
      </c>
      <c r="L283">
        <v>279</v>
      </c>
      <c r="M283">
        <f>'$ Portfolio Loss'!$I77</f>
        <v>73</v>
      </c>
      <c r="N283" s="19">
        <f>'$ Portfolio Loss'!$R77</f>
        <v>-20.725827652657628</v>
      </c>
      <c r="Q283">
        <v>280</v>
      </c>
      <c r="R283">
        <f t="shared" ca="1" si="8"/>
        <v>-4.27000263158941</v>
      </c>
    </row>
    <row r="284" spans="9:18" x14ac:dyDescent="0.3">
      <c r="I284">
        <f>'$ Portfolio Loss'!$I284</f>
        <v>280</v>
      </c>
      <c r="J284" s="19">
        <f>'$ Portfolio Loss'!$R284</f>
        <v>2.4066521943788528</v>
      </c>
      <c r="L284">
        <v>280</v>
      </c>
      <c r="M284">
        <f>'$ Portfolio Loss'!$I141</f>
        <v>137</v>
      </c>
      <c r="N284" s="19">
        <f>'$ Portfolio Loss'!$R141</f>
        <v>-20.990408181898953</v>
      </c>
      <c r="Q284">
        <v>281</v>
      </c>
      <c r="R284">
        <f t="shared" ca="1" si="8"/>
        <v>6.8969874224311489</v>
      </c>
    </row>
    <row r="285" spans="9:18" x14ac:dyDescent="0.3">
      <c r="I285">
        <f>'$ Portfolio Loss'!$I285</f>
        <v>281</v>
      </c>
      <c r="J285" s="19">
        <f>'$ Portfolio Loss'!$R285</f>
        <v>19.388726850362779</v>
      </c>
      <c r="L285">
        <v>281</v>
      </c>
      <c r="M285">
        <f>'$ Portfolio Loss'!$I205</f>
        <v>201</v>
      </c>
      <c r="N285" s="19">
        <f>'$ Portfolio Loss'!$R205</f>
        <v>-21.655498734011054</v>
      </c>
      <c r="Q285">
        <v>282</v>
      </c>
      <c r="R285">
        <f t="shared" ca="1" si="8"/>
        <v>-8.3940046989590176</v>
      </c>
    </row>
    <row r="286" spans="9:18" x14ac:dyDescent="0.3">
      <c r="I286">
        <f>'$ Portfolio Loss'!$I286</f>
        <v>282</v>
      </c>
      <c r="J286" s="19">
        <f>'$ Portfolio Loss'!$R286</f>
        <v>-4.180714139164329</v>
      </c>
      <c r="L286">
        <v>282</v>
      </c>
      <c r="M286">
        <f>'$ Portfolio Loss'!$I20</f>
        <v>16</v>
      </c>
      <c r="N286" s="19">
        <f>'$ Portfolio Loss'!$R20</f>
        <v>-21.658187912484646</v>
      </c>
      <c r="Q286">
        <v>283</v>
      </c>
      <c r="R286">
        <f t="shared" ca="1" si="8"/>
        <v>-5.8441869891632381</v>
      </c>
    </row>
    <row r="287" spans="9:18" x14ac:dyDescent="0.3">
      <c r="I287">
        <f>'$ Portfolio Loss'!$I287</f>
        <v>283</v>
      </c>
      <c r="J287" s="19">
        <f>'$ Portfolio Loss'!$R287</f>
        <v>8.8809855514571669</v>
      </c>
      <c r="L287">
        <v>283</v>
      </c>
      <c r="M287">
        <f>'$ Portfolio Loss'!$I188</f>
        <v>184</v>
      </c>
      <c r="N287" s="19">
        <f>'$ Portfolio Loss'!$R188</f>
        <v>-21.923092830547333</v>
      </c>
      <c r="Q287">
        <v>284</v>
      </c>
      <c r="R287">
        <f t="shared" ca="1" si="8"/>
        <v>-14.376266439380926</v>
      </c>
    </row>
    <row r="288" spans="9:18" x14ac:dyDescent="0.3">
      <c r="I288">
        <f>'$ Portfolio Loss'!$I288</f>
        <v>284</v>
      </c>
      <c r="J288" s="19">
        <f>'$ Portfolio Loss'!$R288</f>
        <v>6.9207914344182013</v>
      </c>
      <c r="L288">
        <v>284</v>
      </c>
      <c r="M288">
        <f>'$ Portfolio Loss'!$I174</f>
        <v>170</v>
      </c>
      <c r="N288" s="19">
        <f>'$ Portfolio Loss'!$R174</f>
        <v>-22.087099338392974</v>
      </c>
      <c r="Q288">
        <v>285</v>
      </c>
      <c r="R288">
        <f t="shared" ca="1" si="8"/>
        <v>-3.6821414707155595</v>
      </c>
    </row>
    <row r="289" spans="9:18" x14ac:dyDescent="0.3">
      <c r="I289">
        <f>'$ Portfolio Loss'!$I289</f>
        <v>285</v>
      </c>
      <c r="J289" s="19">
        <f>'$ Portfolio Loss'!$R289</f>
        <v>-22.37616615742278</v>
      </c>
      <c r="L289">
        <v>285</v>
      </c>
      <c r="M289">
        <f>'$ Portfolio Loss'!$I128</f>
        <v>124</v>
      </c>
      <c r="N289" s="19">
        <f>'$ Portfolio Loss'!$R128</f>
        <v>-22.168406727602004</v>
      </c>
      <c r="Q289">
        <v>286</v>
      </c>
      <c r="R289">
        <f t="shared" ca="1" si="8"/>
        <v>-0.32919917851266822</v>
      </c>
    </row>
    <row r="290" spans="9:18" x14ac:dyDescent="0.3">
      <c r="I290">
        <f>'$ Portfolio Loss'!$I290</f>
        <v>286</v>
      </c>
      <c r="J290" s="19">
        <f>'$ Portfolio Loss'!$R290</f>
        <v>-5.9080052648997308</v>
      </c>
      <c r="L290">
        <v>286</v>
      </c>
      <c r="M290">
        <f>'$ Portfolio Loss'!$I289</f>
        <v>285</v>
      </c>
      <c r="N290" s="19">
        <f>'$ Portfolio Loss'!$R289</f>
        <v>-22.37616615742278</v>
      </c>
      <c r="Q290">
        <v>287</v>
      </c>
      <c r="R290">
        <f t="shared" ca="1" si="8"/>
        <v>-39.377962810164995</v>
      </c>
    </row>
    <row r="291" spans="9:18" x14ac:dyDescent="0.3">
      <c r="I291">
        <f>'$ Portfolio Loss'!$I291</f>
        <v>287</v>
      </c>
      <c r="J291" s="19">
        <f>'$ Portfolio Loss'!$R291</f>
        <v>-28.887895118818761</v>
      </c>
      <c r="L291">
        <v>287</v>
      </c>
      <c r="M291">
        <f>'$ Portfolio Loss'!$I184</f>
        <v>180</v>
      </c>
      <c r="N291" s="19">
        <f>'$ Portfolio Loss'!$R184</f>
        <v>-22.691095375971795</v>
      </c>
      <c r="Q291">
        <v>288</v>
      </c>
      <c r="R291">
        <f t="shared" ca="1" si="8"/>
        <v>-3.1962608714865564</v>
      </c>
    </row>
    <row r="292" spans="9:18" x14ac:dyDescent="0.3">
      <c r="I292">
        <f>'$ Portfolio Loss'!$I292</f>
        <v>288</v>
      </c>
      <c r="J292" s="19">
        <f>'$ Portfolio Loss'!$R292</f>
        <v>3.1015397080161571</v>
      </c>
      <c r="L292">
        <v>288</v>
      </c>
      <c r="M292">
        <f>'$ Portfolio Loss'!$I89</f>
        <v>85</v>
      </c>
      <c r="N292" s="19">
        <f>'$ Portfolio Loss'!$R89</f>
        <v>-22.804240996327163</v>
      </c>
      <c r="Q292">
        <v>289</v>
      </c>
      <c r="R292">
        <f t="shared" ca="1" si="8"/>
        <v>-17.780605188202575</v>
      </c>
    </row>
    <row r="293" spans="9:18" x14ac:dyDescent="0.3">
      <c r="I293">
        <f>'$ Portfolio Loss'!$I293</f>
        <v>289</v>
      </c>
      <c r="J293" s="19">
        <f>'$ Portfolio Loss'!$R293</f>
        <v>24.474231197404862</v>
      </c>
      <c r="L293">
        <v>289</v>
      </c>
      <c r="M293">
        <f>'$ Portfolio Loss'!$I63</f>
        <v>59</v>
      </c>
      <c r="N293" s="19">
        <f>'$ Portfolio Loss'!$R63</f>
        <v>-23.616506478227496</v>
      </c>
      <c r="Q293">
        <v>290</v>
      </c>
      <c r="R293">
        <f t="shared" ca="1" si="8"/>
        <v>-4.1094513978594946</v>
      </c>
    </row>
    <row r="294" spans="9:18" x14ac:dyDescent="0.3">
      <c r="I294">
        <f>'$ Portfolio Loss'!$I294</f>
        <v>290</v>
      </c>
      <c r="J294" s="19">
        <f>'$ Portfolio Loss'!$R294</f>
        <v>23.039656321314812</v>
      </c>
      <c r="L294">
        <v>290</v>
      </c>
      <c r="M294">
        <f>'$ Portfolio Loss'!$I305</f>
        <v>301</v>
      </c>
      <c r="N294" s="19">
        <f>'$ Portfolio Loss'!$R305</f>
        <v>-23.842804780524133</v>
      </c>
      <c r="Q294">
        <v>291</v>
      </c>
      <c r="R294">
        <f t="shared" ca="1" si="8"/>
        <v>20.217592212646696</v>
      </c>
    </row>
    <row r="295" spans="9:18" x14ac:dyDescent="0.3">
      <c r="I295">
        <f>'$ Portfolio Loss'!$I295</f>
        <v>291</v>
      </c>
      <c r="J295" s="19">
        <f>'$ Portfolio Loss'!$R295</f>
        <v>-10.325260223882795</v>
      </c>
      <c r="L295">
        <v>291</v>
      </c>
      <c r="M295">
        <f>'$ Portfolio Loss'!$I114</f>
        <v>110</v>
      </c>
      <c r="N295" s="19">
        <f>'$ Portfolio Loss'!$R114</f>
        <v>-25.026891818968295</v>
      </c>
      <c r="Q295">
        <v>292</v>
      </c>
      <c r="R295">
        <f t="shared" ca="1" si="8"/>
        <v>9.1602799952330756</v>
      </c>
    </row>
    <row r="296" spans="9:18" x14ac:dyDescent="0.3">
      <c r="I296">
        <f>'$ Portfolio Loss'!$I296</f>
        <v>292</v>
      </c>
      <c r="J296" s="19">
        <f>'$ Portfolio Loss'!$R296</f>
        <v>25.856078930974007</v>
      </c>
      <c r="L296">
        <v>292</v>
      </c>
      <c r="M296">
        <f>'$ Portfolio Loss'!$I78</f>
        <v>74</v>
      </c>
      <c r="N296" s="19">
        <f>'$ Portfolio Loss'!$R78</f>
        <v>-25.412725352409364</v>
      </c>
      <c r="Q296">
        <v>293</v>
      </c>
      <c r="R296">
        <f t="shared" ca="1" si="8"/>
        <v>28.542161884785447</v>
      </c>
    </row>
    <row r="297" spans="9:18" x14ac:dyDescent="0.3">
      <c r="I297">
        <f>'$ Portfolio Loss'!$I297</f>
        <v>293</v>
      </c>
      <c r="J297" s="19">
        <f>'$ Portfolio Loss'!$R297</f>
        <v>-4.6283560300526618</v>
      </c>
      <c r="L297">
        <v>293</v>
      </c>
      <c r="M297">
        <f>'$ Portfolio Loss'!$I268</f>
        <v>264</v>
      </c>
      <c r="N297" s="19">
        <f>'$ Portfolio Loss'!$R268</f>
        <v>-26.116306621233463</v>
      </c>
      <c r="Q297">
        <v>294</v>
      </c>
      <c r="R297">
        <f t="shared" ca="1" si="8"/>
        <v>-6.9761617325080723</v>
      </c>
    </row>
    <row r="298" spans="9:18" x14ac:dyDescent="0.3">
      <c r="I298">
        <f>'$ Portfolio Loss'!$I298</f>
        <v>294</v>
      </c>
      <c r="J298" s="19">
        <f>'$ Portfolio Loss'!$R298</f>
        <v>-3.7775040393128396</v>
      </c>
      <c r="L298">
        <v>294</v>
      </c>
      <c r="M298">
        <f>'$ Portfolio Loss'!$I80</f>
        <v>76</v>
      </c>
      <c r="N298" s="19">
        <f>'$ Portfolio Loss'!$R80</f>
        <v>-26.464903616825939</v>
      </c>
      <c r="Q298">
        <v>295</v>
      </c>
      <c r="R298">
        <f t="shared" ca="1" si="8"/>
        <v>-1.8603288242415192</v>
      </c>
    </row>
    <row r="299" spans="9:18" x14ac:dyDescent="0.3">
      <c r="I299">
        <f>'$ Portfolio Loss'!$I299</f>
        <v>295</v>
      </c>
      <c r="J299" s="19">
        <f>'$ Portfolio Loss'!$R299</f>
        <v>8.6976424350928063</v>
      </c>
      <c r="L299">
        <v>295</v>
      </c>
      <c r="M299">
        <f>'$ Portfolio Loss'!$I83</f>
        <v>79</v>
      </c>
      <c r="N299" s="19">
        <f>'$ Portfolio Loss'!$R83</f>
        <v>-26.546646925997972</v>
      </c>
      <c r="Q299">
        <v>296</v>
      </c>
      <c r="R299">
        <f t="shared" ca="1" si="8"/>
        <v>-20.563708746981227</v>
      </c>
    </row>
    <row r="300" spans="9:18" x14ac:dyDescent="0.3">
      <c r="I300">
        <f>'$ Portfolio Loss'!$I300</f>
        <v>296</v>
      </c>
      <c r="J300" s="19">
        <f>'$ Portfolio Loss'!$R300</f>
        <v>13.900553897720814</v>
      </c>
      <c r="L300">
        <v>296</v>
      </c>
      <c r="M300">
        <f>'$ Portfolio Loss'!$I185</f>
        <v>181</v>
      </c>
      <c r="N300" s="19">
        <f>'$ Portfolio Loss'!$R185</f>
        <v>-26.935164492684962</v>
      </c>
      <c r="Q300">
        <v>297</v>
      </c>
      <c r="R300">
        <f t="shared" ca="1" si="8"/>
        <v>-9.3931761549401109</v>
      </c>
    </row>
    <row r="301" spans="9:18" x14ac:dyDescent="0.3">
      <c r="I301">
        <f>'$ Portfolio Loss'!$I301</f>
        <v>297</v>
      </c>
      <c r="J301" s="19">
        <f>'$ Portfolio Loss'!$R301</f>
        <v>-3.4092786193678379</v>
      </c>
      <c r="L301">
        <v>297</v>
      </c>
      <c r="M301">
        <f>'$ Portfolio Loss'!$I18</f>
        <v>14</v>
      </c>
      <c r="N301" s="19">
        <f>'$ Portfolio Loss'!$R18</f>
        <v>-28.079815511728526</v>
      </c>
      <c r="Q301">
        <v>298</v>
      </c>
      <c r="R301">
        <f t="shared" ca="1" si="8"/>
        <v>49.475120477028305</v>
      </c>
    </row>
    <row r="302" spans="9:18" x14ac:dyDescent="0.3">
      <c r="I302">
        <f>'$ Portfolio Loss'!$I302</f>
        <v>298</v>
      </c>
      <c r="J302" s="19">
        <f>'$ Portfolio Loss'!$R302</f>
        <v>-1.9173437212216855</v>
      </c>
      <c r="L302">
        <v>298</v>
      </c>
      <c r="M302">
        <f>'$ Portfolio Loss'!$I282</f>
        <v>278</v>
      </c>
      <c r="N302" s="19">
        <f>'$ Portfolio Loss'!$R282</f>
        <v>-28.670805016884923</v>
      </c>
      <c r="Q302">
        <v>299</v>
      </c>
      <c r="R302">
        <f t="shared" ca="1" si="8"/>
        <v>-7.916844647773507</v>
      </c>
    </row>
    <row r="303" spans="9:18" x14ac:dyDescent="0.3">
      <c r="I303">
        <f>'$ Portfolio Loss'!$I303</f>
        <v>299</v>
      </c>
      <c r="J303" s="19">
        <f>'$ Portfolio Loss'!$R303</f>
        <v>11.598615172617793</v>
      </c>
      <c r="L303">
        <v>299</v>
      </c>
      <c r="M303">
        <f>'$ Portfolio Loss'!$I291</f>
        <v>287</v>
      </c>
      <c r="N303" s="19">
        <f>'$ Portfolio Loss'!$R291</f>
        <v>-28.887895118818761</v>
      </c>
      <c r="Q303">
        <v>300</v>
      </c>
      <c r="R303">
        <f t="shared" ca="1" si="8"/>
        <v>38.140076326352109</v>
      </c>
    </row>
    <row r="304" spans="9:18" x14ac:dyDescent="0.3">
      <c r="I304">
        <f>'$ Portfolio Loss'!$I304</f>
        <v>300</v>
      </c>
      <c r="J304" s="19">
        <f>'$ Portfolio Loss'!$R304</f>
        <v>136.49908282215583</v>
      </c>
      <c r="L304">
        <v>300</v>
      </c>
      <c r="M304">
        <f>'$ Portfolio Loss'!$I34</f>
        <v>30</v>
      </c>
      <c r="N304" s="19">
        <f>'$ Portfolio Loss'!$R34</f>
        <v>-29.408320606259583</v>
      </c>
      <c r="Q304">
        <v>301</v>
      </c>
      <c r="R304">
        <f t="shared" ca="1" si="8"/>
        <v>6.2011056044980917</v>
      </c>
    </row>
    <row r="305" spans="9:18" x14ac:dyDescent="0.3">
      <c r="I305">
        <f>'$ Portfolio Loss'!$I305</f>
        <v>301</v>
      </c>
      <c r="J305" s="19">
        <f>'$ Portfolio Loss'!$R305</f>
        <v>-23.842804780524133</v>
      </c>
      <c r="L305">
        <v>301</v>
      </c>
      <c r="M305">
        <f>'$ Portfolio Loss'!$I193</f>
        <v>189</v>
      </c>
      <c r="N305" s="19">
        <f>'$ Portfolio Loss'!$R193</f>
        <v>-29.66765362273717</v>
      </c>
      <c r="Q305">
        <v>302</v>
      </c>
      <c r="R305">
        <f t="shared" ca="1" si="8"/>
        <v>-38.761980732324936</v>
      </c>
    </row>
    <row r="306" spans="9:18" x14ac:dyDescent="0.3">
      <c r="I306">
        <f>'$ Portfolio Loss'!$I306</f>
        <v>302</v>
      </c>
      <c r="J306" s="19">
        <f>'$ Portfolio Loss'!$R306</f>
        <v>-16.535275021268486</v>
      </c>
      <c r="L306">
        <v>302</v>
      </c>
      <c r="M306">
        <f>'$ Portfolio Loss'!$I228</f>
        <v>224</v>
      </c>
      <c r="N306" s="19">
        <f>'$ Portfolio Loss'!$R228</f>
        <v>-30.528328677935004</v>
      </c>
      <c r="Q306">
        <v>303</v>
      </c>
      <c r="R306">
        <f t="shared" ca="1" si="8"/>
        <v>-21.550120957567529</v>
      </c>
    </row>
    <row r="307" spans="9:18" x14ac:dyDescent="0.3">
      <c r="I307">
        <f>'$ Portfolio Loss'!$I307</f>
        <v>303</v>
      </c>
      <c r="J307" s="19">
        <f>'$ Portfolio Loss'!$R307</f>
        <v>-19.360071406262755</v>
      </c>
      <c r="L307">
        <v>303</v>
      </c>
      <c r="M307">
        <f>'$ Portfolio Loss'!$I262</f>
        <v>258</v>
      </c>
      <c r="N307" s="19">
        <f>'$ Portfolio Loss'!$R262</f>
        <v>-32.26211814796865</v>
      </c>
      <c r="Q307">
        <v>304</v>
      </c>
      <c r="R307">
        <f t="shared" ca="1" si="8"/>
        <v>-10.320996003156004</v>
      </c>
    </row>
    <row r="308" spans="9:18" x14ac:dyDescent="0.3">
      <c r="I308">
        <f>'$ Portfolio Loss'!$I308</f>
        <v>304</v>
      </c>
      <c r="J308" s="19">
        <f>'$ Portfolio Loss'!$R308</f>
        <v>-15.036403195800542</v>
      </c>
      <c r="L308">
        <v>304</v>
      </c>
      <c r="M308">
        <f>'$ Portfolio Loss'!$I277</f>
        <v>273</v>
      </c>
      <c r="N308" s="19">
        <f>'$ Portfolio Loss'!$R277</f>
        <v>-33.621052242786647</v>
      </c>
      <c r="Q308">
        <v>305</v>
      </c>
      <c r="R308">
        <f t="shared" ca="1" si="8"/>
        <v>3.9762723737938428</v>
      </c>
    </row>
    <row r="309" spans="9:18" x14ac:dyDescent="0.3">
      <c r="I309">
        <f>'$ Portfolio Loss'!$I309</f>
        <v>305</v>
      </c>
      <c r="J309" s="19">
        <f>'$ Portfolio Loss'!$R309</f>
        <v>-20.078823567359567</v>
      </c>
      <c r="L309">
        <v>305</v>
      </c>
      <c r="M309">
        <f>'$ Portfolio Loss'!$I50</f>
        <v>46</v>
      </c>
      <c r="N309" s="19">
        <f>'$ Portfolio Loss'!$R50</f>
        <v>-35.10303784958267</v>
      </c>
      <c r="Q309">
        <v>306</v>
      </c>
      <c r="R309">
        <f t="shared" ca="1" si="8"/>
        <v>-6.0227587330554755</v>
      </c>
    </row>
    <row r="310" spans="9:18" x14ac:dyDescent="0.3">
      <c r="I310">
        <f>'$ Portfolio Loss'!$I310</f>
        <v>306</v>
      </c>
      <c r="J310" s="19">
        <f>'$ Portfolio Loss'!$R310</f>
        <v>-7.1996143736839296E-2</v>
      </c>
      <c r="L310">
        <v>306</v>
      </c>
      <c r="M310">
        <f>'$ Portfolio Loss'!$I283</f>
        <v>279</v>
      </c>
      <c r="N310" s="19">
        <f>'$ Portfolio Loss'!$R283</f>
        <v>-35.120088389568089</v>
      </c>
      <c r="Q310">
        <v>307</v>
      </c>
      <c r="R310">
        <f t="shared" ca="1" si="8"/>
        <v>6.6947068909032517</v>
      </c>
    </row>
    <row r="311" spans="9:18" x14ac:dyDescent="0.3">
      <c r="I311">
        <f>'$ Portfolio Loss'!$I311</f>
        <v>307</v>
      </c>
      <c r="J311" s="19">
        <f>'$ Portfolio Loss'!$R311</f>
        <v>23.139443185060262</v>
      </c>
      <c r="L311">
        <v>307</v>
      </c>
      <c r="M311">
        <f>'$ Portfolio Loss'!$I181</f>
        <v>177</v>
      </c>
      <c r="N311" s="19">
        <f>'$ Portfolio Loss'!$R181</f>
        <v>-35.382940061201928</v>
      </c>
      <c r="Q311">
        <v>308</v>
      </c>
      <c r="R311">
        <f t="shared" ca="1" si="8"/>
        <v>-17.894408117456429</v>
      </c>
    </row>
    <row r="312" spans="9:18" x14ac:dyDescent="0.3">
      <c r="I312">
        <f>'$ Portfolio Loss'!$I312</f>
        <v>308</v>
      </c>
      <c r="J312" s="19">
        <f>'$ Portfolio Loss'!$R312</f>
        <v>-15.859744708509803</v>
      </c>
      <c r="L312">
        <v>308</v>
      </c>
      <c r="M312">
        <f>'$ Portfolio Loss'!$I177</f>
        <v>173</v>
      </c>
      <c r="N312" s="19">
        <f>'$ Portfolio Loss'!$R177</f>
        <v>-39.497725312521219</v>
      </c>
      <c r="Q312">
        <v>309</v>
      </c>
      <c r="R312">
        <f t="shared" ca="1" si="8"/>
        <v>25.087590977379154</v>
      </c>
    </row>
    <row r="313" spans="9:18" x14ac:dyDescent="0.3">
      <c r="I313">
        <f>'$ Portfolio Loss'!$I313</f>
        <v>309</v>
      </c>
      <c r="J313" s="19">
        <f>'$ Portfolio Loss'!$R313</f>
        <v>-7.1222701385393146</v>
      </c>
      <c r="L313">
        <v>309</v>
      </c>
      <c r="M313">
        <f>'$ Portfolio Loss'!$I19</f>
        <v>15</v>
      </c>
      <c r="N313" s="19">
        <f>'$ Portfolio Loss'!$R19</f>
        <v>-41.54422268737018</v>
      </c>
      <c r="Q313">
        <v>310</v>
      </c>
      <c r="R313">
        <f t="shared" ca="1" si="8"/>
        <v>-29.373821501482507</v>
      </c>
    </row>
    <row r="314" spans="9:18" x14ac:dyDescent="0.3">
      <c r="I314">
        <f>'$ Portfolio Loss'!$I314</f>
        <v>310</v>
      </c>
      <c r="J314" s="19">
        <f>'$ Portfolio Loss'!$R314</f>
        <v>-18.181294135917426</v>
      </c>
      <c r="L314">
        <v>310</v>
      </c>
      <c r="M314">
        <f>'$ Portfolio Loss'!$I270</f>
        <v>266</v>
      </c>
      <c r="N314" s="19">
        <f>'$ Portfolio Loss'!$R270</f>
        <v>-41.578340638215778</v>
      </c>
      <c r="Q314">
        <v>311</v>
      </c>
      <c r="R314">
        <f t="shared" ca="1" si="8"/>
        <v>0.18652773480333096</v>
      </c>
    </row>
    <row r="315" spans="9:18" x14ac:dyDescent="0.3">
      <c r="I315">
        <f>'$ Portfolio Loss'!$I315</f>
        <v>311</v>
      </c>
      <c r="J315" s="19">
        <f>'$ Portfolio Loss'!$R315</f>
        <v>7.7403118931996824</v>
      </c>
      <c r="L315">
        <v>311</v>
      </c>
      <c r="M315">
        <f>'$ Portfolio Loss'!$I274</f>
        <v>270</v>
      </c>
      <c r="N315" s="19">
        <f>'$ Portfolio Loss'!$R274</f>
        <v>-41.646199387303355</v>
      </c>
      <c r="Q315">
        <v>312</v>
      </c>
      <c r="R315">
        <f t="shared" ca="1" si="8"/>
        <v>-2.6502477210806799</v>
      </c>
    </row>
    <row r="316" spans="9:18" x14ac:dyDescent="0.3">
      <c r="I316">
        <f>'$ Portfolio Loss'!$I316</f>
        <v>312</v>
      </c>
      <c r="J316" s="19">
        <f>'$ Portfolio Loss'!$R316</f>
        <v>-2.5689458140461445</v>
      </c>
      <c r="L316">
        <v>312</v>
      </c>
      <c r="M316">
        <f>'$ Portfolio Loss'!$I180</f>
        <v>176</v>
      </c>
      <c r="N316" s="19">
        <f>'$ Portfolio Loss'!$R180</f>
        <v>-42.458928007577775</v>
      </c>
      <c r="Q316">
        <v>313</v>
      </c>
      <c r="R316">
        <f t="shared" ca="1" si="8"/>
        <v>-12.843992411376341</v>
      </c>
    </row>
    <row r="317" spans="9:18" x14ac:dyDescent="0.3">
      <c r="I317">
        <f>'$ Portfolio Loss'!$I317</f>
        <v>313</v>
      </c>
      <c r="J317" s="19">
        <f>'$ Portfolio Loss'!$R317</f>
        <v>-0.60244124159967904</v>
      </c>
      <c r="L317">
        <v>313</v>
      </c>
      <c r="M317">
        <f>'$ Portfolio Loss'!$I179</f>
        <v>175</v>
      </c>
      <c r="N317" s="19">
        <f>'$ Portfolio Loss'!$R179</f>
        <v>-43.449868003333691</v>
      </c>
      <c r="Q317">
        <v>314</v>
      </c>
      <c r="R317">
        <f t="shared" ca="1" si="8"/>
        <v>-14.190958900373916</v>
      </c>
    </row>
    <row r="318" spans="9:18" x14ac:dyDescent="0.3">
      <c r="I318">
        <f>'$ Portfolio Loss'!$I318</f>
        <v>314</v>
      </c>
      <c r="J318" s="19">
        <f>'$ Portfolio Loss'!$R318</f>
        <v>-0.23302101018881799</v>
      </c>
      <c r="L318">
        <v>314</v>
      </c>
      <c r="M318">
        <f>'$ Portfolio Loss'!$I28</f>
        <v>24</v>
      </c>
      <c r="N318" s="19">
        <f>'$ Portfolio Loss'!$R28</f>
        <v>-48.027187468540667</v>
      </c>
      <c r="Q318">
        <v>315</v>
      </c>
      <c r="R318">
        <f t="shared" ca="1" si="8"/>
        <v>10.228134723355456</v>
      </c>
    </row>
    <row r="319" spans="9:18" x14ac:dyDescent="0.3">
      <c r="I319">
        <f>'$ Portfolio Loss'!$I319</f>
        <v>315</v>
      </c>
      <c r="J319" s="19">
        <f>'$ Portfolio Loss'!$R319</f>
        <v>-5.7886993052413462</v>
      </c>
      <c r="L319">
        <v>315</v>
      </c>
      <c r="M319">
        <f>'$ Portfolio Loss'!$I182</f>
        <v>178</v>
      </c>
      <c r="N319" s="19">
        <f>'$ Portfolio Loss'!$R182</f>
        <v>-62.380728288762569</v>
      </c>
      <c r="Q319">
        <v>316</v>
      </c>
      <c r="R319">
        <f t="shared" ca="1" si="8"/>
        <v>24.110191084515076</v>
      </c>
    </row>
    <row r="320" spans="9:18" x14ac:dyDescent="0.3">
      <c r="J320" s="19"/>
      <c r="Q320">
        <v>317</v>
      </c>
      <c r="R320">
        <f t="shared" ca="1" si="8"/>
        <v>23.908130239414138</v>
      </c>
    </row>
    <row r="321" spans="10:18" x14ac:dyDescent="0.3">
      <c r="J321" s="19"/>
      <c r="Q321">
        <v>318</v>
      </c>
      <c r="R321">
        <f t="shared" ca="1" si="8"/>
        <v>-2.8685129150063107</v>
      </c>
    </row>
    <row r="322" spans="10:18" x14ac:dyDescent="0.3">
      <c r="J322" s="19"/>
      <c r="Q322">
        <v>319</v>
      </c>
      <c r="R322">
        <f t="shared" ca="1" si="8"/>
        <v>18.36639173684782</v>
      </c>
    </row>
    <row r="323" spans="10:18" x14ac:dyDescent="0.3">
      <c r="J323" s="19"/>
      <c r="Q323">
        <v>320</v>
      </c>
      <c r="R323">
        <f t="shared" ca="1" si="8"/>
        <v>-5.5595175662614782</v>
      </c>
    </row>
    <row r="324" spans="10:18" x14ac:dyDescent="0.3">
      <c r="J324" s="19"/>
      <c r="Q324">
        <v>321</v>
      </c>
      <c r="R324">
        <f t="shared" ref="R324:R387" ca="1" si="9">_xlfn.NORM.INV(RAND(),$B$16,$B$17)</f>
        <v>-20.920365458246312</v>
      </c>
    </row>
    <row r="325" spans="10:18" x14ac:dyDescent="0.3">
      <c r="J325" s="19"/>
      <c r="Q325">
        <v>322</v>
      </c>
      <c r="R325">
        <f t="shared" ca="1" si="9"/>
        <v>-3.9726023679936509</v>
      </c>
    </row>
    <row r="326" spans="10:18" x14ac:dyDescent="0.3">
      <c r="J326" s="19"/>
      <c r="Q326">
        <v>323</v>
      </c>
      <c r="R326">
        <f t="shared" ca="1" si="9"/>
        <v>11.967026183713518</v>
      </c>
    </row>
    <row r="327" spans="10:18" x14ac:dyDescent="0.3">
      <c r="J327" s="19"/>
      <c r="Q327">
        <v>324</v>
      </c>
      <c r="R327">
        <f t="shared" ca="1" si="9"/>
        <v>-38.194906697185864</v>
      </c>
    </row>
    <row r="328" spans="10:18" x14ac:dyDescent="0.3">
      <c r="J328" s="19"/>
      <c r="Q328">
        <v>325</v>
      </c>
      <c r="R328">
        <f t="shared" ca="1" si="9"/>
        <v>-41.580173474895446</v>
      </c>
    </row>
    <row r="329" spans="10:18" x14ac:dyDescent="0.3">
      <c r="J329" s="19"/>
      <c r="Q329">
        <v>326</v>
      </c>
      <c r="R329">
        <f t="shared" ca="1" si="9"/>
        <v>7.2793262732135862</v>
      </c>
    </row>
    <row r="330" spans="10:18" x14ac:dyDescent="0.3">
      <c r="J330" s="19"/>
      <c r="Q330">
        <v>327</v>
      </c>
      <c r="R330">
        <f t="shared" ca="1" si="9"/>
        <v>-7.2281916989758299</v>
      </c>
    </row>
    <row r="331" spans="10:18" x14ac:dyDescent="0.3">
      <c r="J331" s="19"/>
      <c r="Q331">
        <v>328</v>
      </c>
      <c r="R331">
        <f t="shared" ca="1" si="9"/>
        <v>-10.92962966308083</v>
      </c>
    </row>
    <row r="332" spans="10:18" x14ac:dyDescent="0.3">
      <c r="J332" s="19"/>
      <c r="Q332">
        <v>329</v>
      </c>
      <c r="R332">
        <f t="shared" ca="1" si="9"/>
        <v>-5.8988111590624861</v>
      </c>
    </row>
    <row r="333" spans="10:18" x14ac:dyDescent="0.3">
      <c r="J333" s="19"/>
      <c r="Q333">
        <v>330</v>
      </c>
      <c r="R333">
        <f t="shared" ca="1" si="9"/>
        <v>-24.103976768989742</v>
      </c>
    </row>
    <row r="334" spans="10:18" x14ac:dyDescent="0.3">
      <c r="J334" s="19"/>
      <c r="Q334">
        <v>331</v>
      </c>
      <c r="R334">
        <f t="shared" ca="1" si="9"/>
        <v>-0.33450464393678403</v>
      </c>
    </row>
    <row r="335" spans="10:18" x14ac:dyDescent="0.3">
      <c r="J335" s="19"/>
      <c r="Q335">
        <v>332</v>
      </c>
      <c r="R335">
        <f t="shared" ca="1" si="9"/>
        <v>20.195399936114356</v>
      </c>
    </row>
    <row r="336" spans="10:18" x14ac:dyDescent="0.3">
      <c r="J336" s="19"/>
      <c r="Q336">
        <v>333</v>
      </c>
      <c r="R336">
        <f t="shared" ca="1" si="9"/>
        <v>2.6329871822755573</v>
      </c>
    </row>
    <row r="337" spans="10:18" x14ac:dyDescent="0.3">
      <c r="J337" s="19"/>
      <c r="Q337">
        <v>334</v>
      </c>
      <c r="R337">
        <f t="shared" ca="1" si="9"/>
        <v>2.1168918899009741</v>
      </c>
    </row>
    <row r="338" spans="10:18" x14ac:dyDescent="0.3">
      <c r="J338" s="19"/>
      <c r="Q338">
        <v>335</v>
      </c>
      <c r="R338">
        <f t="shared" ca="1" si="9"/>
        <v>-26.032547391772056</v>
      </c>
    </row>
    <row r="339" spans="10:18" x14ac:dyDescent="0.3">
      <c r="J339" s="19"/>
      <c r="Q339">
        <v>336</v>
      </c>
      <c r="R339">
        <f t="shared" ca="1" si="9"/>
        <v>-34.248733819440375</v>
      </c>
    </row>
    <row r="340" spans="10:18" x14ac:dyDescent="0.3">
      <c r="J340" s="19"/>
      <c r="Q340">
        <v>337</v>
      </c>
      <c r="R340">
        <f t="shared" ca="1" si="9"/>
        <v>-31.399055917073515</v>
      </c>
    </row>
    <row r="341" spans="10:18" x14ac:dyDescent="0.3">
      <c r="J341" s="19"/>
      <c r="Q341">
        <v>338</v>
      </c>
      <c r="R341">
        <f t="shared" ca="1" si="9"/>
        <v>-12.738456025358108</v>
      </c>
    </row>
    <row r="342" spans="10:18" x14ac:dyDescent="0.3">
      <c r="J342" s="19"/>
      <c r="Q342">
        <v>339</v>
      </c>
      <c r="R342">
        <f t="shared" ca="1" si="9"/>
        <v>-11.977865259159451</v>
      </c>
    </row>
    <row r="343" spans="10:18" x14ac:dyDescent="0.3">
      <c r="J343" s="19"/>
      <c r="Q343">
        <v>340</v>
      </c>
      <c r="R343">
        <f t="shared" ca="1" si="9"/>
        <v>-27.013438956370802</v>
      </c>
    </row>
    <row r="344" spans="10:18" x14ac:dyDescent="0.3">
      <c r="J344" s="19"/>
      <c r="Q344">
        <v>341</v>
      </c>
      <c r="R344">
        <f t="shared" ca="1" si="9"/>
        <v>-25.375282817514048</v>
      </c>
    </row>
    <row r="345" spans="10:18" x14ac:dyDescent="0.3">
      <c r="J345" s="19"/>
      <c r="Q345">
        <v>342</v>
      </c>
      <c r="R345">
        <f t="shared" ca="1" si="9"/>
        <v>-8.4217233299079766</v>
      </c>
    </row>
    <row r="346" spans="10:18" x14ac:dyDescent="0.3">
      <c r="J346" s="19"/>
      <c r="Q346">
        <v>343</v>
      </c>
      <c r="R346">
        <f t="shared" ca="1" si="9"/>
        <v>18.954137687484504</v>
      </c>
    </row>
    <row r="347" spans="10:18" x14ac:dyDescent="0.3">
      <c r="J347" s="19"/>
      <c r="Q347">
        <v>344</v>
      </c>
      <c r="R347">
        <f t="shared" ca="1" si="9"/>
        <v>12.780586507540127</v>
      </c>
    </row>
    <row r="348" spans="10:18" x14ac:dyDescent="0.3">
      <c r="J348" s="19"/>
      <c r="Q348">
        <v>345</v>
      </c>
      <c r="R348">
        <f t="shared" ca="1" si="9"/>
        <v>15.468727606504737</v>
      </c>
    </row>
    <row r="349" spans="10:18" x14ac:dyDescent="0.3">
      <c r="J349" s="19"/>
      <c r="Q349">
        <v>346</v>
      </c>
      <c r="R349">
        <f t="shared" ca="1" si="9"/>
        <v>-0.78473084489318445</v>
      </c>
    </row>
    <row r="350" spans="10:18" x14ac:dyDescent="0.3">
      <c r="J350" s="19"/>
      <c r="Q350">
        <v>347</v>
      </c>
      <c r="R350">
        <f t="shared" ca="1" si="9"/>
        <v>13.712376036786225</v>
      </c>
    </row>
    <row r="351" spans="10:18" x14ac:dyDescent="0.3">
      <c r="J351" s="19"/>
      <c r="Q351">
        <v>348</v>
      </c>
      <c r="R351">
        <f t="shared" ca="1" si="9"/>
        <v>-12.281076974236285</v>
      </c>
    </row>
    <row r="352" spans="10:18" x14ac:dyDescent="0.3">
      <c r="J352" s="19"/>
      <c r="Q352">
        <v>349</v>
      </c>
      <c r="R352">
        <f t="shared" ca="1" si="9"/>
        <v>-21.898377408999149</v>
      </c>
    </row>
    <row r="353" spans="10:18" x14ac:dyDescent="0.3">
      <c r="J353" s="19"/>
      <c r="Q353">
        <v>350</v>
      </c>
      <c r="R353">
        <f t="shared" ca="1" si="9"/>
        <v>10.361172817705775</v>
      </c>
    </row>
    <row r="354" spans="10:18" x14ac:dyDescent="0.3">
      <c r="J354" s="19"/>
      <c r="Q354">
        <v>351</v>
      </c>
      <c r="R354">
        <f t="shared" ca="1" si="9"/>
        <v>-16.001618759614075</v>
      </c>
    </row>
    <row r="355" spans="10:18" x14ac:dyDescent="0.3">
      <c r="J355" s="19"/>
      <c r="Q355">
        <v>352</v>
      </c>
      <c r="R355">
        <f t="shared" ca="1" si="9"/>
        <v>-17.171502807126299</v>
      </c>
    </row>
    <row r="356" spans="10:18" x14ac:dyDescent="0.3">
      <c r="J356" s="19"/>
      <c r="Q356">
        <v>353</v>
      </c>
      <c r="R356">
        <f t="shared" ca="1" si="9"/>
        <v>-7.940194787522719</v>
      </c>
    </row>
    <row r="357" spans="10:18" x14ac:dyDescent="0.3">
      <c r="J357" s="19"/>
      <c r="Q357">
        <v>354</v>
      </c>
      <c r="R357">
        <f t="shared" ca="1" si="9"/>
        <v>6.4877186238621807</v>
      </c>
    </row>
    <row r="358" spans="10:18" x14ac:dyDescent="0.3">
      <c r="J358" s="19"/>
      <c r="Q358">
        <v>355</v>
      </c>
      <c r="R358">
        <f t="shared" ca="1" si="9"/>
        <v>16.82595376611939</v>
      </c>
    </row>
    <row r="359" spans="10:18" x14ac:dyDescent="0.3">
      <c r="J359" s="19"/>
      <c r="Q359">
        <v>356</v>
      </c>
      <c r="R359">
        <f t="shared" ca="1" si="9"/>
        <v>9.5703370149268725</v>
      </c>
    </row>
    <row r="360" spans="10:18" x14ac:dyDescent="0.3">
      <c r="J360" s="19"/>
      <c r="Q360">
        <v>357</v>
      </c>
      <c r="R360">
        <f t="shared" ca="1" si="9"/>
        <v>-19.776409850001635</v>
      </c>
    </row>
    <row r="361" spans="10:18" x14ac:dyDescent="0.3">
      <c r="J361" s="19"/>
      <c r="Q361">
        <v>358</v>
      </c>
      <c r="R361">
        <f t="shared" ca="1" si="9"/>
        <v>7.9633018475313015</v>
      </c>
    </row>
    <row r="362" spans="10:18" x14ac:dyDescent="0.3">
      <c r="J362" s="19"/>
      <c r="Q362">
        <v>359</v>
      </c>
      <c r="R362">
        <f t="shared" ca="1" si="9"/>
        <v>1.1078379453337679</v>
      </c>
    </row>
    <row r="363" spans="10:18" x14ac:dyDescent="0.3">
      <c r="J363" s="19"/>
      <c r="Q363">
        <v>360</v>
      </c>
      <c r="R363">
        <f t="shared" ca="1" si="9"/>
        <v>23.669234885028448</v>
      </c>
    </row>
    <row r="364" spans="10:18" x14ac:dyDescent="0.3">
      <c r="J364" s="19"/>
      <c r="Q364">
        <v>361</v>
      </c>
      <c r="R364">
        <f t="shared" ca="1" si="9"/>
        <v>-25.06224653447978</v>
      </c>
    </row>
    <row r="365" spans="10:18" x14ac:dyDescent="0.3">
      <c r="J365" s="19"/>
      <c r="Q365">
        <v>362</v>
      </c>
      <c r="R365">
        <f t="shared" ca="1" si="9"/>
        <v>-1.5659240807329247</v>
      </c>
    </row>
    <row r="366" spans="10:18" x14ac:dyDescent="0.3">
      <c r="J366" s="19"/>
      <c r="Q366">
        <v>363</v>
      </c>
      <c r="R366">
        <f t="shared" ca="1" si="9"/>
        <v>13.06036018316437</v>
      </c>
    </row>
    <row r="367" spans="10:18" x14ac:dyDescent="0.3">
      <c r="J367" s="19"/>
      <c r="Q367">
        <v>364</v>
      </c>
      <c r="R367">
        <f t="shared" ca="1" si="9"/>
        <v>-8.5465347639529394</v>
      </c>
    </row>
    <row r="368" spans="10:18" x14ac:dyDescent="0.3">
      <c r="J368" s="19"/>
      <c r="Q368">
        <v>365</v>
      </c>
      <c r="R368">
        <f t="shared" ca="1" si="9"/>
        <v>35.543191490688159</v>
      </c>
    </row>
    <row r="369" spans="10:18" x14ac:dyDescent="0.3">
      <c r="J369" s="19"/>
      <c r="Q369">
        <v>366</v>
      </c>
      <c r="R369">
        <f t="shared" ca="1" si="9"/>
        <v>-7.6077382649830749</v>
      </c>
    </row>
    <row r="370" spans="10:18" x14ac:dyDescent="0.3">
      <c r="J370" s="19"/>
      <c r="Q370">
        <v>367</v>
      </c>
      <c r="R370">
        <f t="shared" ca="1" si="9"/>
        <v>-6.7935657108737963</v>
      </c>
    </row>
    <row r="371" spans="10:18" x14ac:dyDescent="0.3">
      <c r="J371" s="19"/>
      <c r="Q371">
        <v>368</v>
      </c>
      <c r="R371">
        <f t="shared" ca="1" si="9"/>
        <v>-5.3050865263130405</v>
      </c>
    </row>
    <row r="372" spans="10:18" x14ac:dyDescent="0.3">
      <c r="J372" s="19"/>
      <c r="Q372">
        <v>369</v>
      </c>
      <c r="R372">
        <f t="shared" ca="1" si="9"/>
        <v>-6.6732067652446707</v>
      </c>
    </row>
    <row r="373" spans="10:18" x14ac:dyDescent="0.3">
      <c r="J373" s="19"/>
      <c r="Q373">
        <v>370</v>
      </c>
      <c r="R373">
        <f t="shared" ca="1" si="9"/>
        <v>19.065745609713041</v>
      </c>
    </row>
    <row r="374" spans="10:18" x14ac:dyDescent="0.3">
      <c r="J374" s="19"/>
      <c r="Q374">
        <v>371</v>
      </c>
      <c r="R374">
        <f t="shared" ca="1" si="9"/>
        <v>1.7838102064441623</v>
      </c>
    </row>
    <row r="375" spans="10:18" x14ac:dyDescent="0.3">
      <c r="J375" s="19"/>
      <c r="Q375">
        <v>372</v>
      </c>
      <c r="R375">
        <f t="shared" ca="1" si="9"/>
        <v>-1.4911909322231123</v>
      </c>
    </row>
    <row r="376" spans="10:18" x14ac:dyDescent="0.3">
      <c r="J376" s="19"/>
      <c r="Q376">
        <v>373</v>
      </c>
      <c r="R376">
        <f t="shared" ca="1" si="9"/>
        <v>35.876813922279261</v>
      </c>
    </row>
    <row r="377" spans="10:18" x14ac:dyDescent="0.3">
      <c r="J377" s="19"/>
      <c r="Q377">
        <v>374</v>
      </c>
      <c r="R377">
        <f t="shared" ca="1" si="9"/>
        <v>26.739903000530422</v>
      </c>
    </row>
    <row r="378" spans="10:18" x14ac:dyDescent="0.3">
      <c r="J378" s="19"/>
      <c r="Q378">
        <v>375</v>
      </c>
      <c r="R378">
        <f t="shared" ca="1" si="9"/>
        <v>4.9780855518603611</v>
      </c>
    </row>
    <row r="379" spans="10:18" x14ac:dyDescent="0.3">
      <c r="J379" s="19"/>
      <c r="Q379">
        <v>376</v>
      </c>
      <c r="R379">
        <f t="shared" ca="1" si="9"/>
        <v>20.703482946210652</v>
      </c>
    </row>
    <row r="380" spans="10:18" x14ac:dyDescent="0.3">
      <c r="J380" s="19"/>
      <c r="Q380">
        <v>377</v>
      </c>
      <c r="R380">
        <f t="shared" ca="1" si="9"/>
        <v>-12.566511344829806</v>
      </c>
    </row>
    <row r="381" spans="10:18" x14ac:dyDescent="0.3">
      <c r="J381" s="19"/>
      <c r="Q381">
        <v>378</v>
      </c>
      <c r="R381">
        <f t="shared" ca="1" si="9"/>
        <v>15.924057420270627</v>
      </c>
    </row>
    <row r="382" spans="10:18" x14ac:dyDescent="0.3">
      <c r="J382" s="19"/>
      <c r="Q382">
        <v>379</v>
      </c>
      <c r="R382">
        <f t="shared" ca="1" si="9"/>
        <v>-4.5135333280738221</v>
      </c>
    </row>
    <row r="383" spans="10:18" x14ac:dyDescent="0.3">
      <c r="J383" s="19"/>
      <c r="Q383">
        <v>380</v>
      </c>
      <c r="R383">
        <f t="shared" ca="1" si="9"/>
        <v>-5.6580957944914623</v>
      </c>
    </row>
    <row r="384" spans="10:18" x14ac:dyDescent="0.3">
      <c r="J384" s="19"/>
      <c r="Q384">
        <v>381</v>
      </c>
      <c r="R384">
        <f t="shared" ca="1" si="9"/>
        <v>10.923782197222037</v>
      </c>
    </row>
    <row r="385" spans="10:18" x14ac:dyDescent="0.3">
      <c r="J385" s="19"/>
      <c r="Q385">
        <v>382</v>
      </c>
      <c r="R385">
        <f t="shared" ca="1" si="9"/>
        <v>11.046017724008689</v>
      </c>
    </row>
    <row r="386" spans="10:18" x14ac:dyDescent="0.3">
      <c r="J386" s="19"/>
      <c r="Q386">
        <v>383</v>
      </c>
      <c r="R386">
        <f t="shared" ca="1" si="9"/>
        <v>-3.2648680648215649</v>
      </c>
    </row>
    <row r="387" spans="10:18" x14ac:dyDescent="0.3">
      <c r="J387" s="19"/>
      <c r="Q387">
        <v>384</v>
      </c>
      <c r="R387">
        <f t="shared" ca="1" si="9"/>
        <v>-11.861570056686206</v>
      </c>
    </row>
    <row r="388" spans="10:18" x14ac:dyDescent="0.3">
      <c r="J388" s="19"/>
      <c r="Q388">
        <v>385</v>
      </c>
      <c r="R388">
        <f t="shared" ref="R388:R451" ca="1" si="10">_xlfn.NORM.INV(RAND(),$B$16,$B$17)</f>
        <v>2.0089608909401937</v>
      </c>
    </row>
    <row r="389" spans="10:18" x14ac:dyDescent="0.3">
      <c r="J389" s="19"/>
      <c r="Q389">
        <v>386</v>
      </c>
      <c r="R389">
        <f t="shared" ca="1" si="10"/>
        <v>-6.1703678421011112</v>
      </c>
    </row>
    <row r="390" spans="10:18" x14ac:dyDescent="0.3">
      <c r="J390" s="19"/>
      <c r="Q390">
        <v>387</v>
      </c>
      <c r="R390">
        <f t="shared" ca="1" si="10"/>
        <v>-10.552515473516367</v>
      </c>
    </row>
    <row r="391" spans="10:18" x14ac:dyDescent="0.3">
      <c r="J391" s="19"/>
      <c r="Q391">
        <v>388</v>
      </c>
      <c r="R391">
        <f t="shared" ca="1" si="10"/>
        <v>20.173166428342796</v>
      </c>
    </row>
    <row r="392" spans="10:18" x14ac:dyDescent="0.3">
      <c r="J392" s="19"/>
      <c r="Q392">
        <v>389</v>
      </c>
      <c r="R392">
        <f t="shared" ca="1" si="10"/>
        <v>4.233811492129739</v>
      </c>
    </row>
    <row r="393" spans="10:18" x14ac:dyDescent="0.3">
      <c r="J393" s="19"/>
      <c r="Q393">
        <v>390</v>
      </c>
      <c r="R393">
        <f t="shared" ca="1" si="10"/>
        <v>2.0601267385615722</v>
      </c>
    </row>
    <row r="394" spans="10:18" x14ac:dyDescent="0.3">
      <c r="J394" s="19"/>
      <c r="Q394">
        <v>391</v>
      </c>
      <c r="R394">
        <f t="shared" ca="1" si="10"/>
        <v>6.1754861219294455</v>
      </c>
    </row>
    <row r="395" spans="10:18" x14ac:dyDescent="0.3">
      <c r="J395" s="19"/>
      <c r="Q395">
        <v>392</v>
      </c>
      <c r="R395">
        <f t="shared" ca="1" si="10"/>
        <v>7.1576310115675383</v>
      </c>
    </row>
    <row r="396" spans="10:18" x14ac:dyDescent="0.3">
      <c r="J396" s="19"/>
      <c r="Q396">
        <v>393</v>
      </c>
      <c r="R396">
        <f t="shared" ca="1" si="10"/>
        <v>5.1809302951600404</v>
      </c>
    </row>
    <row r="397" spans="10:18" x14ac:dyDescent="0.3">
      <c r="J397" s="19"/>
      <c r="Q397">
        <v>394</v>
      </c>
      <c r="R397">
        <f t="shared" ca="1" si="10"/>
        <v>15.755381420947506</v>
      </c>
    </row>
    <row r="398" spans="10:18" x14ac:dyDescent="0.3">
      <c r="J398" s="19"/>
      <c r="Q398">
        <v>395</v>
      </c>
      <c r="R398">
        <f t="shared" ca="1" si="10"/>
        <v>-28.460153158293235</v>
      </c>
    </row>
    <row r="399" spans="10:18" x14ac:dyDescent="0.3">
      <c r="J399" s="19"/>
      <c r="Q399">
        <v>396</v>
      </c>
      <c r="R399">
        <f t="shared" ca="1" si="10"/>
        <v>0.14941668232529071</v>
      </c>
    </row>
    <row r="400" spans="10:18" x14ac:dyDescent="0.3">
      <c r="J400" s="19"/>
      <c r="Q400">
        <v>397</v>
      </c>
      <c r="R400">
        <f t="shared" ca="1" si="10"/>
        <v>-23.261949622082859</v>
      </c>
    </row>
    <row r="401" spans="10:18" x14ac:dyDescent="0.3">
      <c r="J401" s="19"/>
      <c r="Q401">
        <v>398</v>
      </c>
      <c r="R401">
        <f t="shared" ca="1" si="10"/>
        <v>20.035500181756277</v>
      </c>
    </row>
    <row r="402" spans="10:18" x14ac:dyDescent="0.3">
      <c r="J402" s="19"/>
      <c r="Q402">
        <v>399</v>
      </c>
      <c r="R402">
        <f t="shared" ca="1" si="10"/>
        <v>7.328604318719476</v>
      </c>
    </row>
    <row r="403" spans="10:18" x14ac:dyDescent="0.3">
      <c r="J403" s="19"/>
      <c r="Q403">
        <v>400</v>
      </c>
      <c r="R403">
        <f t="shared" ca="1" si="10"/>
        <v>8.6018489188630145</v>
      </c>
    </row>
    <row r="404" spans="10:18" x14ac:dyDescent="0.3">
      <c r="J404" s="19"/>
      <c r="Q404">
        <v>401</v>
      </c>
      <c r="R404">
        <f t="shared" ca="1" si="10"/>
        <v>-11.491066986405519</v>
      </c>
    </row>
    <row r="405" spans="10:18" x14ac:dyDescent="0.3">
      <c r="J405" s="19"/>
      <c r="Q405">
        <v>402</v>
      </c>
      <c r="R405">
        <f t="shared" ca="1" si="10"/>
        <v>-30.268236082733718</v>
      </c>
    </row>
    <row r="406" spans="10:18" x14ac:dyDescent="0.3">
      <c r="J406" s="19"/>
      <c r="Q406">
        <v>403</v>
      </c>
      <c r="R406">
        <f t="shared" ca="1" si="10"/>
        <v>10.734671155406469</v>
      </c>
    </row>
    <row r="407" spans="10:18" x14ac:dyDescent="0.3">
      <c r="J407" s="19"/>
      <c r="Q407">
        <v>404</v>
      </c>
      <c r="R407">
        <f t="shared" ca="1" si="10"/>
        <v>3.2196125003040974</v>
      </c>
    </row>
    <row r="408" spans="10:18" x14ac:dyDescent="0.3">
      <c r="J408" s="19"/>
      <c r="Q408">
        <v>405</v>
      </c>
      <c r="R408">
        <f t="shared" ca="1" si="10"/>
        <v>-3.6482468438784981</v>
      </c>
    </row>
    <row r="409" spans="10:18" x14ac:dyDescent="0.3">
      <c r="J409" s="19"/>
      <c r="Q409">
        <v>406</v>
      </c>
      <c r="R409">
        <f t="shared" ca="1" si="10"/>
        <v>5.6771973593430465</v>
      </c>
    </row>
    <row r="410" spans="10:18" x14ac:dyDescent="0.3">
      <c r="J410" s="19"/>
      <c r="Q410">
        <v>407</v>
      </c>
      <c r="R410">
        <f t="shared" ca="1" si="10"/>
        <v>14.315292570897279</v>
      </c>
    </row>
    <row r="411" spans="10:18" x14ac:dyDescent="0.3">
      <c r="J411" s="19"/>
      <c r="Q411">
        <v>408</v>
      </c>
      <c r="R411">
        <f t="shared" ca="1" si="10"/>
        <v>-10.790228078301469</v>
      </c>
    </row>
    <row r="412" spans="10:18" x14ac:dyDescent="0.3">
      <c r="J412" s="19"/>
      <c r="Q412">
        <v>409</v>
      </c>
      <c r="R412">
        <f t="shared" ca="1" si="10"/>
        <v>-26.566021773535031</v>
      </c>
    </row>
    <row r="413" spans="10:18" x14ac:dyDescent="0.3">
      <c r="J413" s="19"/>
      <c r="Q413">
        <v>410</v>
      </c>
      <c r="R413">
        <f t="shared" ca="1" si="10"/>
        <v>-2.0884207578532723</v>
      </c>
    </row>
    <row r="414" spans="10:18" x14ac:dyDescent="0.3">
      <c r="J414" s="19"/>
      <c r="Q414">
        <v>411</v>
      </c>
      <c r="R414">
        <f t="shared" ca="1" si="10"/>
        <v>18.250271882274376</v>
      </c>
    </row>
    <row r="415" spans="10:18" x14ac:dyDescent="0.3">
      <c r="J415" s="19"/>
      <c r="Q415">
        <v>412</v>
      </c>
      <c r="R415">
        <f t="shared" ca="1" si="10"/>
        <v>-29.269298757070889</v>
      </c>
    </row>
    <row r="416" spans="10:18" x14ac:dyDescent="0.3">
      <c r="J416" s="19"/>
      <c r="Q416">
        <v>413</v>
      </c>
      <c r="R416">
        <f t="shared" ca="1" si="10"/>
        <v>16.886201193914395</v>
      </c>
    </row>
    <row r="417" spans="10:18" x14ac:dyDescent="0.3">
      <c r="J417" s="19"/>
      <c r="Q417">
        <v>414</v>
      </c>
      <c r="R417">
        <f t="shared" ca="1" si="10"/>
        <v>-6.364388434881632</v>
      </c>
    </row>
    <row r="418" spans="10:18" x14ac:dyDescent="0.3">
      <c r="J418" s="19"/>
      <c r="Q418">
        <v>415</v>
      </c>
      <c r="R418">
        <f t="shared" ca="1" si="10"/>
        <v>-32.38925094589176</v>
      </c>
    </row>
    <row r="419" spans="10:18" x14ac:dyDescent="0.3">
      <c r="J419" s="19"/>
      <c r="Q419">
        <v>416</v>
      </c>
      <c r="R419">
        <f t="shared" ca="1" si="10"/>
        <v>-19.510648416202187</v>
      </c>
    </row>
    <row r="420" spans="10:18" x14ac:dyDescent="0.3">
      <c r="J420" s="19"/>
      <c r="Q420">
        <v>417</v>
      </c>
      <c r="R420">
        <f t="shared" ca="1" si="10"/>
        <v>22.330794609476488</v>
      </c>
    </row>
    <row r="421" spans="10:18" x14ac:dyDescent="0.3">
      <c r="J421" s="19"/>
      <c r="Q421">
        <v>418</v>
      </c>
      <c r="R421">
        <f t="shared" ca="1" si="10"/>
        <v>9.0533899943409626</v>
      </c>
    </row>
    <row r="422" spans="10:18" x14ac:dyDescent="0.3">
      <c r="J422" s="19"/>
      <c r="Q422">
        <v>419</v>
      </c>
      <c r="R422">
        <f t="shared" ca="1" si="10"/>
        <v>1.9003431572258922E-2</v>
      </c>
    </row>
    <row r="423" spans="10:18" x14ac:dyDescent="0.3">
      <c r="J423" s="19"/>
      <c r="Q423">
        <v>420</v>
      </c>
      <c r="R423">
        <f t="shared" ca="1" si="10"/>
        <v>-12.37378758024739</v>
      </c>
    </row>
    <row r="424" spans="10:18" x14ac:dyDescent="0.3">
      <c r="J424" s="19"/>
      <c r="Q424">
        <v>421</v>
      </c>
      <c r="R424">
        <f t="shared" ca="1" si="10"/>
        <v>-19.35412628630786</v>
      </c>
    </row>
    <row r="425" spans="10:18" x14ac:dyDescent="0.3">
      <c r="J425" s="19"/>
      <c r="Q425">
        <v>422</v>
      </c>
      <c r="R425">
        <f t="shared" ca="1" si="10"/>
        <v>-13.670868057599852</v>
      </c>
    </row>
    <row r="426" spans="10:18" x14ac:dyDescent="0.3">
      <c r="J426" s="19"/>
      <c r="Q426">
        <v>423</v>
      </c>
      <c r="R426">
        <f t="shared" ca="1" si="10"/>
        <v>4.857728755489215</v>
      </c>
    </row>
    <row r="427" spans="10:18" x14ac:dyDescent="0.3">
      <c r="J427" s="19"/>
      <c r="Q427">
        <v>424</v>
      </c>
      <c r="R427">
        <f t="shared" ca="1" si="10"/>
        <v>17.879213080051411</v>
      </c>
    </row>
    <row r="428" spans="10:18" x14ac:dyDescent="0.3">
      <c r="J428" s="19"/>
      <c r="Q428">
        <v>425</v>
      </c>
      <c r="R428">
        <f t="shared" ca="1" si="10"/>
        <v>3.1721072639901697</v>
      </c>
    </row>
    <row r="429" spans="10:18" x14ac:dyDescent="0.3">
      <c r="J429" s="19"/>
      <c r="Q429">
        <v>426</v>
      </c>
      <c r="R429">
        <f t="shared" ca="1" si="10"/>
        <v>-31.144536944127566</v>
      </c>
    </row>
    <row r="430" spans="10:18" x14ac:dyDescent="0.3">
      <c r="J430" s="19"/>
      <c r="Q430">
        <v>427</v>
      </c>
      <c r="R430">
        <f t="shared" ca="1" si="10"/>
        <v>11.164017956116476</v>
      </c>
    </row>
    <row r="431" spans="10:18" x14ac:dyDescent="0.3">
      <c r="J431" s="19"/>
      <c r="Q431">
        <v>428</v>
      </c>
      <c r="R431">
        <f t="shared" ca="1" si="10"/>
        <v>5.5630353071246024</v>
      </c>
    </row>
    <row r="432" spans="10:18" x14ac:dyDescent="0.3">
      <c r="J432" s="19"/>
      <c r="Q432">
        <v>429</v>
      </c>
      <c r="R432">
        <f t="shared" ca="1" si="10"/>
        <v>-35.973150376762867</v>
      </c>
    </row>
    <row r="433" spans="10:18" x14ac:dyDescent="0.3">
      <c r="J433" s="19"/>
      <c r="Q433">
        <v>430</v>
      </c>
      <c r="R433">
        <f t="shared" ca="1" si="10"/>
        <v>10.738219400137346</v>
      </c>
    </row>
    <row r="434" spans="10:18" x14ac:dyDescent="0.3">
      <c r="J434" s="19"/>
      <c r="Q434">
        <v>431</v>
      </c>
      <c r="R434">
        <f t="shared" ca="1" si="10"/>
        <v>27.5041420182385</v>
      </c>
    </row>
    <row r="435" spans="10:18" x14ac:dyDescent="0.3">
      <c r="J435" s="19"/>
      <c r="Q435">
        <v>432</v>
      </c>
      <c r="R435">
        <f t="shared" ca="1" si="10"/>
        <v>-3.4699626747278849</v>
      </c>
    </row>
    <row r="436" spans="10:18" x14ac:dyDescent="0.3">
      <c r="J436" s="19"/>
      <c r="Q436">
        <v>433</v>
      </c>
      <c r="R436">
        <f t="shared" ca="1" si="10"/>
        <v>5.4416984171242291</v>
      </c>
    </row>
    <row r="437" spans="10:18" x14ac:dyDescent="0.3">
      <c r="J437" s="19"/>
      <c r="Q437">
        <v>434</v>
      </c>
      <c r="R437">
        <f t="shared" ca="1" si="10"/>
        <v>-5.3189336007751544</v>
      </c>
    </row>
    <row r="438" spans="10:18" x14ac:dyDescent="0.3">
      <c r="J438" s="19"/>
      <c r="Q438">
        <v>435</v>
      </c>
      <c r="R438">
        <f t="shared" ca="1" si="10"/>
        <v>8.9145299471048514</v>
      </c>
    </row>
    <row r="439" spans="10:18" x14ac:dyDescent="0.3">
      <c r="J439" s="19"/>
      <c r="Q439">
        <v>436</v>
      </c>
      <c r="R439">
        <f t="shared" ca="1" si="10"/>
        <v>-10.992237265172415</v>
      </c>
    </row>
    <row r="440" spans="10:18" x14ac:dyDescent="0.3">
      <c r="J440" s="19"/>
      <c r="Q440">
        <v>437</v>
      </c>
      <c r="R440">
        <f t="shared" ca="1" si="10"/>
        <v>-18.213545985292338</v>
      </c>
    </row>
    <row r="441" spans="10:18" x14ac:dyDescent="0.3">
      <c r="J441" s="19"/>
      <c r="Q441">
        <v>438</v>
      </c>
      <c r="R441">
        <f t="shared" ca="1" si="10"/>
        <v>-6.7939926259030718</v>
      </c>
    </row>
    <row r="442" spans="10:18" x14ac:dyDescent="0.3">
      <c r="J442" s="19"/>
      <c r="Q442">
        <v>439</v>
      </c>
      <c r="R442">
        <f t="shared" ca="1" si="10"/>
        <v>29.510220456675388</v>
      </c>
    </row>
    <row r="443" spans="10:18" x14ac:dyDescent="0.3">
      <c r="J443" s="19"/>
      <c r="Q443">
        <v>440</v>
      </c>
      <c r="R443">
        <f t="shared" ca="1" si="10"/>
        <v>-9.5029252203101571</v>
      </c>
    </row>
    <row r="444" spans="10:18" x14ac:dyDescent="0.3">
      <c r="J444" s="19"/>
      <c r="Q444">
        <v>441</v>
      </c>
      <c r="R444">
        <f t="shared" ca="1" si="10"/>
        <v>0.98608248346253125</v>
      </c>
    </row>
    <row r="445" spans="10:18" x14ac:dyDescent="0.3">
      <c r="J445" s="19"/>
      <c r="Q445">
        <v>442</v>
      </c>
      <c r="R445">
        <f t="shared" ca="1" si="10"/>
        <v>-19.140962298531171</v>
      </c>
    </row>
    <row r="446" spans="10:18" x14ac:dyDescent="0.3">
      <c r="J446" s="19"/>
      <c r="Q446">
        <v>443</v>
      </c>
      <c r="R446">
        <f t="shared" ca="1" si="10"/>
        <v>-19.042382456937553</v>
      </c>
    </row>
    <row r="447" spans="10:18" x14ac:dyDescent="0.3">
      <c r="J447" s="19"/>
      <c r="Q447">
        <v>444</v>
      </c>
      <c r="R447">
        <f t="shared" ca="1" si="10"/>
        <v>-16.424811791984531</v>
      </c>
    </row>
    <row r="448" spans="10:18" x14ac:dyDescent="0.3">
      <c r="J448" s="19"/>
      <c r="Q448">
        <v>445</v>
      </c>
      <c r="R448">
        <f t="shared" ca="1" si="10"/>
        <v>-3.0090835645014691E-2</v>
      </c>
    </row>
    <row r="449" spans="10:18" x14ac:dyDescent="0.3">
      <c r="J449" s="19"/>
      <c r="Q449">
        <v>446</v>
      </c>
      <c r="R449">
        <f t="shared" ca="1" si="10"/>
        <v>12.023379690662534</v>
      </c>
    </row>
    <row r="450" spans="10:18" x14ac:dyDescent="0.3">
      <c r="J450" s="19"/>
      <c r="Q450">
        <v>447</v>
      </c>
      <c r="R450">
        <f t="shared" ca="1" si="10"/>
        <v>-13.906177321553837</v>
      </c>
    </row>
    <row r="451" spans="10:18" x14ac:dyDescent="0.3">
      <c r="J451" s="19"/>
      <c r="Q451">
        <v>448</v>
      </c>
      <c r="R451">
        <f t="shared" ca="1" si="10"/>
        <v>14.622313094439122</v>
      </c>
    </row>
    <row r="452" spans="10:18" x14ac:dyDescent="0.3">
      <c r="J452" s="19"/>
      <c r="Q452">
        <v>449</v>
      </c>
      <c r="R452">
        <f t="shared" ref="R452:R515" ca="1" si="11">_xlfn.NORM.INV(RAND(),$B$16,$B$17)</f>
        <v>33.938257915136809</v>
      </c>
    </row>
    <row r="453" spans="10:18" x14ac:dyDescent="0.3">
      <c r="J453" s="19"/>
      <c r="Q453">
        <v>450</v>
      </c>
      <c r="R453">
        <f t="shared" ca="1" si="11"/>
        <v>-19.64417341323389</v>
      </c>
    </row>
    <row r="454" spans="10:18" x14ac:dyDescent="0.3">
      <c r="J454" s="19"/>
      <c r="Q454">
        <v>451</v>
      </c>
      <c r="R454">
        <f t="shared" ca="1" si="11"/>
        <v>-32.643651060048008</v>
      </c>
    </row>
    <row r="455" spans="10:18" x14ac:dyDescent="0.3">
      <c r="J455" s="19"/>
      <c r="Q455">
        <v>452</v>
      </c>
      <c r="R455">
        <f t="shared" ca="1" si="11"/>
        <v>-5.5064695137213082</v>
      </c>
    </row>
    <row r="456" spans="10:18" x14ac:dyDescent="0.3">
      <c r="J456" s="19"/>
      <c r="Q456">
        <v>453</v>
      </c>
      <c r="R456">
        <f t="shared" ca="1" si="11"/>
        <v>-8.1304787177476552</v>
      </c>
    </row>
    <row r="457" spans="10:18" x14ac:dyDescent="0.3">
      <c r="J457" s="19"/>
      <c r="Q457">
        <v>454</v>
      </c>
      <c r="R457">
        <f t="shared" ca="1" si="11"/>
        <v>1.7624941234354472</v>
      </c>
    </row>
    <row r="458" spans="10:18" x14ac:dyDescent="0.3">
      <c r="J458" s="19"/>
      <c r="Q458">
        <v>455</v>
      </c>
      <c r="R458">
        <f t="shared" ca="1" si="11"/>
        <v>12.361402567407662</v>
      </c>
    </row>
    <row r="459" spans="10:18" x14ac:dyDescent="0.3">
      <c r="J459" s="19"/>
      <c r="Q459">
        <v>456</v>
      </c>
      <c r="R459">
        <f t="shared" ca="1" si="11"/>
        <v>-17.755653448675744</v>
      </c>
    </row>
    <row r="460" spans="10:18" x14ac:dyDescent="0.3">
      <c r="J460" s="19"/>
      <c r="Q460">
        <v>457</v>
      </c>
      <c r="R460">
        <f t="shared" ca="1" si="11"/>
        <v>6.8423424326537932</v>
      </c>
    </row>
    <row r="461" spans="10:18" x14ac:dyDescent="0.3">
      <c r="J461" s="19"/>
      <c r="Q461">
        <v>458</v>
      </c>
      <c r="R461">
        <f t="shared" ca="1" si="11"/>
        <v>30.373506332392136</v>
      </c>
    </row>
    <row r="462" spans="10:18" x14ac:dyDescent="0.3">
      <c r="J462" s="19"/>
      <c r="Q462">
        <v>459</v>
      </c>
      <c r="R462">
        <f t="shared" ca="1" si="11"/>
        <v>-23.421236572184153</v>
      </c>
    </row>
    <row r="463" spans="10:18" x14ac:dyDescent="0.3">
      <c r="J463" s="19"/>
      <c r="Q463">
        <v>460</v>
      </c>
      <c r="R463">
        <f t="shared" ca="1" si="11"/>
        <v>30.324095657697722</v>
      </c>
    </row>
    <row r="464" spans="10:18" x14ac:dyDescent="0.3">
      <c r="J464" s="19"/>
      <c r="Q464">
        <v>461</v>
      </c>
      <c r="R464">
        <f t="shared" ca="1" si="11"/>
        <v>-2.6211021471711033</v>
      </c>
    </row>
    <row r="465" spans="10:18" x14ac:dyDescent="0.3">
      <c r="J465" s="19"/>
      <c r="Q465">
        <v>462</v>
      </c>
      <c r="R465">
        <f t="shared" ca="1" si="11"/>
        <v>36.877531234059063</v>
      </c>
    </row>
    <row r="466" spans="10:18" x14ac:dyDescent="0.3">
      <c r="J466" s="19"/>
      <c r="Q466">
        <v>463</v>
      </c>
      <c r="R466">
        <f t="shared" ca="1" si="11"/>
        <v>16.008464709298398</v>
      </c>
    </row>
    <row r="467" spans="10:18" x14ac:dyDescent="0.3">
      <c r="J467" s="19"/>
      <c r="Q467">
        <v>464</v>
      </c>
      <c r="R467">
        <f t="shared" ca="1" si="11"/>
        <v>4.4882008470704484</v>
      </c>
    </row>
    <row r="468" spans="10:18" x14ac:dyDescent="0.3">
      <c r="J468" s="19"/>
      <c r="Q468">
        <v>465</v>
      </c>
      <c r="R468">
        <f t="shared" ca="1" si="11"/>
        <v>28.523933154092511</v>
      </c>
    </row>
    <row r="469" spans="10:18" x14ac:dyDescent="0.3">
      <c r="J469" s="19"/>
      <c r="Q469">
        <v>466</v>
      </c>
      <c r="R469">
        <f t="shared" ca="1" si="11"/>
        <v>-5.1241006251055623</v>
      </c>
    </row>
    <row r="470" spans="10:18" x14ac:dyDescent="0.3">
      <c r="J470" s="19"/>
      <c r="Q470">
        <v>467</v>
      </c>
      <c r="R470">
        <f t="shared" ca="1" si="11"/>
        <v>-4.7775414288965496</v>
      </c>
    </row>
    <row r="471" spans="10:18" x14ac:dyDescent="0.3">
      <c r="J471" s="19"/>
      <c r="Q471">
        <v>468</v>
      </c>
      <c r="R471">
        <f t="shared" ca="1" si="11"/>
        <v>-5.1564894305797644</v>
      </c>
    </row>
    <row r="472" spans="10:18" x14ac:dyDescent="0.3">
      <c r="J472" s="19"/>
      <c r="Q472">
        <v>469</v>
      </c>
      <c r="R472">
        <f t="shared" ca="1" si="11"/>
        <v>5.0586726680468264E-2</v>
      </c>
    </row>
    <row r="473" spans="10:18" x14ac:dyDescent="0.3">
      <c r="J473" s="19"/>
      <c r="Q473">
        <v>470</v>
      </c>
      <c r="R473">
        <f t="shared" ca="1" si="11"/>
        <v>4.4670639366463663</v>
      </c>
    </row>
    <row r="474" spans="10:18" x14ac:dyDescent="0.3">
      <c r="J474" s="19"/>
      <c r="Q474">
        <v>471</v>
      </c>
      <c r="R474">
        <f t="shared" ca="1" si="11"/>
        <v>33.08668430358528</v>
      </c>
    </row>
    <row r="475" spans="10:18" x14ac:dyDescent="0.3">
      <c r="J475" s="19"/>
      <c r="Q475">
        <v>472</v>
      </c>
      <c r="R475">
        <f t="shared" ca="1" si="11"/>
        <v>-16.227262872613437</v>
      </c>
    </row>
    <row r="476" spans="10:18" x14ac:dyDescent="0.3">
      <c r="J476" s="19"/>
      <c r="Q476">
        <v>473</v>
      </c>
      <c r="R476">
        <f t="shared" ca="1" si="11"/>
        <v>15.455558007880528</v>
      </c>
    </row>
    <row r="477" spans="10:18" x14ac:dyDescent="0.3">
      <c r="J477" s="19"/>
      <c r="Q477">
        <v>474</v>
      </c>
      <c r="R477">
        <f t="shared" ca="1" si="11"/>
        <v>4.7416450361440861</v>
      </c>
    </row>
    <row r="478" spans="10:18" x14ac:dyDescent="0.3">
      <c r="J478" s="19"/>
      <c r="Q478">
        <v>475</v>
      </c>
      <c r="R478">
        <f t="shared" ca="1" si="11"/>
        <v>5.2524424786001829</v>
      </c>
    </row>
    <row r="479" spans="10:18" x14ac:dyDescent="0.3">
      <c r="J479" s="19"/>
      <c r="Q479">
        <v>476</v>
      </c>
      <c r="R479">
        <f t="shared" ca="1" si="11"/>
        <v>-15.455964180478228</v>
      </c>
    </row>
    <row r="480" spans="10:18" x14ac:dyDescent="0.3">
      <c r="J480" s="19"/>
      <c r="Q480">
        <v>477</v>
      </c>
      <c r="R480">
        <f t="shared" ca="1" si="11"/>
        <v>-10.121276881501602</v>
      </c>
    </row>
    <row r="481" spans="10:18" x14ac:dyDescent="0.3">
      <c r="J481" s="19"/>
      <c r="Q481">
        <v>478</v>
      </c>
      <c r="R481">
        <f t="shared" ca="1" si="11"/>
        <v>20.37029301523263</v>
      </c>
    </row>
    <row r="482" spans="10:18" x14ac:dyDescent="0.3">
      <c r="J482" s="19"/>
      <c r="Q482">
        <v>479</v>
      </c>
      <c r="R482">
        <f t="shared" ca="1" si="11"/>
        <v>7.7596152373648017</v>
      </c>
    </row>
    <row r="483" spans="10:18" x14ac:dyDescent="0.3">
      <c r="J483" s="19"/>
      <c r="Q483">
        <v>480</v>
      </c>
      <c r="R483">
        <f t="shared" ca="1" si="11"/>
        <v>5.431596498692512</v>
      </c>
    </row>
    <row r="484" spans="10:18" x14ac:dyDescent="0.3">
      <c r="J484" s="19"/>
      <c r="Q484">
        <v>481</v>
      </c>
      <c r="R484">
        <f t="shared" ca="1" si="11"/>
        <v>-12.140456435985509</v>
      </c>
    </row>
    <row r="485" spans="10:18" x14ac:dyDescent="0.3">
      <c r="J485" s="19"/>
      <c r="Q485">
        <v>482</v>
      </c>
      <c r="R485">
        <f t="shared" ca="1" si="11"/>
        <v>-9.4797284757900897</v>
      </c>
    </row>
    <row r="486" spans="10:18" x14ac:dyDescent="0.3">
      <c r="J486" s="19"/>
      <c r="Q486">
        <v>483</v>
      </c>
      <c r="R486">
        <f t="shared" ca="1" si="11"/>
        <v>8.9867406814800521</v>
      </c>
    </row>
    <row r="487" spans="10:18" x14ac:dyDescent="0.3">
      <c r="J487" s="19"/>
      <c r="Q487">
        <v>484</v>
      </c>
      <c r="R487">
        <f t="shared" ca="1" si="11"/>
        <v>-2.8447198058071805</v>
      </c>
    </row>
    <row r="488" spans="10:18" x14ac:dyDescent="0.3">
      <c r="J488" s="19"/>
      <c r="Q488">
        <v>485</v>
      </c>
      <c r="R488">
        <f t="shared" ca="1" si="11"/>
        <v>-19.593379240765724</v>
      </c>
    </row>
    <row r="489" spans="10:18" x14ac:dyDescent="0.3">
      <c r="J489" s="19"/>
      <c r="Q489">
        <v>486</v>
      </c>
      <c r="R489">
        <f t="shared" ca="1" si="11"/>
        <v>55.390042606279437</v>
      </c>
    </row>
    <row r="490" spans="10:18" x14ac:dyDescent="0.3">
      <c r="J490" s="19"/>
      <c r="Q490">
        <v>487</v>
      </c>
      <c r="R490">
        <f t="shared" ca="1" si="11"/>
        <v>-10.884932065039525</v>
      </c>
    </row>
    <row r="491" spans="10:18" x14ac:dyDescent="0.3">
      <c r="J491" s="19"/>
      <c r="Q491">
        <v>488</v>
      </c>
      <c r="R491">
        <f t="shared" ca="1" si="11"/>
        <v>11.749198397148319</v>
      </c>
    </row>
    <row r="492" spans="10:18" x14ac:dyDescent="0.3">
      <c r="J492" s="19"/>
      <c r="Q492">
        <v>489</v>
      </c>
      <c r="R492">
        <f t="shared" ca="1" si="11"/>
        <v>7.0508727167718099</v>
      </c>
    </row>
    <row r="493" spans="10:18" x14ac:dyDescent="0.3">
      <c r="J493" s="19"/>
      <c r="Q493">
        <v>490</v>
      </c>
      <c r="R493">
        <f t="shared" ca="1" si="11"/>
        <v>-23.482326160809858</v>
      </c>
    </row>
    <row r="494" spans="10:18" x14ac:dyDescent="0.3">
      <c r="J494" s="19"/>
      <c r="Q494">
        <v>491</v>
      </c>
      <c r="R494">
        <f t="shared" ca="1" si="11"/>
        <v>-13.056827780642031</v>
      </c>
    </row>
    <row r="495" spans="10:18" x14ac:dyDescent="0.3">
      <c r="J495" s="19"/>
      <c r="Q495">
        <v>492</v>
      </c>
      <c r="R495">
        <f t="shared" ca="1" si="11"/>
        <v>-19.06780478432222</v>
      </c>
    </row>
    <row r="496" spans="10:18" x14ac:dyDescent="0.3">
      <c r="J496" s="19"/>
      <c r="Q496">
        <v>493</v>
      </c>
      <c r="R496">
        <f t="shared" ca="1" si="11"/>
        <v>9.1981798479326358</v>
      </c>
    </row>
    <row r="497" spans="10:18" x14ac:dyDescent="0.3">
      <c r="J497" s="19"/>
      <c r="Q497">
        <v>494</v>
      </c>
      <c r="R497">
        <f t="shared" ca="1" si="11"/>
        <v>16.656423366839828</v>
      </c>
    </row>
    <row r="498" spans="10:18" x14ac:dyDescent="0.3">
      <c r="J498" s="19"/>
      <c r="Q498">
        <v>495</v>
      </c>
      <c r="R498">
        <f t="shared" ca="1" si="11"/>
        <v>-4.9188316848625186</v>
      </c>
    </row>
    <row r="499" spans="10:18" x14ac:dyDescent="0.3">
      <c r="J499" s="19"/>
      <c r="Q499">
        <v>496</v>
      </c>
      <c r="R499">
        <f t="shared" ca="1" si="11"/>
        <v>-5.81883341601689</v>
      </c>
    </row>
    <row r="500" spans="10:18" x14ac:dyDescent="0.3">
      <c r="J500" s="19"/>
      <c r="Q500">
        <v>497</v>
      </c>
      <c r="R500">
        <f t="shared" ca="1" si="11"/>
        <v>-14.477246877632016</v>
      </c>
    </row>
    <row r="501" spans="10:18" x14ac:dyDescent="0.3">
      <c r="J501" s="19"/>
      <c r="Q501">
        <v>498</v>
      </c>
      <c r="R501">
        <f t="shared" ca="1" si="11"/>
        <v>2.0609247038884435</v>
      </c>
    </row>
    <row r="502" spans="10:18" x14ac:dyDescent="0.3">
      <c r="J502" s="19"/>
      <c r="Q502">
        <v>499</v>
      </c>
      <c r="R502">
        <f t="shared" ca="1" si="11"/>
        <v>20.407631233094836</v>
      </c>
    </row>
    <row r="503" spans="10:18" x14ac:dyDescent="0.3">
      <c r="J503" s="19"/>
      <c r="Q503">
        <v>500</v>
      </c>
      <c r="R503">
        <f t="shared" ca="1" si="11"/>
        <v>28.058129693426544</v>
      </c>
    </row>
    <row r="504" spans="10:18" x14ac:dyDescent="0.3">
      <c r="J504" s="19"/>
      <c r="Q504">
        <v>501</v>
      </c>
      <c r="R504">
        <f t="shared" ca="1" si="11"/>
        <v>-12.010103053636975</v>
      </c>
    </row>
    <row r="505" spans="10:18" x14ac:dyDescent="0.3">
      <c r="J505" s="19"/>
      <c r="Q505">
        <v>502</v>
      </c>
      <c r="R505">
        <f t="shared" ca="1" si="11"/>
        <v>-27.659341381408208</v>
      </c>
    </row>
    <row r="506" spans="10:18" x14ac:dyDescent="0.3">
      <c r="Q506">
        <v>503</v>
      </c>
      <c r="R506">
        <f t="shared" ca="1" si="11"/>
        <v>-15.032503664540963</v>
      </c>
    </row>
    <row r="507" spans="10:18" x14ac:dyDescent="0.3">
      <c r="Q507">
        <v>504</v>
      </c>
      <c r="R507">
        <f t="shared" ca="1" si="11"/>
        <v>-16.687265651825481</v>
      </c>
    </row>
    <row r="508" spans="10:18" x14ac:dyDescent="0.3">
      <c r="Q508">
        <v>505</v>
      </c>
      <c r="R508">
        <f t="shared" ca="1" si="11"/>
        <v>2.4307514167125737</v>
      </c>
    </row>
    <row r="509" spans="10:18" x14ac:dyDescent="0.3">
      <c r="Q509">
        <v>506</v>
      </c>
      <c r="R509">
        <f t="shared" ca="1" si="11"/>
        <v>17.357587634120232</v>
      </c>
    </row>
    <row r="510" spans="10:18" x14ac:dyDescent="0.3">
      <c r="Q510">
        <v>507</v>
      </c>
      <c r="R510">
        <f t="shared" ca="1" si="11"/>
        <v>-1.4115536303602352</v>
      </c>
    </row>
    <row r="511" spans="10:18" x14ac:dyDescent="0.3">
      <c r="Q511">
        <v>508</v>
      </c>
      <c r="R511">
        <f t="shared" ca="1" si="11"/>
        <v>14.276214597632904</v>
      </c>
    </row>
    <row r="512" spans="10:18" x14ac:dyDescent="0.3">
      <c r="Q512">
        <v>509</v>
      </c>
      <c r="R512">
        <f t="shared" ca="1" si="11"/>
        <v>-1.5764293548984869</v>
      </c>
    </row>
    <row r="513" spans="17:18" x14ac:dyDescent="0.3">
      <c r="Q513">
        <v>510</v>
      </c>
      <c r="R513">
        <f t="shared" ca="1" si="11"/>
        <v>-35.589572784229716</v>
      </c>
    </row>
    <row r="514" spans="17:18" x14ac:dyDescent="0.3">
      <c r="Q514">
        <v>511</v>
      </c>
      <c r="R514">
        <f t="shared" ca="1" si="11"/>
        <v>-3.2625089738710047</v>
      </c>
    </row>
    <row r="515" spans="17:18" x14ac:dyDescent="0.3">
      <c r="Q515">
        <v>512</v>
      </c>
      <c r="R515">
        <f t="shared" ca="1" si="11"/>
        <v>-23.807253785145953</v>
      </c>
    </row>
    <row r="516" spans="17:18" x14ac:dyDescent="0.3">
      <c r="Q516">
        <v>513</v>
      </c>
      <c r="R516">
        <f t="shared" ref="R516:R579" ca="1" si="12">_xlfn.NORM.INV(RAND(),$B$16,$B$17)</f>
        <v>-22.662199260644321</v>
      </c>
    </row>
    <row r="517" spans="17:18" x14ac:dyDescent="0.3">
      <c r="Q517">
        <v>514</v>
      </c>
      <c r="R517">
        <f t="shared" ca="1" si="12"/>
        <v>-9.8273638029882058</v>
      </c>
    </row>
    <row r="518" spans="17:18" x14ac:dyDescent="0.3">
      <c r="Q518">
        <v>515</v>
      </c>
      <c r="R518">
        <f t="shared" ca="1" si="12"/>
        <v>2.6622483564159864</v>
      </c>
    </row>
    <row r="519" spans="17:18" x14ac:dyDescent="0.3">
      <c r="Q519">
        <v>516</v>
      </c>
      <c r="R519">
        <f t="shared" ca="1" si="12"/>
        <v>-0.14912468419590363</v>
      </c>
    </row>
    <row r="520" spans="17:18" x14ac:dyDescent="0.3">
      <c r="Q520">
        <v>517</v>
      </c>
      <c r="R520">
        <f t="shared" ca="1" si="12"/>
        <v>-4.5736909403879267</v>
      </c>
    </row>
    <row r="521" spans="17:18" x14ac:dyDescent="0.3">
      <c r="Q521">
        <v>518</v>
      </c>
      <c r="R521">
        <f t="shared" ca="1" si="12"/>
        <v>-20.926402358994665</v>
      </c>
    </row>
    <row r="522" spans="17:18" x14ac:dyDescent="0.3">
      <c r="Q522">
        <v>519</v>
      </c>
      <c r="R522">
        <f t="shared" ca="1" si="12"/>
        <v>-17.259635311499117</v>
      </c>
    </row>
    <row r="523" spans="17:18" x14ac:dyDescent="0.3">
      <c r="Q523">
        <v>520</v>
      </c>
      <c r="R523">
        <f t="shared" ca="1" si="12"/>
        <v>-12.042317605978074</v>
      </c>
    </row>
    <row r="524" spans="17:18" x14ac:dyDescent="0.3">
      <c r="Q524">
        <v>521</v>
      </c>
      <c r="R524">
        <f t="shared" ca="1" si="12"/>
        <v>-7.1364389350432536</v>
      </c>
    </row>
    <row r="525" spans="17:18" x14ac:dyDescent="0.3">
      <c r="Q525">
        <v>522</v>
      </c>
      <c r="R525">
        <f t="shared" ca="1" si="12"/>
        <v>-14.704879190084347</v>
      </c>
    </row>
    <row r="526" spans="17:18" x14ac:dyDescent="0.3">
      <c r="Q526">
        <v>523</v>
      </c>
      <c r="R526">
        <f t="shared" ca="1" si="12"/>
        <v>4.0816741997204939</v>
      </c>
    </row>
    <row r="527" spans="17:18" x14ac:dyDescent="0.3">
      <c r="Q527">
        <v>524</v>
      </c>
      <c r="R527">
        <f t="shared" ca="1" si="12"/>
        <v>-12.612959623480183</v>
      </c>
    </row>
    <row r="528" spans="17:18" x14ac:dyDescent="0.3">
      <c r="Q528">
        <v>525</v>
      </c>
      <c r="R528">
        <f t="shared" ca="1" si="12"/>
        <v>4.0827897984245602</v>
      </c>
    </row>
    <row r="529" spans="17:18" x14ac:dyDescent="0.3">
      <c r="Q529">
        <v>526</v>
      </c>
      <c r="R529">
        <f t="shared" ca="1" si="12"/>
        <v>-4.8780195041965122</v>
      </c>
    </row>
    <row r="530" spans="17:18" x14ac:dyDescent="0.3">
      <c r="Q530">
        <v>527</v>
      </c>
      <c r="R530">
        <f t="shared" ca="1" si="12"/>
        <v>-25.793281710727406</v>
      </c>
    </row>
    <row r="531" spans="17:18" x14ac:dyDescent="0.3">
      <c r="Q531">
        <v>528</v>
      </c>
      <c r="R531">
        <f t="shared" ca="1" si="12"/>
        <v>5.5705231799740078</v>
      </c>
    </row>
    <row r="532" spans="17:18" x14ac:dyDescent="0.3">
      <c r="Q532">
        <v>529</v>
      </c>
      <c r="R532">
        <f t="shared" ca="1" si="12"/>
        <v>-27.375264099369087</v>
      </c>
    </row>
    <row r="533" spans="17:18" x14ac:dyDescent="0.3">
      <c r="Q533">
        <v>530</v>
      </c>
      <c r="R533">
        <f t="shared" ca="1" si="12"/>
        <v>15.971381593960823</v>
      </c>
    </row>
    <row r="534" spans="17:18" x14ac:dyDescent="0.3">
      <c r="Q534">
        <v>531</v>
      </c>
      <c r="R534">
        <f t="shared" ca="1" si="12"/>
        <v>12.038013614406703</v>
      </c>
    </row>
    <row r="535" spans="17:18" x14ac:dyDescent="0.3">
      <c r="Q535">
        <v>532</v>
      </c>
      <c r="R535">
        <f t="shared" ca="1" si="12"/>
        <v>-11.495619619805129</v>
      </c>
    </row>
    <row r="536" spans="17:18" x14ac:dyDescent="0.3">
      <c r="Q536">
        <v>533</v>
      </c>
      <c r="R536">
        <f t="shared" ca="1" si="12"/>
        <v>-5.0197451126666843</v>
      </c>
    </row>
    <row r="537" spans="17:18" x14ac:dyDescent="0.3">
      <c r="Q537">
        <v>534</v>
      </c>
      <c r="R537">
        <f t="shared" ca="1" si="12"/>
        <v>-7.0091937618488727</v>
      </c>
    </row>
    <row r="538" spans="17:18" x14ac:dyDescent="0.3">
      <c r="Q538">
        <v>535</v>
      </c>
      <c r="R538">
        <f t="shared" ca="1" si="12"/>
        <v>15.009576923463202</v>
      </c>
    </row>
    <row r="539" spans="17:18" x14ac:dyDescent="0.3">
      <c r="Q539">
        <v>536</v>
      </c>
      <c r="R539">
        <f t="shared" ca="1" si="12"/>
        <v>-13.099097256696295</v>
      </c>
    </row>
    <row r="540" spans="17:18" x14ac:dyDescent="0.3">
      <c r="Q540">
        <v>537</v>
      </c>
      <c r="R540">
        <f t="shared" ca="1" si="12"/>
        <v>-32.848706185554164</v>
      </c>
    </row>
    <row r="541" spans="17:18" x14ac:dyDescent="0.3">
      <c r="Q541">
        <v>538</v>
      </c>
      <c r="R541">
        <f t="shared" ca="1" si="12"/>
        <v>9.8066418702028741</v>
      </c>
    </row>
    <row r="542" spans="17:18" x14ac:dyDescent="0.3">
      <c r="Q542">
        <v>539</v>
      </c>
      <c r="R542">
        <f t="shared" ca="1" si="12"/>
        <v>8.2289063571827956</v>
      </c>
    </row>
    <row r="543" spans="17:18" x14ac:dyDescent="0.3">
      <c r="Q543">
        <v>540</v>
      </c>
      <c r="R543">
        <f t="shared" ca="1" si="12"/>
        <v>14.885144079416682</v>
      </c>
    </row>
    <row r="544" spans="17:18" x14ac:dyDescent="0.3">
      <c r="Q544">
        <v>541</v>
      </c>
      <c r="R544">
        <f t="shared" ca="1" si="12"/>
        <v>-6.4653459103029096</v>
      </c>
    </row>
    <row r="545" spans="17:18" x14ac:dyDescent="0.3">
      <c r="Q545">
        <v>542</v>
      </c>
      <c r="R545">
        <f t="shared" ca="1" si="12"/>
        <v>10.410269263632584</v>
      </c>
    </row>
    <row r="546" spans="17:18" x14ac:dyDescent="0.3">
      <c r="Q546">
        <v>543</v>
      </c>
      <c r="R546">
        <f t="shared" ca="1" si="12"/>
        <v>-8.5208339009063714</v>
      </c>
    </row>
    <row r="547" spans="17:18" x14ac:dyDescent="0.3">
      <c r="Q547">
        <v>544</v>
      </c>
      <c r="R547">
        <f t="shared" ca="1" si="12"/>
        <v>20.728940181059457</v>
      </c>
    </row>
    <row r="548" spans="17:18" x14ac:dyDescent="0.3">
      <c r="Q548">
        <v>545</v>
      </c>
      <c r="R548">
        <f t="shared" ca="1" si="12"/>
        <v>15.193668734550764</v>
      </c>
    </row>
    <row r="549" spans="17:18" x14ac:dyDescent="0.3">
      <c r="Q549">
        <v>546</v>
      </c>
      <c r="R549">
        <f t="shared" ca="1" si="12"/>
        <v>-15.373769842422256</v>
      </c>
    </row>
    <row r="550" spans="17:18" x14ac:dyDescent="0.3">
      <c r="Q550">
        <v>547</v>
      </c>
      <c r="R550">
        <f t="shared" ca="1" si="12"/>
        <v>1.3912959013249406</v>
      </c>
    </row>
    <row r="551" spans="17:18" x14ac:dyDescent="0.3">
      <c r="Q551">
        <v>548</v>
      </c>
      <c r="R551">
        <f t="shared" ca="1" si="12"/>
        <v>-20.150707077249603</v>
      </c>
    </row>
    <row r="552" spans="17:18" x14ac:dyDescent="0.3">
      <c r="Q552">
        <v>549</v>
      </c>
      <c r="R552">
        <f t="shared" ca="1" si="12"/>
        <v>1.7932158760583488</v>
      </c>
    </row>
    <row r="553" spans="17:18" x14ac:dyDescent="0.3">
      <c r="Q553">
        <v>550</v>
      </c>
      <c r="R553">
        <f t="shared" ca="1" si="12"/>
        <v>15.482067808921494</v>
      </c>
    </row>
    <row r="554" spans="17:18" x14ac:dyDescent="0.3">
      <c r="Q554">
        <v>551</v>
      </c>
      <c r="R554">
        <f t="shared" ca="1" si="12"/>
        <v>-6.6780529655051231</v>
      </c>
    </row>
    <row r="555" spans="17:18" x14ac:dyDescent="0.3">
      <c r="Q555">
        <v>552</v>
      </c>
      <c r="R555">
        <f t="shared" ca="1" si="12"/>
        <v>22.876968848022447</v>
      </c>
    </row>
    <row r="556" spans="17:18" x14ac:dyDescent="0.3">
      <c r="Q556">
        <v>553</v>
      </c>
      <c r="R556">
        <f t="shared" ca="1" si="12"/>
        <v>-25.99202643537571</v>
      </c>
    </row>
    <row r="557" spans="17:18" x14ac:dyDescent="0.3">
      <c r="Q557">
        <v>554</v>
      </c>
      <c r="R557">
        <f t="shared" ca="1" si="12"/>
        <v>41.56787142124567</v>
      </c>
    </row>
    <row r="558" spans="17:18" x14ac:dyDescent="0.3">
      <c r="Q558">
        <v>555</v>
      </c>
      <c r="R558">
        <f t="shared" ca="1" si="12"/>
        <v>13.40628492386549</v>
      </c>
    </row>
    <row r="559" spans="17:18" x14ac:dyDescent="0.3">
      <c r="Q559">
        <v>556</v>
      </c>
      <c r="R559">
        <f t="shared" ca="1" si="12"/>
        <v>16.44409893946311</v>
      </c>
    </row>
    <row r="560" spans="17:18" x14ac:dyDescent="0.3">
      <c r="Q560">
        <v>557</v>
      </c>
      <c r="R560">
        <f t="shared" ca="1" si="12"/>
        <v>-25.369447092244911</v>
      </c>
    </row>
    <row r="561" spans="17:18" x14ac:dyDescent="0.3">
      <c r="Q561">
        <v>558</v>
      </c>
      <c r="R561">
        <f t="shared" ca="1" si="12"/>
        <v>19.136006716794686</v>
      </c>
    </row>
    <row r="562" spans="17:18" x14ac:dyDescent="0.3">
      <c r="Q562">
        <v>559</v>
      </c>
      <c r="R562">
        <f t="shared" ca="1" si="12"/>
        <v>0.90029114216183692</v>
      </c>
    </row>
    <row r="563" spans="17:18" x14ac:dyDescent="0.3">
      <c r="Q563">
        <v>560</v>
      </c>
      <c r="R563">
        <f t="shared" ca="1" si="12"/>
        <v>10.809007283641321</v>
      </c>
    </row>
    <row r="564" spans="17:18" x14ac:dyDescent="0.3">
      <c r="Q564">
        <v>561</v>
      </c>
      <c r="R564">
        <f t="shared" ca="1" si="12"/>
        <v>27.783697556988045</v>
      </c>
    </row>
    <row r="565" spans="17:18" x14ac:dyDescent="0.3">
      <c r="Q565">
        <v>562</v>
      </c>
      <c r="R565">
        <f t="shared" ca="1" si="12"/>
        <v>4.0891173398812102</v>
      </c>
    </row>
    <row r="566" spans="17:18" x14ac:dyDescent="0.3">
      <c r="Q566">
        <v>563</v>
      </c>
      <c r="R566">
        <f t="shared" ca="1" si="12"/>
        <v>6.992626022385986</v>
      </c>
    </row>
    <row r="567" spans="17:18" x14ac:dyDescent="0.3">
      <c r="Q567">
        <v>564</v>
      </c>
      <c r="R567">
        <f t="shared" ca="1" si="12"/>
        <v>20.136475115857763</v>
      </c>
    </row>
    <row r="568" spans="17:18" x14ac:dyDescent="0.3">
      <c r="Q568">
        <v>565</v>
      </c>
      <c r="R568">
        <f t="shared" ca="1" si="12"/>
        <v>-29.074550687930341</v>
      </c>
    </row>
    <row r="569" spans="17:18" x14ac:dyDescent="0.3">
      <c r="Q569">
        <v>566</v>
      </c>
      <c r="R569">
        <f t="shared" ca="1" si="12"/>
        <v>-7.7550949067209425</v>
      </c>
    </row>
    <row r="570" spans="17:18" x14ac:dyDescent="0.3">
      <c r="Q570">
        <v>567</v>
      </c>
      <c r="R570">
        <f t="shared" ca="1" si="12"/>
        <v>3.0307766354448225</v>
      </c>
    </row>
    <row r="571" spans="17:18" x14ac:dyDescent="0.3">
      <c r="Q571">
        <v>568</v>
      </c>
      <c r="R571">
        <f t="shared" ca="1" si="12"/>
        <v>14.68614642683406</v>
      </c>
    </row>
    <row r="572" spans="17:18" x14ac:dyDescent="0.3">
      <c r="Q572">
        <v>569</v>
      </c>
      <c r="R572">
        <f t="shared" ca="1" si="12"/>
        <v>-47.239849467083175</v>
      </c>
    </row>
    <row r="573" spans="17:18" x14ac:dyDescent="0.3">
      <c r="Q573">
        <v>570</v>
      </c>
      <c r="R573">
        <f t="shared" ca="1" si="12"/>
        <v>2.3773832292075774</v>
      </c>
    </row>
    <row r="574" spans="17:18" x14ac:dyDescent="0.3">
      <c r="Q574">
        <v>571</v>
      </c>
      <c r="R574">
        <f t="shared" ca="1" si="12"/>
        <v>26.367976067634132</v>
      </c>
    </row>
    <row r="575" spans="17:18" x14ac:dyDescent="0.3">
      <c r="Q575">
        <v>572</v>
      </c>
      <c r="R575">
        <f t="shared" ca="1" si="12"/>
        <v>15.697144678844476</v>
      </c>
    </row>
    <row r="576" spans="17:18" x14ac:dyDescent="0.3">
      <c r="Q576">
        <v>573</v>
      </c>
      <c r="R576">
        <f t="shared" ca="1" si="12"/>
        <v>-15.910086548548916</v>
      </c>
    </row>
    <row r="577" spans="17:18" x14ac:dyDescent="0.3">
      <c r="Q577">
        <v>574</v>
      </c>
      <c r="R577">
        <f t="shared" ca="1" si="12"/>
        <v>-11.095495698592162</v>
      </c>
    </row>
    <row r="578" spans="17:18" x14ac:dyDescent="0.3">
      <c r="Q578">
        <v>575</v>
      </c>
      <c r="R578">
        <f t="shared" ca="1" si="12"/>
        <v>0.28957442308484604</v>
      </c>
    </row>
    <row r="579" spans="17:18" x14ac:dyDescent="0.3">
      <c r="Q579">
        <v>576</v>
      </c>
      <c r="R579">
        <f t="shared" ca="1" si="12"/>
        <v>-7.525760132231512</v>
      </c>
    </row>
    <row r="580" spans="17:18" x14ac:dyDescent="0.3">
      <c r="Q580">
        <v>577</v>
      </c>
      <c r="R580">
        <f t="shared" ref="R580:R643" ca="1" si="13">_xlfn.NORM.INV(RAND(),$B$16,$B$17)</f>
        <v>-31.205837207745923</v>
      </c>
    </row>
    <row r="581" spans="17:18" x14ac:dyDescent="0.3">
      <c r="Q581">
        <v>578</v>
      </c>
      <c r="R581">
        <f t="shared" ca="1" si="13"/>
        <v>12.512352846132972</v>
      </c>
    </row>
    <row r="582" spans="17:18" x14ac:dyDescent="0.3">
      <c r="Q582">
        <v>579</v>
      </c>
      <c r="R582">
        <f t="shared" ca="1" si="13"/>
        <v>22.621014766544839</v>
      </c>
    </row>
    <row r="583" spans="17:18" x14ac:dyDescent="0.3">
      <c r="Q583">
        <v>580</v>
      </c>
      <c r="R583">
        <f t="shared" ca="1" si="13"/>
        <v>-10.090654761212292</v>
      </c>
    </row>
    <row r="584" spans="17:18" x14ac:dyDescent="0.3">
      <c r="Q584">
        <v>581</v>
      </c>
      <c r="R584">
        <f t="shared" ca="1" si="13"/>
        <v>16.326633689078857</v>
      </c>
    </row>
    <row r="585" spans="17:18" x14ac:dyDescent="0.3">
      <c r="Q585">
        <v>582</v>
      </c>
      <c r="R585">
        <f t="shared" ca="1" si="13"/>
        <v>-6.9905138920505658</v>
      </c>
    </row>
    <row r="586" spans="17:18" x14ac:dyDescent="0.3">
      <c r="Q586">
        <v>583</v>
      </c>
      <c r="R586">
        <f t="shared" ca="1" si="13"/>
        <v>15.02232361699088</v>
      </c>
    </row>
    <row r="587" spans="17:18" x14ac:dyDescent="0.3">
      <c r="Q587">
        <v>584</v>
      </c>
      <c r="R587">
        <f t="shared" ca="1" si="13"/>
        <v>-18.051279194595502</v>
      </c>
    </row>
    <row r="588" spans="17:18" x14ac:dyDescent="0.3">
      <c r="Q588">
        <v>585</v>
      </c>
      <c r="R588">
        <f t="shared" ca="1" si="13"/>
        <v>-9.5514318039041033</v>
      </c>
    </row>
    <row r="589" spans="17:18" x14ac:dyDescent="0.3">
      <c r="Q589">
        <v>586</v>
      </c>
      <c r="R589">
        <f t="shared" ca="1" si="13"/>
        <v>-1.5619977886961143</v>
      </c>
    </row>
    <row r="590" spans="17:18" x14ac:dyDescent="0.3">
      <c r="Q590">
        <v>587</v>
      </c>
      <c r="R590">
        <f t="shared" ca="1" si="13"/>
        <v>32.118650126629944</v>
      </c>
    </row>
    <row r="591" spans="17:18" x14ac:dyDescent="0.3">
      <c r="Q591">
        <v>588</v>
      </c>
      <c r="R591">
        <f t="shared" ca="1" si="13"/>
        <v>-28.37488538969675</v>
      </c>
    </row>
    <row r="592" spans="17:18" x14ac:dyDescent="0.3">
      <c r="Q592">
        <v>589</v>
      </c>
      <c r="R592">
        <f t="shared" ca="1" si="13"/>
        <v>7.1805876826151636</v>
      </c>
    </row>
    <row r="593" spans="17:18" x14ac:dyDescent="0.3">
      <c r="Q593">
        <v>590</v>
      </c>
      <c r="R593">
        <f t="shared" ca="1" si="13"/>
        <v>1.3961344827694118</v>
      </c>
    </row>
    <row r="594" spans="17:18" x14ac:dyDescent="0.3">
      <c r="Q594">
        <v>591</v>
      </c>
      <c r="R594">
        <f t="shared" ca="1" si="13"/>
        <v>21.712711751621402</v>
      </c>
    </row>
    <row r="595" spans="17:18" x14ac:dyDescent="0.3">
      <c r="Q595">
        <v>592</v>
      </c>
      <c r="R595">
        <f t="shared" ca="1" si="13"/>
        <v>-11.392740168762565</v>
      </c>
    </row>
    <row r="596" spans="17:18" x14ac:dyDescent="0.3">
      <c r="Q596">
        <v>593</v>
      </c>
      <c r="R596">
        <f t="shared" ca="1" si="13"/>
        <v>23.72291924512723</v>
      </c>
    </row>
    <row r="597" spans="17:18" x14ac:dyDescent="0.3">
      <c r="Q597">
        <v>594</v>
      </c>
      <c r="R597">
        <f t="shared" ca="1" si="13"/>
        <v>-11.488616967430225</v>
      </c>
    </row>
    <row r="598" spans="17:18" x14ac:dyDescent="0.3">
      <c r="Q598">
        <v>595</v>
      </c>
      <c r="R598">
        <f t="shared" ca="1" si="13"/>
        <v>-23.807774924473804</v>
      </c>
    </row>
    <row r="599" spans="17:18" x14ac:dyDescent="0.3">
      <c r="Q599">
        <v>596</v>
      </c>
      <c r="R599">
        <f t="shared" ca="1" si="13"/>
        <v>19.097288160666793</v>
      </c>
    </row>
    <row r="600" spans="17:18" x14ac:dyDescent="0.3">
      <c r="Q600">
        <v>597</v>
      </c>
      <c r="R600">
        <f t="shared" ca="1" si="13"/>
        <v>6.2642821834162232</v>
      </c>
    </row>
    <row r="601" spans="17:18" x14ac:dyDescent="0.3">
      <c r="Q601">
        <v>598</v>
      </c>
      <c r="R601">
        <f t="shared" ca="1" si="13"/>
        <v>14.700299076936552</v>
      </c>
    </row>
    <row r="602" spans="17:18" x14ac:dyDescent="0.3">
      <c r="Q602">
        <v>599</v>
      </c>
      <c r="R602">
        <f t="shared" ca="1" si="13"/>
        <v>3.575434494518932</v>
      </c>
    </row>
    <row r="603" spans="17:18" x14ac:dyDescent="0.3">
      <c r="Q603">
        <v>600</v>
      </c>
      <c r="R603">
        <f t="shared" ca="1" si="13"/>
        <v>19.06546243839232</v>
      </c>
    </row>
    <row r="604" spans="17:18" x14ac:dyDescent="0.3">
      <c r="Q604">
        <v>601</v>
      </c>
      <c r="R604">
        <f t="shared" ca="1" si="13"/>
        <v>-28.103462098244322</v>
      </c>
    </row>
    <row r="605" spans="17:18" x14ac:dyDescent="0.3">
      <c r="Q605">
        <v>602</v>
      </c>
      <c r="R605">
        <f t="shared" ca="1" si="13"/>
        <v>0.67184584687935489</v>
      </c>
    </row>
    <row r="606" spans="17:18" x14ac:dyDescent="0.3">
      <c r="Q606">
        <v>603</v>
      </c>
      <c r="R606">
        <f t="shared" ca="1" si="13"/>
        <v>20.898153260589698</v>
      </c>
    </row>
    <row r="607" spans="17:18" x14ac:dyDescent="0.3">
      <c r="Q607">
        <v>604</v>
      </c>
      <c r="R607">
        <f t="shared" ca="1" si="13"/>
        <v>-0.78224402700341422</v>
      </c>
    </row>
    <row r="608" spans="17:18" x14ac:dyDescent="0.3">
      <c r="Q608">
        <v>605</v>
      </c>
      <c r="R608">
        <f t="shared" ca="1" si="13"/>
        <v>-12.363504889338655</v>
      </c>
    </row>
    <row r="609" spans="17:18" x14ac:dyDescent="0.3">
      <c r="Q609">
        <v>606</v>
      </c>
      <c r="R609">
        <f t="shared" ca="1" si="13"/>
        <v>6.5539034767870818</v>
      </c>
    </row>
    <row r="610" spans="17:18" x14ac:dyDescent="0.3">
      <c r="Q610">
        <v>607</v>
      </c>
      <c r="R610">
        <f t="shared" ca="1" si="13"/>
        <v>-21.021933507401055</v>
      </c>
    </row>
    <row r="611" spans="17:18" x14ac:dyDescent="0.3">
      <c r="Q611">
        <v>608</v>
      </c>
      <c r="R611">
        <f t="shared" ca="1" si="13"/>
        <v>23.90878914996706</v>
      </c>
    </row>
    <row r="612" spans="17:18" x14ac:dyDescent="0.3">
      <c r="Q612">
        <v>609</v>
      </c>
      <c r="R612">
        <f t="shared" ca="1" si="13"/>
        <v>-42.860927413252888</v>
      </c>
    </row>
    <row r="613" spans="17:18" x14ac:dyDescent="0.3">
      <c r="Q613">
        <v>610</v>
      </c>
      <c r="R613">
        <f t="shared" ca="1" si="13"/>
        <v>-4.306070536587046</v>
      </c>
    </row>
    <row r="614" spans="17:18" x14ac:dyDescent="0.3">
      <c r="Q614">
        <v>611</v>
      </c>
      <c r="R614">
        <f t="shared" ca="1" si="13"/>
        <v>21.439244114543484</v>
      </c>
    </row>
    <row r="615" spans="17:18" x14ac:dyDescent="0.3">
      <c r="Q615">
        <v>612</v>
      </c>
      <c r="R615">
        <f t="shared" ca="1" si="13"/>
        <v>20.244158960434646</v>
      </c>
    </row>
    <row r="616" spans="17:18" x14ac:dyDescent="0.3">
      <c r="Q616">
        <v>613</v>
      </c>
      <c r="R616">
        <f t="shared" ca="1" si="13"/>
        <v>-10.650813701008119</v>
      </c>
    </row>
    <row r="617" spans="17:18" x14ac:dyDescent="0.3">
      <c r="Q617">
        <v>614</v>
      </c>
      <c r="R617">
        <f t="shared" ca="1" si="13"/>
        <v>4.0487183958472572</v>
      </c>
    </row>
    <row r="618" spans="17:18" x14ac:dyDescent="0.3">
      <c r="Q618">
        <v>615</v>
      </c>
      <c r="R618">
        <f t="shared" ca="1" si="13"/>
        <v>8.1762819515181846</v>
      </c>
    </row>
    <row r="619" spans="17:18" x14ac:dyDescent="0.3">
      <c r="Q619">
        <v>616</v>
      </c>
      <c r="R619">
        <f t="shared" ca="1" si="13"/>
        <v>9.0657642657174087</v>
      </c>
    </row>
    <row r="620" spans="17:18" x14ac:dyDescent="0.3">
      <c r="Q620">
        <v>617</v>
      </c>
      <c r="R620">
        <f t="shared" ca="1" si="13"/>
        <v>10.681624322297335</v>
      </c>
    </row>
    <row r="621" spans="17:18" x14ac:dyDescent="0.3">
      <c r="Q621">
        <v>618</v>
      </c>
      <c r="R621">
        <f t="shared" ca="1" si="13"/>
        <v>-3.7197855380524265</v>
      </c>
    </row>
    <row r="622" spans="17:18" x14ac:dyDescent="0.3">
      <c r="Q622">
        <v>619</v>
      </c>
      <c r="R622">
        <f t="shared" ca="1" si="13"/>
        <v>18.471208297078803</v>
      </c>
    </row>
    <row r="623" spans="17:18" x14ac:dyDescent="0.3">
      <c r="Q623">
        <v>620</v>
      </c>
      <c r="R623">
        <f t="shared" ca="1" si="13"/>
        <v>-2.6918200738288571</v>
      </c>
    </row>
    <row r="624" spans="17:18" x14ac:dyDescent="0.3">
      <c r="Q624">
        <v>621</v>
      </c>
      <c r="R624">
        <f t="shared" ca="1" si="13"/>
        <v>-8.9932515641952158</v>
      </c>
    </row>
    <row r="625" spans="17:18" x14ac:dyDescent="0.3">
      <c r="Q625">
        <v>622</v>
      </c>
      <c r="R625">
        <f t="shared" ca="1" si="13"/>
        <v>2.3482474208024442</v>
      </c>
    </row>
    <row r="626" spans="17:18" x14ac:dyDescent="0.3">
      <c r="Q626">
        <v>623</v>
      </c>
      <c r="R626">
        <f t="shared" ca="1" si="13"/>
        <v>4.5111209529365262</v>
      </c>
    </row>
    <row r="627" spans="17:18" x14ac:dyDescent="0.3">
      <c r="Q627">
        <v>624</v>
      </c>
      <c r="R627">
        <f t="shared" ca="1" si="13"/>
        <v>13.09783631801802</v>
      </c>
    </row>
    <row r="628" spans="17:18" x14ac:dyDescent="0.3">
      <c r="Q628">
        <v>625</v>
      </c>
      <c r="R628">
        <f t="shared" ca="1" si="13"/>
        <v>-3.2082631143674805</v>
      </c>
    </row>
    <row r="629" spans="17:18" x14ac:dyDescent="0.3">
      <c r="Q629">
        <v>626</v>
      </c>
      <c r="R629">
        <f t="shared" ca="1" si="13"/>
        <v>-22.256217182282978</v>
      </c>
    </row>
    <row r="630" spans="17:18" x14ac:dyDescent="0.3">
      <c r="Q630">
        <v>627</v>
      </c>
      <c r="R630">
        <f t="shared" ca="1" si="13"/>
        <v>7.0900812345427386</v>
      </c>
    </row>
    <row r="631" spans="17:18" x14ac:dyDescent="0.3">
      <c r="Q631">
        <v>628</v>
      </c>
      <c r="R631">
        <f t="shared" ca="1" si="13"/>
        <v>-15.267315108999611</v>
      </c>
    </row>
    <row r="632" spans="17:18" x14ac:dyDescent="0.3">
      <c r="Q632">
        <v>629</v>
      </c>
      <c r="R632">
        <f t="shared" ca="1" si="13"/>
        <v>11.539869132447997</v>
      </c>
    </row>
    <row r="633" spans="17:18" x14ac:dyDescent="0.3">
      <c r="Q633">
        <v>630</v>
      </c>
      <c r="R633">
        <f t="shared" ca="1" si="13"/>
        <v>-18.996852371287844</v>
      </c>
    </row>
    <row r="634" spans="17:18" x14ac:dyDescent="0.3">
      <c r="Q634">
        <v>631</v>
      </c>
      <c r="R634">
        <f t="shared" ca="1" si="13"/>
        <v>11.998795456065668</v>
      </c>
    </row>
    <row r="635" spans="17:18" x14ac:dyDescent="0.3">
      <c r="Q635">
        <v>632</v>
      </c>
      <c r="R635">
        <f t="shared" ca="1" si="13"/>
        <v>7.5208449001471287</v>
      </c>
    </row>
    <row r="636" spans="17:18" x14ac:dyDescent="0.3">
      <c r="Q636">
        <v>633</v>
      </c>
      <c r="R636">
        <f t="shared" ca="1" si="13"/>
        <v>21.837413737332295</v>
      </c>
    </row>
    <row r="637" spans="17:18" x14ac:dyDescent="0.3">
      <c r="Q637">
        <v>634</v>
      </c>
      <c r="R637">
        <f t="shared" ca="1" si="13"/>
        <v>23.963002618654983</v>
      </c>
    </row>
    <row r="638" spans="17:18" x14ac:dyDescent="0.3">
      <c r="Q638">
        <v>635</v>
      </c>
      <c r="R638">
        <f t="shared" ca="1" si="13"/>
        <v>21.141006584493038</v>
      </c>
    </row>
    <row r="639" spans="17:18" x14ac:dyDescent="0.3">
      <c r="Q639">
        <v>636</v>
      </c>
      <c r="R639">
        <f t="shared" ca="1" si="13"/>
        <v>-8.1089420953078548</v>
      </c>
    </row>
    <row r="640" spans="17:18" x14ac:dyDescent="0.3">
      <c r="Q640">
        <v>637</v>
      </c>
      <c r="R640">
        <f t="shared" ca="1" si="13"/>
        <v>-8.6756477362561348</v>
      </c>
    </row>
    <row r="641" spans="17:18" x14ac:dyDescent="0.3">
      <c r="Q641">
        <v>638</v>
      </c>
      <c r="R641">
        <f t="shared" ca="1" si="13"/>
        <v>14.182236974212602</v>
      </c>
    </row>
    <row r="642" spans="17:18" x14ac:dyDescent="0.3">
      <c r="Q642">
        <v>639</v>
      </c>
      <c r="R642">
        <f t="shared" ca="1" si="13"/>
        <v>-6.8656551609245389</v>
      </c>
    </row>
    <row r="643" spans="17:18" x14ac:dyDescent="0.3">
      <c r="Q643">
        <v>640</v>
      </c>
      <c r="R643">
        <f t="shared" ca="1" si="13"/>
        <v>31.824113263993841</v>
      </c>
    </row>
    <row r="644" spans="17:18" x14ac:dyDescent="0.3">
      <c r="Q644">
        <v>641</v>
      </c>
      <c r="R644">
        <f t="shared" ref="R644:R707" ca="1" si="14">_xlfn.NORM.INV(RAND(),$B$16,$B$17)</f>
        <v>-2.3891858616089845</v>
      </c>
    </row>
    <row r="645" spans="17:18" x14ac:dyDescent="0.3">
      <c r="Q645">
        <v>642</v>
      </c>
      <c r="R645">
        <f t="shared" ca="1" si="14"/>
        <v>1.2330922938657458</v>
      </c>
    </row>
    <row r="646" spans="17:18" x14ac:dyDescent="0.3">
      <c r="Q646">
        <v>643</v>
      </c>
      <c r="R646">
        <f t="shared" ca="1" si="14"/>
        <v>1.7606696455623185</v>
      </c>
    </row>
    <row r="647" spans="17:18" x14ac:dyDescent="0.3">
      <c r="Q647">
        <v>644</v>
      </c>
      <c r="R647">
        <f t="shared" ca="1" si="14"/>
        <v>-49.935544139512444</v>
      </c>
    </row>
    <row r="648" spans="17:18" x14ac:dyDescent="0.3">
      <c r="Q648">
        <v>645</v>
      </c>
      <c r="R648">
        <f t="shared" ca="1" si="14"/>
        <v>-4.7492087741429803</v>
      </c>
    </row>
    <row r="649" spans="17:18" x14ac:dyDescent="0.3">
      <c r="Q649">
        <v>646</v>
      </c>
      <c r="R649">
        <f t="shared" ca="1" si="14"/>
        <v>12.098856879464011</v>
      </c>
    </row>
    <row r="650" spans="17:18" x14ac:dyDescent="0.3">
      <c r="Q650">
        <v>647</v>
      </c>
      <c r="R650">
        <f t="shared" ca="1" si="14"/>
        <v>14.678483556508224</v>
      </c>
    </row>
    <row r="651" spans="17:18" x14ac:dyDescent="0.3">
      <c r="Q651">
        <v>648</v>
      </c>
      <c r="R651">
        <f t="shared" ca="1" si="14"/>
        <v>5.9803190365314638</v>
      </c>
    </row>
    <row r="652" spans="17:18" x14ac:dyDescent="0.3">
      <c r="Q652">
        <v>649</v>
      </c>
      <c r="R652">
        <f t="shared" ca="1" si="14"/>
        <v>-9.6242037727156582</v>
      </c>
    </row>
    <row r="653" spans="17:18" x14ac:dyDescent="0.3">
      <c r="Q653">
        <v>650</v>
      </c>
      <c r="R653">
        <f t="shared" ca="1" si="14"/>
        <v>-11.925721397074613</v>
      </c>
    </row>
    <row r="654" spans="17:18" x14ac:dyDescent="0.3">
      <c r="Q654">
        <v>651</v>
      </c>
      <c r="R654">
        <f t="shared" ca="1" si="14"/>
        <v>19.976703393776326</v>
      </c>
    </row>
    <row r="655" spans="17:18" x14ac:dyDescent="0.3">
      <c r="Q655">
        <v>652</v>
      </c>
      <c r="R655">
        <f t="shared" ca="1" si="14"/>
        <v>-4.4727372187349461</v>
      </c>
    </row>
    <row r="656" spans="17:18" x14ac:dyDescent="0.3">
      <c r="Q656">
        <v>653</v>
      </c>
      <c r="R656">
        <f t="shared" ca="1" si="14"/>
        <v>20.397697015029028</v>
      </c>
    </row>
    <row r="657" spans="17:18" x14ac:dyDescent="0.3">
      <c r="Q657">
        <v>654</v>
      </c>
      <c r="R657">
        <f t="shared" ca="1" si="14"/>
        <v>-28.61766944299174</v>
      </c>
    </row>
    <row r="658" spans="17:18" x14ac:dyDescent="0.3">
      <c r="Q658">
        <v>655</v>
      </c>
      <c r="R658">
        <f t="shared" ca="1" si="14"/>
        <v>-6.1352661004545261</v>
      </c>
    </row>
    <row r="659" spans="17:18" x14ac:dyDescent="0.3">
      <c r="Q659">
        <v>656</v>
      </c>
      <c r="R659">
        <f t="shared" ca="1" si="14"/>
        <v>-8.9069468186254053</v>
      </c>
    </row>
    <row r="660" spans="17:18" x14ac:dyDescent="0.3">
      <c r="Q660">
        <v>657</v>
      </c>
      <c r="R660">
        <f t="shared" ca="1" si="14"/>
        <v>-5.3282945404227249</v>
      </c>
    </row>
    <row r="661" spans="17:18" x14ac:dyDescent="0.3">
      <c r="Q661">
        <v>658</v>
      </c>
      <c r="R661">
        <f t="shared" ca="1" si="14"/>
        <v>4.2758874434058569</v>
      </c>
    </row>
    <row r="662" spans="17:18" x14ac:dyDescent="0.3">
      <c r="Q662">
        <v>659</v>
      </c>
      <c r="R662">
        <f t="shared" ca="1" si="14"/>
        <v>10.929116649718363</v>
      </c>
    </row>
    <row r="663" spans="17:18" x14ac:dyDescent="0.3">
      <c r="Q663">
        <v>660</v>
      </c>
      <c r="R663">
        <f t="shared" ca="1" si="14"/>
        <v>-14.729567515589901</v>
      </c>
    </row>
    <row r="664" spans="17:18" x14ac:dyDescent="0.3">
      <c r="Q664">
        <v>661</v>
      </c>
      <c r="R664">
        <f t="shared" ca="1" si="14"/>
        <v>15.531748831687397</v>
      </c>
    </row>
    <row r="665" spans="17:18" x14ac:dyDescent="0.3">
      <c r="Q665">
        <v>662</v>
      </c>
      <c r="R665">
        <f t="shared" ca="1" si="14"/>
        <v>-33.22438430492879</v>
      </c>
    </row>
    <row r="666" spans="17:18" x14ac:dyDescent="0.3">
      <c r="Q666">
        <v>663</v>
      </c>
      <c r="R666">
        <f t="shared" ca="1" si="14"/>
        <v>-13.180209510496706</v>
      </c>
    </row>
    <row r="667" spans="17:18" x14ac:dyDescent="0.3">
      <c r="Q667">
        <v>664</v>
      </c>
      <c r="R667">
        <f t="shared" ca="1" si="14"/>
        <v>-28.95578010688488</v>
      </c>
    </row>
    <row r="668" spans="17:18" x14ac:dyDescent="0.3">
      <c r="Q668">
        <v>665</v>
      </c>
      <c r="R668">
        <f t="shared" ca="1" si="14"/>
        <v>4.568610529539014</v>
      </c>
    </row>
    <row r="669" spans="17:18" x14ac:dyDescent="0.3">
      <c r="Q669">
        <v>666</v>
      </c>
      <c r="R669">
        <f t="shared" ca="1" si="14"/>
        <v>-9.6637563438421115</v>
      </c>
    </row>
    <row r="670" spans="17:18" x14ac:dyDescent="0.3">
      <c r="Q670">
        <v>667</v>
      </c>
      <c r="R670">
        <f t="shared" ca="1" si="14"/>
        <v>-21.611634651646046</v>
      </c>
    </row>
    <row r="671" spans="17:18" x14ac:dyDescent="0.3">
      <c r="Q671">
        <v>668</v>
      </c>
      <c r="R671">
        <f t="shared" ca="1" si="14"/>
        <v>30.748334706317461</v>
      </c>
    </row>
    <row r="672" spans="17:18" x14ac:dyDescent="0.3">
      <c r="Q672">
        <v>669</v>
      </c>
      <c r="R672">
        <f t="shared" ca="1" si="14"/>
        <v>-16.041505675235452</v>
      </c>
    </row>
    <row r="673" spans="17:18" x14ac:dyDescent="0.3">
      <c r="Q673">
        <v>670</v>
      </c>
      <c r="R673">
        <f t="shared" ca="1" si="14"/>
        <v>-3.2921789472378116</v>
      </c>
    </row>
    <row r="674" spans="17:18" x14ac:dyDescent="0.3">
      <c r="Q674">
        <v>671</v>
      </c>
      <c r="R674">
        <f t="shared" ca="1" si="14"/>
        <v>-0.1932609390065928</v>
      </c>
    </row>
    <row r="675" spans="17:18" x14ac:dyDescent="0.3">
      <c r="Q675">
        <v>672</v>
      </c>
      <c r="R675">
        <f t="shared" ca="1" si="14"/>
        <v>3.4851775849418773</v>
      </c>
    </row>
    <row r="676" spans="17:18" x14ac:dyDescent="0.3">
      <c r="Q676">
        <v>673</v>
      </c>
      <c r="R676">
        <f t="shared" ca="1" si="14"/>
        <v>1.4975410748118609</v>
      </c>
    </row>
    <row r="677" spans="17:18" x14ac:dyDescent="0.3">
      <c r="Q677">
        <v>674</v>
      </c>
      <c r="R677">
        <f t="shared" ca="1" si="14"/>
        <v>-33.143778167430717</v>
      </c>
    </row>
    <row r="678" spans="17:18" x14ac:dyDescent="0.3">
      <c r="Q678">
        <v>675</v>
      </c>
      <c r="R678">
        <f t="shared" ca="1" si="14"/>
        <v>-14.850207369258873</v>
      </c>
    </row>
    <row r="679" spans="17:18" x14ac:dyDescent="0.3">
      <c r="Q679">
        <v>676</v>
      </c>
      <c r="R679">
        <f t="shared" ca="1" si="14"/>
        <v>21.422989462827179</v>
      </c>
    </row>
    <row r="680" spans="17:18" x14ac:dyDescent="0.3">
      <c r="Q680">
        <v>677</v>
      </c>
      <c r="R680">
        <f t="shared" ca="1" si="14"/>
        <v>-33.429171710712417</v>
      </c>
    </row>
    <row r="681" spans="17:18" x14ac:dyDescent="0.3">
      <c r="Q681">
        <v>678</v>
      </c>
      <c r="R681">
        <f t="shared" ca="1" si="14"/>
        <v>-18.170907027902231</v>
      </c>
    </row>
    <row r="682" spans="17:18" x14ac:dyDescent="0.3">
      <c r="Q682">
        <v>679</v>
      </c>
      <c r="R682">
        <f t="shared" ca="1" si="14"/>
        <v>-22.871291100289213</v>
      </c>
    </row>
    <row r="683" spans="17:18" x14ac:dyDescent="0.3">
      <c r="Q683">
        <v>680</v>
      </c>
      <c r="R683">
        <f t="shared" ca="1" si="14"/>
        <v>0.6068668963478141</v>
      </c>
    </row>
    <row r="684" spans="17:18" x14ac:dyDescent="0.3">
      <c r="Q684">
        <v>681</v>
      </c>
      <c r="R684">
        <f t="shared" ca="1" si="14"/>
        <v>-4.8466210232794413</v>
      </c>
    </row>
    <row r="685" spans="17:18" x14ac:dyDescent="0.3">
      <c r="Q685">
        <v>682</v>
      </c>
      <c r="R685">
        <f t="shared" ca="1" si="14"/>
        <v>2.4378025717110363</v>
      </c>
    </row>
    <row r="686" spans="17:18" x14ac:dyDescent="0.3">
      <c r="Q686">
        <v>683</v>
      </c>
      <c r="R686">
        <f t="shared" ca="1" si="14"/>
        <v>2.5654249996575667</v>
      </c>
    </row>
    <row r="687" spans="17:18" x14ac:dyDescent="0.3">
      <c r="Q687">
        <v>684</v>
      </c>
      <c r="R687">
        <f t="shared" ca="1" si="14"/>
        <v>33.551737857646046</v>
      </c>
    </row>
    <row r="688" spans="17:18" x14ac:dyDescent="0.3">
      <c r="Q688">
        <v>685</v>
      </c>
      <c r="R688">
        <f t="shared" ca="1" si="14"/>
        <v>-0.11057306220103902</v>
      </c>
    </row>
    <row r="689" spans="17:18" x14ac:dyDescent="0.3">
      <c r="Q689">
        <v>686</v>
      </c>
      <c r="R689">
        <f t="shared" ca="1" si="14"/>
        <v>23.268637555256397</v>
      </c>
    </row>
    <row r="690" spans="17:18" x14ac:dyDescent="0.3">
      <c r="Q690">
        <v>687</v>
      </c>
      <c r="R690">
        <f t="shared" ca="1" si="14"/>
        <v>-24.935477586405824</v>
      </c>
    </row>
    <row r="691" spans="17:18" x14ac:dyDescent="0.3">
      <c r="Q691">
        <v>688</v>
      </c>
      <c r="R691">
        <f t="shared" ca="1" si="14"/>
        <v>12.432069442997667</v>
      </c>
    </row>
    <row r="692" spans="17:18" x14ac:dyDescent="0.3">
      <c r="Q692">
        <v>689</v>
      </c>
      <c r="R692">
        <f t="shared" ca="1" si="14"/>
        <v>-30.641659821528478</v>
      </c>
    </row>
    <row r="693" spans="17:18" x14ac:dyDescent="0.3">
      <c r="Q693">
        <v>690</v>
      </c>
      <c r="R693">
        <f t="shared" ca="1" si="14"/>
        <v>0.30918471466298691</v>
      </c>
    </row>
    <row r="694" spans="17:18" x14ac:dyDescent="0.3">
      <c r="Q694">
        <v>691</v>
      </c>
      <c r="R694">
        <f t="shared" ca="1" si="14"/>
        <v>16.789919065632599</v>
      </c>
    </row>
    <row r="695" spans="17:18" x14ac:dyDescent="0.3">
      <c r="Q695">
        <v>692</v>
      </c>
      <c r="R695">
        <f t="shared" ca="1" si="14"/>
        <v>16.945825702883585</v>
      </c>
    </row>
    <row r="696" spans="17:18" x14ac:dyDescent="0.3">
      <c r="Q696">
        <v>693</v>
      </c>
      <c r="R696">
        <f t="shared" ca="1" si="14"/>
        <v>2.799120572327193</v>
      </c>
    </row>
    <row r="697" spans="17:18" x14ac:dyDescent="0.3">
      <c r="Q697">
        <v>694</v>
      </c>
      <c r="R697">
        <f t="shared" ca="1" si="14"/>
        <v>-45.433055055960097</v>
      </c>
    </row>
    <row r="698" spans="17:18" x14ac:dyDescent="0.3">
      <c r="Q698">
        <v>695</v>
      </c>
      <c r="R698">
        <f t="shared" ca="1" si="14"/>
        <v>17.70536942345765</v>
      </c>
    </row>
    <row r="699" spans="17:18" x14ac:dyDescent="0.3">
      <c r="Q699">
        <v>696</v>
      </c>
      <c r="R699">
        <f t="shared" ca="1" si="14"/>
        <v>-20.29849453770025</v>
      </c>
    </row>
    <row r="700" spans="17:18" x14ac:dyDescent="0.3">
      <c r="Q700">
        <v>697</v>
      </c>
      <c r="R700">
        <f t="shared" ca="1" si="14"/>
        <v>-1.5527444869831291</v>
      </c>
    </row>
    <row r="701" spans="17:18" x14ac:dyDescent="0.3">
      <c r="Q701">
        <v>698</v>
      </c>
      <c r="R701">
        <f t="shared" ca="1" si="14"/>
        <v>-4.6873540820481825</v>
      </c>
    </row>
    <row r="702" spans="17:18" x14ac:dyDescent="0.3">
      <c r="Q702">
        <v>699</v>
      </c>
      <c r="R702">
        <f t="shared" ca="1" si="14"/>
        <v>11.47260658372335</v>
      </c>
    </row>
    <row r="703" spans="17:18" x14ac:dyDescent="0.3">
      <c r="Q703">
        <v>700</v>
      </c>
      <c r="R703">
        <f t="shared" ca="1" si="14"/>
        <v>-20.000475093104917</v>
      </c>
    </row>
    <row r="704" spans="17:18" x14ac:dyDescent="0.3">
      <c r="Q704">
        <v>701</v>
      </c>
      <c r="R704">
        <f t="shared" ca="1" si="14"/>
        <v>9.0735187198628662</v>
      </c>
    </row>
    <row r="705" spans="17:18" x14ac:dyDescent="0.3">
      <c r="Q705">
        <v>702</v>
      </c>
      <c r="R705">
        <f t="shared" ca="1" si="14"/>
        <v>11.838749548194233</v>
      </c>
    </row>
    <row r="706" spans="17:18" x14ac:dyDescent="0.3">
      <c r="Q706">
        <v>703</v>
      </c>
      <c r="R706">
        <f t="shared" ca="1" si="14"/>
        <v>-23.352713842882761</v>
      </c>
    </row>
    <row r="707" spans="17:18" x14ac:dyDescent="0.3">
      <c r="Q707">
        <v>704</v>
      </c>
      <c r="R707">
        <f t="shared" ca="1" si="14"/>
        <v>8.6045625413892264</v>
      </c>
    </row>
    <row r="708" spans="17:18" x14ac:dyDescent="0.3">
      <c r="Q708">
        <v>705</v>
      </c>
      <c r="R708">
        <f t="shared" ref="R708:R771" ca="1" si="15">_xlfn.NORM.INV(RAND(),$B$16,$B$17)</f>
        <v>-29.640747954523267</v>
      </c>
    </row>
    <row r="709" spans="17:18" x14ac:dyDescent="0.3">
      <c r="Q709">
        <v>706</v>
      </c>
      <c r="R709">
        <f t="shared" ca="1" si="15"/>
        <v>-37.803767397518065</v>
      </c>
    </row>
    <row r="710" spans="17:18" x14ac:dyDescent="0.3">
      <c r="Q710">
        <v>707</v>
      </c>
      <c r="R710">
        <f t="shared" ca="1" si="15"/>
        <v>0.23667552607032327</v>
      </c>
    </row>
    <row r="711" spans="17:18" x14ac:dyDescent="0.3">
      <c r="Q711">
        <v>708</v>
      </c>
      <c r="R711">
        <f t="shared" ca="1" si="15"/>
        <v>21.816366364419125</v>
      </c>
    </row>
    <row r="712" spans="17:18" x14ac:dyDescent="0.3">
      <c r="Q712">
        <v>709</v>
      </c>
      <c r="R712">
        <f t="shared" ca="1" si="15"/>
        <v>-20.495294603185517</v>
      </c>
    </row>
    <row r="713" spans="17:18" x14ac:dyDescent="0.3">
      <c r="Q713">
        <v>710</v>
      </c>
      <c r="R713">
        <f t="shared" ca="1" si="15"/>
        <v>9.4792704655054738</v>
      </c>
    </row>
    <row r="714" spans="17:18" x14ac:dyDescent="0.3">
      <c r="Q714">
        <v>711</v>
      </c>
      <c r="R714">
        <f t="shared" ca="1" si="15"/>
        <v>22.755564512712724</v>
      </c>
    </row>
    <row r="715" spans="17:18" x14ac:dyDescent="0.3">
      <c r="Q715">
        <v>712</v>
      </c>
      <c r="R715">
        <f t="shared" ca="1" si="15"/>
        <v>-0.99110467541296277</v>
      </c>
    </row>
    <row r="716" spans="17:18" x14ac:dyDescent="0.3">
      <c r="Q716">
        <v>713</v>
      </c>
      <c r="R716">
        <f t="shared" ca="1" si="15"/>
        <v>14.841709493641844</v>
      </c>
    </row>
    <row r="717" spans="17:18" x14ac:dyDescent="0.3">
      <c r="Q717">
        <v>714</v>
      </c>
      <c r="R717">
        <f t="shared" ca="1" si="15"/>
        <v>-10.612741657478063</v>
      </c>
    </row>
    <row r="718" spans="17:18" x14ac:dyDescent="0.3">
      <c r="Q718">
        <v>715</v>
      </c>
      <c r="R718">
        <f t="shared" ca="1" si="15"/>
        <v>27.761560255057034</v>
      </c>
    </row>
    <row r="719" spans="17:18" x14ac:dyDescent="0.3">
      <c r="Q719">
        <v>716</v>
      </c>
      <c r="R719">
        <f t="shared" ca="1" si="15"/>
        <v>10.353439661903957</v>
      </c>
    </row>
    <row r="720" spans="17:18" x14ac:dyDescent="0.3">
      <c r="Q720">
        <v>717</v>
      </c>
      <c r="R720">
        <f t="shared" ca="1" si="15"/>
        <v>9.4860227638246108</v>
      </c>
    </row>
    <row r="721" spans="17:18" x14ac:dyDescent="0.3">
      <c r="Q721">
        <v>718</v>
      </c>
      <c r="R721">
        <f t="shared" ca="1" si="15"/>
        <v>5.6074690606707049</v>
      </c>
    </row>
    <row r="722" spans="17:18" x14ac:dyDescent="0.3">
      <c r="Q722">
        <v>719</v>
      </c>
      <c r="R722">
        <f t="shared" ca="1" si="15"/>
        <v>-11.010265634995548</v>
      </c>
    </row>
    <row r="723" spans="17:18" x14ac:dyDescent="0.3">
      <c r="Q723">
        <v>720</v>
      </c>
      <c r="R723">
        <f t="shared" ca="1" si="15"/>
        <v>16.814367701123867</v>
      </c>
    </row>
    <row r="724" spans="17:18" x14ac:dyDescent="0.3">
      <c r="Q724">
        <v>721</v>
      </c>
      <c r="R724">
        <f t="shared" ca="1" si="15"/>
        <v>-0.89142257838513439</v>
      </c>
    </row>
    <row r="725" spans="17:18" x14ac:dyDescent="0.3">
      <c r="Q725">
        <v>722</v>
      </c>
      <c r="R725">
        <f t="shared" ca="1" si="15"/>
        <v>-10.911618945950387</v>
      </c>
    </row>
    <row r="726" spans="17:18" x14ac:dyDescent="0.3">
      <c r="Q726">
        <v>723</v>
      </c>
      <c r="R726">
        <f t="shared" ca="1" si="15"/>
        <v>-9.0518417733022449</v>
      </c>
    </row>
    <row r="727" spans="17:18" x14ac:dyDescent="0.3">
      <c r="Q727">
        <v>724</v>
      </c>
      <c r="R727">
        <f t="shared" ca="1" si="15"/>
        <v>-31.271914273889628</v>
      </c>
    </row>
    <row r="728" spans="17:18" x14ac:dyDescent="0.3">
      <c r="Q728">
        <v>725</v>
      </c>
      <c r="R728">
        <f t="shared" ca="1" si="15"/>
        <v>-3.5413101109136607</v>
      </c>
    </row>
    <row r="729" spans="17:18" x14ac:dyDescent="0.3">
      <c r="Q729">
        <v>726</v>
      </c>
      <c r="R729">
        <f t="shared" ca="1" si="15"/>
        <v>-13.560475805876097</v>
      </c>
    </row>
    <row r="730" spans="17:18" x14ac:dyDescent="0.3">
      <c r="Q730">
        <v>727</v>
      </c>
      <c r="R730">
        <f t="shared" ca="1" si="15"/>
        <v>-30.048265820143399</v>
      </c>
    </row>
    <row r="731" spans="17:18" x14ac:dyDescent="0.3">
      <c r="Q731">
        <v>728</v>
      </c>
      <c r="R731">
        <f t="shared" ca="1" si="15"/>
        <v>-12.898218429533797</v>
      </c>
    </row>
    <row r="732" spans="17:18" x14ac:dyDescent="0.3">
      <c r="Q732">
        <v>729</v>
      </c>
      <c r="R732">
        <f t="shared" ca="1" si="15"/>
        <v>3.3001284298778328</v>
      </c>
    </row>
    <row r="733" spans="17:18" x14ac:dyDescent="0.3">
      <c r="Q733">
        <v>730</v>
      </c>
      <c r="R733">
        <f t="shared" ca="1" si="15"/>
        <v>-25.613334092953679</v>
      </c>
    </row>
    <row r="734" spans="17:18" x14ac:dyDescent="0.3">
      <c r="Q734">
        <v>731</v>
      </c>
      <c r="R734">
        <f t="shared" ca="1" si="15"/>
        <v>-2.9686641736104549</v>
      </c>
    </row>
    <row r="735" spans="17:18" x14ac:dyDescent="0.3">
      <c r="Q735">
        <v>732</v>
      </c>
      <c r="R735">
        <f t="shared" ca="1" si="15"/>
        <v>-6.9158013518139185</v>
      </c>
    </row>
    <row r="736" spans="17:18" x14ac:dyDescent="0.3">
      <c r="Q736">
        <v>733</v>
      </c>
      <c r="R736">
        <f t="shared" ca="1" si="15"/>
        <v>7.2888822393233994</v>
      </c>
    </row>
    <row r="737" spans="17:18" x14ac:dyDescent="0.3">
      <c r="Q737">
        <v>734</v>
      </c>
      <c r="R737">
        <f t="shared" ca="1" si="15"/>
        <v>-7.6814731009457704</v>
      </c>
    </row>
    <row r="738" spans="17:18" x14ac:dyDescent="0.3">
      <c r="Q738">
        <v>735</v>
      </c>
      <c r="R738">
        <f t="shared" ca="1" si="15"/>
        <v>-5.1982612379913835</v>
      </c>
    </row>
    <row r="739" spans="17:18" x14ac:dyDescent="0.3">
      <c r="Q739">
        <v>736</v>
      </c>
      <c r="R739">
        <f t="shared" ca="1" si="15"/>
        <v>20.453236437025289</v>
      </c>
    </row>
    <row r="740" spans="17:18" x14ac:dyDescent="0.3">
      <c r="Q740">
        <v>737</v>
      </c>
      <c r="R740">
        <f t="shared" ca="1" si="15"/>
        <v>13.405717899169399</v>
      </c>
    </row>
    <row r="741" spans="17:18" x14ac:dyDescent="0.3">
      <c r="Q741">
        <v>738</v>
      </c>
      <c r="R741">
        <f t="shared" ca="1" si="15"/>
        <v>-7.0317142215989961</v>
      </c>
    </row>
    <row r="742" spans="17:18" x14ac:dyDescent="0.3">
      <c r="Q742">
        <v>739</v>
      </c>
      <c r="R742">
        <f t="shared" ca="1" si="15"/>
        <v>34.743012022651094</v>
      </c>
    </row>
    <row r="743" spans="17:18" x14ac:dyDescent="0.3">
      <c r="Q743">
        <v>740</v>
      </c>
      <c r="R743">
        <f t="shared" ca="1" si="15"/>
        <v>-3.0252363502541986</v>
      </c>
    </row>
    <row r="744" spans="17:18" x14ac:dyDescent="0.3">
      <c r="Q744">
        <v>741</v>
      </c>
      <c r="R744">
        <f t="shared" ca="1" si="15"/>
        <v>24.264515071942359</v>
      </c>
    </row>
    <row r="745" spans="17:18" x14ac:dyDescent="0.3">
      <c r="Q745">
        <v>742</v>
      </c>
      <c r="R745">
        <f t="shared" ca="1" si="15"/>
        <v>-14.464216585718569</v>
      </c>
    </row>
    <row r="746" spans="17:18" x14ac:dyDescent="0.3">
      <c r="Q746">
        <v>743</v>
      </c>
      <c r="R746">
        <f t="shared" ca="1" si="15"/>
        <v>-11.545347370730502</v>
      </c>
    </row>
    <row r="747" spans="17:18" x14ac:dyDescent="0.3">
      <c r="Q747">
        <v>744</v>
      </c>
      <c r="R747">
        <f t="shared" ca="1" si="15"/>
        <v>7.655145069804643</v>
      </c>
    </row>
    <row r="748" spans="17:18" x14ac:dyDescent="0.3">
      <c r="Q748">
        <v>745</v>
      </c>
      <c r="R748">
        <f t="shared" ca="1" si="15"/>
        <v>10.175725932184383</v>
      </c>
    </row>
    <row r="749" spans="17:18" x14ac:dyDescent="0.3">
      <c r="Q749">
        <v>746</v>
      </c>
      <c r="R749">
        <f t="shared" ca="1" si="15"/>
        <v>5.3345214744012059</v>
      </c>
    </row>
    <row r="750" spans="17:18" x14ac:dyDescent="0.3">
      <c r="Q750">
        <v>747</v>
      </c>
      <c r="R750">
        <f t="shared" ca="1" si="15"/>
        <v>4.6254672461268749</v>
      </c>
    </row>
    <row r="751" spans="17:18" x14ac:dyDescent="0.3">
      <c r="Q751">
        <v>748</v>
      </c>
      <c r="R751">
        <f t="shared" ca="1" si="15"/>
        <v>-23.008474580574102</v>
      </c>
    </row>
    <row r="752" spans="17:18" x14ac:dyDescent="0.3">
      <c r="Q752">
        <v>749</v>
      </c>
      <c r="R752">
        <f t="shared" ca="1" si="15"/>
        <v>-17.047300992368115</v>
      </c>
    </row>
    <row r="753" spans="17:18" x14ac:dyDescent="0.3">
      <c r="Q753">
        <v>750</v>
      </c>
      <c r="R753">
        <f t="shared" ca="1" si="15"/>
        <v>-10.288519474194386</v>
      </c>
    </row>
    <row r="754" spans="17:18" x14ac:dyDescent="0.3">
      <c r="Q754">
        <v>751</v>
      </c>
      <c r="R754">
        <f t="shared" ca="1" si="15"/>
        <v>-24.897679281739855</v>
      </c>
    </row>
    <row r="755" spans="17:18" x14ac:dyDescent="0.3">
      <c r="Q755">
        <v>752</v>
      </c>
      <c r="R755">
        <f t="shared" ca="1" si="15"/>
        <v>-19.997971827320615</v>
      </c>
    </row>
    <row r="756" spans="17:18" x14ac:dyDescent="0.3">
      <c r="Q756">
        <v>753</v>
      </c>
      <c r="R756">
        <f t="shared" ca="1" si="15"/>
        <v>-10.343683048924177</v>
      </c>
    </row>
    <row r="757" spans="17:18" x14ac:dyDescent="0.3">
      <c r="Q757">
        <v>754</v>
      </c>
      <c r="R757">
        <f t="shared" ca="1" si="15"/>
        <v>1.918357579519516</v>
      </c>
    </row>
    <row r="758" spans="17:18" x14ac:dyDescent="0.3">
      <c r="Q758">
        <v>755</v>
      </c>
      <c r="R758">
        <f t="shared" ca="1" si="15"/>
        <v>20.654834042029808</v>
      </c>
    </row>
    <row r="759" spans="17:18" x14ac:dyDescent="0.3">
      <c r="Q759">
        <v>756</v>
      </c>
      <c r="R759">
        <f t="shared" ca="1" si="15"/>
        <v>0.18189365850353734</v>
      </c>
    </row>
    <row r="760" spans="17:18" x14ac:dyDescent="0.3">
      <c r="Q760">
        <v>757</v>
      </c>
      <c r="R760">
        <f t="shared" ca="1" si="15"/>
        <v>-14.076577018877526</v>
      </c>
    </row>
    <row r="761" spans="17:18" x14ac:dyDescent="0.3">
      <c r="Q761">
        <v>758</v>
      </c>
      <c r="R761">
        <f t="shared" ca="1" si="15"/>
        <v>-11.165188099704368</v>
      </c>
    </row>
    <row r="762" spans="17:18" x14ac:dyDescent="0.3">
      <c r="Q762">
        <v>759</v>
      </c>
      <c r="R762">
        <f t="shared" ca="1" si="15"/>
        <v>-4.706753836541318</v>
      </c>
    </row>
    <row r="763" spans="17:18" x14ac:dyDescent="0.3">
      <c r="Q763">
        <v>760</v>
      </c>
      <c r="R763">
        <f t="shared" ca="1" si="15"/>
        <v>-22.103181536959553</v>
      </c>
    </row>
    <row r="764" spans="17:18" x14ac:dyDescent="0.3">
      <c r="Q764">
        <v>761</v>
      </c>
      <c r="R764">
        <f t="shared" ca="1" si="15"/>
        <v>-23.824619297560933</v>
      </c>
    </row>
    <row r="765" spans="17:18" x14ac:dyDescent="0.3">
      <c r="Q765">
        <v>762</v>
      </c>
      <c r="R765">
        <f t="shared" ca="1" si="15"/>
        <v>1.8434132369120977</v>
      </c>
    </row>
    <row r="766" spans="17:18" x14ac:dyDescent="0.3">
      <c r="Q766">
        <v>763</v>
      </c>
      <c r="R766">
        <f t="shared" ca="1" si="15"/>
        <v>-9.1095571909199791</v>
      </c>
    </row>
    <row r="767" spans="17:18" x14ac:dyDescent="0.3">
      <c r="Q767">
        <v>764</v>
      </c>
      <c r="R767">
        <f t="shared" ca="1" si="15"/>
        <v>24.914957503959315</v>
      </c>
    </row>
    <row r="768" spans="17:18" x14ac:dyDescent="0.3">
      <c r="Q768">
        <v>765</v>
      </c>
      <c r="R768">
        <f t="shared" ca="1" si="15"/>
        <v>-8.1694108617571306</v>
      </c>
    </row>
    <row r="769" spans="17:18" x14ac:dyDescent="0.3">
      <c r="Q769">
        <v>766</v>
      </c>
      <c r="R769">
        <f t="shared" ca="1" si="15"/>
        <v>16.644542089157405</v>
      </c>
    </row>
    <row r="770" spans="17:18" x14ac:dyDescent="0.3">
      <c r="Q770">
        <v>767</v>
      </c>
      <c r="R770">
        <f t="shared" ca="1" si="15"/>
        <v>18.33830847456607</v>
      </c>
    </row>
    <row r="771" spans="17:18" x14ac:dyDescent="0.3">
      <c r="Q771">
        <v>768</v>
      </c>
      <c r="R771">
        <f t="shared" ca="1" si="15"/>
        <v>-0.58413325271261007</v>
      </c>
    </row>
    <row r="772" spans="17:18" x14ac:dyDescent="0.3">
      <c r="Q772">
        <v>769</v>
      </c>
      <c r="R772">
        <f t="shared" ref="R772:R835" ca="1" si="16">_xlfn.NORM.INV(RAND(),$B$16,$B$17)</f>
        <v>-2.3556731255785017</v>
      </c>
    </row>
    <row r="773" spans="17:18" x14ac:dyDescent="0.3">
      <c r="Q773">
        <v>770</v>
      </c>
      <c r="R773">
        <f t="shared" ca="1" si="16"/>
        <v>4.9835823083845163</v>
      </c>
    </row>
    <row r="774" spans="17:18" x14ac:dyDescent="0.3">
      <c r="Q774">
        <v>771</v>
      </c>
      <c r="R774">
        <f t="shared" ca="1" si="16"/>
        <v>2.3139821131756593</v>
      </c>
    </row>
    <row r="775" spans="17:18" x14ac:dyDescent="0.3">
      <c r="Q775">
        <v>772</v>
      </c>
      <c r="R775">
        <f t="shared" ca="1" si="16"/>
        <v>-22.191025443021086</v>
      </c>
    </row>
    <row r="776" spans="17:18" x14ac:dyDescent="0.3">
      <c r="Q776">
        <v>773</v>
      </c>
      <c r="R776">
        <f t="shared" ca="1" si="16"/>
        <v>-11.831691898353331</v>
      </c>
    </row>
    <row r="777" spans="17:18" x14ac:dyDescent="0.3">
      <c r="Q777">
        <v>774</v>
      </c>
      <c r="R777">
        <f t="shared" ca="1" si="16"/>
        <v>-2.93579576498077</v>
      </c>
    </row>
    <row r="778" spans="17:18" x14ac:dyDescent="0.3">
      <c r="Q778">
        <v>775</v>
      </c>
      <c r="R778">
        <f t="shared" ca="1" si="16"/>
        <v>-19.996099520686229</v>
      </c>
    </row>
    <row r="779" spans="17:18" x14ac:dyDescent="0.3">
      <c r="Q779">
        <v>776</v>
      </c>
      <c r="R779">
        <f t="shared" ca="1" si="16"/>
        <v>1.3519101091963839</v>
      </c>
    </row>
    <row r="780" spans="17:18" x14ac:dyDescent="0.3">
      <c r="Q780">
        <v>777</v>
      </c>
      <c r="R780">
        <f t="shared" ca="1" si="16"/>
        <v>30.528130254574933</v>
      </c>
    </row>
    <row r="781" spans="17:18" x14ac:dyDescent="0.3">
      <c r="Q781">
        <v>778</v>
      </c>
      <c r="R781">
        <f t="shared" ca="1" si="16"/>
        <v>-22.887162838831053</v>
      </c>
    </row>
    <row r="782" spans="17:18" x14ac:dyDescent="0.3">
      <c r="Q782">
        <v>779</v>
      </c>
      <c r="R782">
        <f t="shared" ca="1" si="16"/>
        <v>-15.566007294629017</v>
      </c>
    </row>
    <row r="783" spans="17:18" x14ac:dyDescent="0.3">
      <c r="Q783">
        <v>780</v>
      </c>
      <c r="R783">
        <f t="shared" ca="1" si="16"/>
        <v>-7.7183182057916548</v>
      </c>
    </row>
    <row r="784" spans="17:18" x14ac:dyDescent="0.3">
      <c r="Q784">
        <v>781</v>
      </c>
      <c r="R784">
        <f t="shared" ca="1" si="16"/>
        <v>-29.740502793567977</v>
      </c>
    </row>
    <row r="785" spans="17:18" x14ac:dyDescent="0.3">
      <c r="Q785">
        <v>782</v>
      </c>
      <c r="R785">
        <f t="shared" ca="1" si="16"/>
        <v>-0.55825296761038679</v>
      </c>
    </row>
    <row r="786" spans="17:18" x14ac:dyDescent="0.3">
      <c r="Q786">
        <v>783</v>
      </c>
      <c r="R786">
        <f t="shared" ca="1" si="16"/>
        <v>14.885594402431883</v>
      </c>
    </row>
    <row r="787" spans="17:18" x14ac:dyDescent="0.3">
      <c r="Q787">
        <v>784</v>
      </c>
      <c r="R787">
        <f t="shared" ca="1" si="16"/>
        <v>0.45328192646303878</v>
      </c>
    </row>
    <row r="788" spans="17:18" x14ac:dyDescent="0.3">
      <c r="Q788">
        <v>785</v>
      </c>
      <c r="R788">
        <f t="shared" ca="1" si="16"/>
        <v>-3.4138642486129491</v>
      </c>
    </row>
    <row r="789" spans="17:18" x14ac:dyDescent="0.3">
      <c r="Q789">
        <v>786</v>
      </c>
      <c r="R789">
        <f t="shared" ca="1" si="16"/>
        <v>1.0594952063083418</v>
      </c>
    </row>
    <row r="790" spans="17:18" x14ac:dyDescent="0.3">
      <c r="Q790">
        <v>787</v>
      </c>
      <c r="R790">
        <f t="shared" ca="1" si="16"/>
        <v>2.8815667188893874</v>
      </c>
    </row>
    <row r="791" spans="17:18" x14ac:dyDescent="0.3">
      <c r="Q791">
        <v>788</v>
      </c>
      <c r="R791">
        <f t="shared" ca="1" si="16"/>
        <v>9.3176398038998727</v>
      </c>
    </row>
    <row r="792" spans="17:18" x14ac:dyDescent="0.3">
      <c r="Q792">
        <v>789</v>
      </c>
      <c r="R792">
        <f t="shared" ca="1" si="16"/>
        <v>16.998772171063624</v>
      </c>
    </row>
    <row r="793" spans="17:18" x14ac:dyDescent="0.3">
      <c r="Q793">
        <v>790</v>
      </c>
      <c r="R793">
        <f t="shared" ca="1" si="16"/>
        <v>17.23995739915841</v>
      </c>
    </row>
    <row r="794" spans="17:18" x14ac:dyDescent="0.3">
      <c r="Q794">
        <v>791</v>
      </c>
      <c r="R794">
        <f t="shared" ca="1" si="16"/>
        <v>0.14986796598340701</v>
      </c>
    </row>
    <row r="795" spans="17:18" x14ac:dyDescent="0.3">
      <c r="Q795">
        <v>792</v>
      </c>
      <c r="R795">
        <f t="shared" ca="1" si="16"/>
        <v>-18.084421504285228</v>
      </c>
    </row>
    <row r="796" spans="17:18" x14ac:dyDescent="0.3">
      <c r="Q796">
        <v>793</v>
      </c>
      <c r="R796">
        <f t="shared" ca="1" si="16"/>
        <v>-12.036640673768611</v>
      </c>
    </row>
    <row r="797" spans="17:18" x14ac:dyDescent="0.3">
      <c r="Q797">
        <v>794</v>
      </c>
      <c r="R797">
        <f t="shared" ca="1" si="16"/>
        <v>10.641232389133592</v>
      </c>
    </row>
    <row r="798" spans="17:18" x14ac:dyDescent="0.3">
      <c r="Q798">
        <v>795</v>
      </c>
      <c r="R798">
        <f t="shared" ca="1" si="16"/>
        <v>17.295685236222049</v>
      </c>
    </row>
    <row r="799" spans="17:18" x14ac:dyDescent="0.3">
      <c r="Q799">
        <v>796</v>
      </c>
      <c r="R799">
        <f t="shared" ca="1" si="16"/>
        <v>-4.2337439980394693</v>
      </c>
    </row>
    <row r="800" spans="17:18" x14ac:dyDescent="0.3">
      <c r="Q800">
        <v>797</v>
      </c>
      <c r="R800">
        <f t="shared" ca="1" si="16"/>
        <v>15.619415655625636</v>
      </c>
    </row>
    <row r="801" spans="17:18" x14ac:dyDescent="0.3">
      <c r="Q801">
        <v>798</v>
      </c>
      <c r="R801">
        <f t="shared" ca="1" si="16"/>
        <v>5.7170646708551462</v>
      </c>
    </row>
    <row r="802" spans="17:18" x14ac:dyDescent="0.3">
      <c r="Q802">
        <v>799</v>
      </c>
      <c r="R802">
        <f t="shared" ca="1" si="16"/>
        <v>-22.046846144331372</v>
      </c>
    </row>
    <row r="803" spans="17:18" x14ac:dyDescent="0.3">
      <c r="Q803">
        <v>800</v>
      </c>
      <c r="R803">
        <f t="shared" ca="1" si="16"/>
        <v>-8.5495061452747017</v>
      </c>
    </row>
    <row r="804" spans="17:18" x14ac:dyDescent="0.3">
      <c r="Q804">
        <v>801</v>
      </c>
      <c r="R804">
        <f t="shared" ca="1" si="16"/>
        <v>0.67071102368614</v>
      </c>
    </row>
    <row r="805" spans="17:18" x14ac:dyDescent="0.3">
      <c r="Q805">
        <v>802</v>
      </c>
      <c r="R805">
        <f t="shared" ca="1" si="16"/>
        <v>5.4856560322357444</v>
      </c>
    </row>
    <row r="806" spans="17:18" x14ac:dyDescent="0.3">
      <c r="Q806">
        <v>803</v>
      </c>
      <c r="R806">
        <f t="shared" ca="1" si="16"/>
        <v>-12.100374755854551</v>
      </c>
    </row>
    <row r="807" spans="17:18" x14ac:dyDescent="0.3">
      <c r="Q807">
        <v>804</v>
      </c>
      <c r="R807">
        <f t="shared" ca="1" si="16"/>
        <v>-3.4849006727944136</v>
      </c>
    </row>
    <row r="808" spans="17:18" x14ac:dyDescent="0.3">
      <c r="Q808">
        <v>805</v>
      </c>
      <c r="R808">
        <f t="shared" ca="1" si="16"/>
        <v>-1.6413163208820185</v>
      </c>
    </row>
    <row r="809" spans="17:18" x14ac:dyDescent="0.3">
      <c r="Q809">
        <v>806</v>
      </c>
      <c r="R809">
        <f t="shared" ca="1" si="16"/>
        <v>32.561484914288165</v>
      </c>
    </row>
    <row r="810" spans="17:18" x14ac:dyDescent="0.3">
      <c r="Q810">
        <v>807</v>
      </c>
      <c r="R810">
        <f t="shared" ca="1" si="16"/>
        <v>4.1001659166455227</v>
      </c>
    </row>
    <row r="811" spans="17:18" x14ac:dyDescent="0.3">
      <c r="Q811">
        <v>808</v>
      </c>
      <c r="R811">
        <f t="shared" ca="1" si="16"/>
        <v>-11.258394325067965</v>
      </c>
    </row>
    <row r="812" spans="17:18" x14ac:dyDescent="0.3">
      <c r="Q812">
        <v>809</v>
      </c>
      <c r="R812">
        <f t="shared" ca="1" si="16"/>
        <v>13.021106994218345</v>
      </c>
    </row>
    <row r="813" spans="17:18" x14ac:dyDescent="0.3">
      <c r="Q813">
        <v>810</v>
      </c>
      <c r="R813">
        <f t="shared" ca="1" si="16"/>
        <v>-22.826119964287376</v>
      </c>
    </row>
    <row r="814" spans="17:18" x14ac:dyDescent="0.3">
      <c r="Q814">
        <v>811</v>
      </c>
      <c r="R814">
        <f t="shared" ca="1" si="16"/>
        <v>-17.022012502553828</v>
      </c>
    </row>
    <row r="815" spans="17:18" x14ac:dyDescent="0.3">
      <c r="Q815">
        <v>812</v>
      </c>
      <c r="R815">
        <f t="shared" ca="1" si="16"/>
        <v>-20.55430071260778</v>
      </c>
    </row>
    <row r="816" spans="17:18" x14ac:dyDescent="0.3">
      <c r="Q816">
        <v>813</v>
      </c>
      <c r="R816">
        <f t="shared" ca="1" si="16"/>
        <v>20.063071762732935</v>
      </c>
    </row>
    <row r="817" spans="17:18" x14ac:dyDescent="0.3">
      <c r="Q817">
        <v>814</v>
      </c>
      <c r="R817">
        <f t="shared" ca="1" si="16"/>
        <v>18.860765493885602</v>
      </c>
    </row>
    <row r="818" spans="17:18" x14ac:dyDescent="0.3">
      <c r="Q818">
        <v>815</v>
      </c>
      <c r="R818">
        <f t="shared" ca="1" si="16"/>
        <v>-19.445899494104392</v>
      </c>
    </row>
    <row r="819" spans="17:18" x14ac:dyDescent="0.3">
      <c r="Q819">
        <v>816</v>
      </c>
      <c r="R819">
        <f t="shared" ca="1" si="16"/>
        <v>11.367315025000144</v>
      </c>
    </row>
    <row r="820" spans="17:18" x14ac:dyDescent="0.3">
      <c r="Q820">
        <v>817</v>
      </c>
      <c r="R820">
        <f t="shared" ca="1" si="16"/>
        <v>19.2540433774302</v>
      </c>
    </row>
    <row r="821" spans="17:18" x14ac:dyDescent="0.3">
      <c r="Q821">
        <v>818</v>
      </c>
      <c r="R821">
        <f t="shared" ca="1" si="16"/>
        <v>32.898218922260128</v>
      </c>
    </row>
    <row r="822" spans="17:18" x14ac:dyDescent="0.3">
      <c r="Q822">
        <v>819</v>
      </c>
      <c r="R822">
        <f t="shared" ca="1" si="16"/>
        <v>-6.2786306778187635</v>
      </c>
    </row>
    <row r="823" spans="17:18" x14ac:dyDescent="0.3">
      <c r="Q823">
        <v>820</v>
      </c>
      <c r="R823">
        <f t="shared" ca="1" si="16"/>
        <v>14.535125004588783</v>
      </c>
    </row>
    <row r="824" spans="17:18" x14ac:dyDescent="0.3">
      <c r="Q824">
        <v>821</v>
      </c>
      <c r="R824">
        <f t="shared" ca="1" si="16"/>
        <v>16.374332969482701</v>
      </c>
    </row>
    <row r="825" spans="17:18" x14ac:dyDescent="0.3">
      <c r="Q825">
        <v>822</v>
      </c>
      <c r="R825">
        <f t="shared" ca="1" si="16"/>
        <v>29.328459458494667</v>
      </c>
    </row>
    <row r="826" spans="17:18" x14ac:dyDescent="0.3">
      <c r="Q826">
        <v>823</v>
      </c>
      <c r="R826">
        <f t="shared" ca="1" si="16"/>
        <v>14.788952435786065</v>
      </c>
    </row>
    <row r="827" spans="17:18" x14ac:dyDescent="0.3">
      <c r="Q827">
        <v>824</v>
      </c>
      <c r="R827">
        <f t="shared" ca="1" si="16"/>
        <v>-17.480872326334815</v>
      </c>
    </row>
    <row r="828" spans="17:18" x14ac:dyDescent="0.3">
      <c r="Q828">
        <v>825</v>
      </c>
      <c r="R828">
        <f t="shared" ca="1" si="16"/>
        <v>0.17815917878976228</v>
      </c>
    </row>
    <row r="829" spans="17:18" x14ac:dyDescent="0.3">
      <c r="Q829">
        <v>826</v>
      </c>
      <c r="R829">
        <f t="shared" ca="1" si="16"/>
        <v>-37.90322963886392</v>
      </c>
    </row>
    <row r="830" spans="17:18" x14ac:dyDescent="0.3">
      <c r="Q830">
        <v>827</v>
      </c>
      <c r="R830">
        <f t="shared" ca="1" si="16"/>
        <v>-22.739757396745599</v>
      </c>
    </row>
    <row r="831" spans="17:18" x14ac:dyDescent="0.3">
      <c r="Q831">
        <v>828</v>
      </c>
      <c r="R831">
        <f t="shared" ca="1" si="16"/>
        <v>-3.7984150573617335</v>
      </c>
    </row>
    <row r="832" spans="17:18" x14ac:dyDescent="0.3">
      <c r="Q832">
        <v>829</v>
      </c>
      <c r="R832">
        <f t="shared" ca="1" si="16"/>
        <v>-41.768855424660579</v>
      </c>
    </row>
    <row r="833" spans="17:18" x14ac:dyDescent="0.3">
      <c r="Q833">
        <v>830</v>
      </c>
      <c r="R833">
        <f t="shared" ca="1" si="16"/>
        <v>24.052185441444053</v>
      </c>
    </row>
    <row r="834" spans="17:18" x14ac:dyDescent="0.3">
      <c r="Q834">
        <v>831</v>
      </c>
      <c r="R834">
        <f t="shared" ca="1" si="16"/>
        <v>-11.969082841452401</v>
      </c>
    </row>
    <row r="835" spans="17:18" x14ac:dyDescent="0.3">
      <c r="Q835">
        <v>832</v>
      </c>
      <c r="R835">
        <f t="shared" ca="1" si="16"/>
        <v>3.2494942956151647</v>
      </c>
    </row>
    <row r="836" spans="17:18" x14ac:dyDescent="0.3">
      <c r="Q836">
        <v>833</v>
      </c>
      <c r="R836">
        <f t="shared" ref="R836:R899" ca="1" si="17">_xlfn.NORM.INV(RAND(),$B$16,$B$17)</f>
        <v>27.844222882850069</v>
      </c>
    </row>
    <row r="837" spans="17:18" x14ac:dyDescent="0.3">
      <c r="Q837">
        <v>834</v>
      </c>
      <c r="R837">
        <f t="shared" ca="1" si="17"/>
        <v>4.2676095354182317</v>
      </c>
    </row>
    <row r="838" spans="17:18" x14ac:dyDescent="0.3">
      <c r="Q838">
        <v>835</v>
      </c>
      <c r="R838">
        <f t="shared" ca="1" si="17"/>
        <v>-9.5738863226044515</v>
      </c>
    </row>
    <row r="839" spans="17:18" x14ac:dyDescent="0.3">
      <c r="Q839">
        <v>836</v>
      </c>
      <c r="R839">
        <f t="shared" ca="1" si="17"/>
        <v>-4.240908392307337</v>
      </c>
    </row>
    <row r="840" spans="17:18" x14ac:dyDescent="0.3">
      <c r="Q840">
        <v>837</v>
      </c>
      <c r="R840">
        <f t="shared" ca="1" si="17"/>
        <v>-11.357351608600981</v>
      </c>
    </row>
    <row r="841" spans="17:18" x14ac:dyDescent="0.3">
      <c r="Q841">
        <v>838</v>
      </c>
      <c r="R841">
        <f t="shared" ca="1" si="17"/>
        <v>3.9166218954143099</v>
      </c>
    </row>
    <row r="842" spans="17:18" x14ac:dyDescent="0.3">
      <c r="Q842">
        <v>839</v>
      </c>
      <c r="R842">
        <f t="shared" ca="1" si="17"/>
        <v>19.238098326202746</v>
      </c>
    </row>
    <row r="843" spans="17:18" x14ac:dyDescent="0.3">
      <c r="Q843">
        <v>840</v>
      </c>
      <c r="R843">
        <f t="shared" ca="1" si="17"/>
        <v>1.4219570652308666</v>
      </c>
    </row>
    <row r="844" spans="17:18" x14ac:dyDescent="0.3">
      <c r="Q844">
        <v>841</v>
      </c>
      <c r="R844">
        <f t="shared" ca="1" si="17"/>
        <v>-1.3091018229709426</v>
      </c>
    </row>
    <row r="845" spans="17:18" x14ac:dyDescent="0.3">
      <c r="Q845">
        <v>842</v>
      </c>
      <c r="R845">
        <f t="shared" ca="1" si="17"/>
        <v>10.290074024540461</v>
      </c>
    </row>
    <row r="846" spans="17:18" x14ac:dyDescent="0.3">
      <c r="Q846">
        <v>843</v>
      </c>
      <c r="R846">
        <f t="shared" ca="1" si="17"/>
        <v>-11.200924394017822</v>
      </c>
    </row>
    <row r="847" spans="17:18" x14ac:dyDescent="0.3">
      <c r="Q847">
        <v>844</v>
      </c>
      <c r="R847">
        <f t="shared" ca="1" si="17"/>
        <v>-24.127552270262065</v>
      </c>
    </row>
    <row r="848" spans="17:18" x14ac:dyDescent="0.3">
      <c r="Q848">
        <v>845</v>
      </c>
      <c r="R848">
        <f t="shared" ca="1" si="17"/>
        <v>2.5945790833623734</v>
      </c>
    </row>
    <row r="849" spans="17:18" x14ac:dyDescent="0.3">
      <c r="Q849">
        <v>846</v>
      </c>
      <c r="R849">
        <f t="shared" ca="1" si="17"/>
        <v>-16.664661265834106</v>
      </c>
    </row>
    <row r="850" spans="17:18" x14ac:dyDescent="0.3">
      <c r="Q850">
        <v>847</v>
      </c>
      <c r="R850">
        <f t="shared" ca="1" si="17"/>
        <v>-3.8319746809942226</v>
      </c>
    </row>
    <row r="851" spans="17:18" x14ac:dyDescent="0.3">
      <c r="Q851">
        <v>848</v>
      </c>
      <c r="R851">
        <f t="shared" ca="1" si="17"/>
        <v>-46.402764648904537</v>
      </c>
    </row>
    <row r="852" spans="17:18" x14ac:dyDescent="0.3">
      <c r="Q852">
        <v>849</v>
      </c>
      <c r="R852">
        <f t="shared" ca="1" si="17"/>
        <v>4.0640310282176468</v>
      </c>
    </row>
    <row r="853" spans="17:18" x14ac:dyDescent="0.3">
      <c r="Q853">
        <v>850</v>
      </c>
      <c r="R853">
        <f t="shared" ca="1" si="17"/>
        <v>-15.045036540363624</v>
      </c>
    </row>
    <row r="854" spans="17:18" x14ac:dyDescent="0.3">
      <c r="Q854">
        <v>851</v>
      </c>
      <c r="R854">
        <f t="shared" ca="1" si="17"/>
        <v>2.3962531524872865</v>
      </c>
    </row>
    <row r="855" spans="17:18" x14ac:dyDescent="0.3">
      <c r="Q855">
        <v>852</v>
      </c>
      <c r="R855">
        <f t="shared" ca="1" si="17"/>
        <v>10.629806953187281</v>
      </c>
    </row>
    <row r="856" spans="17:18" x14ac:dyDescent="0.3">
      <c r="Q856">
        <v>853</v>
      </c>
      <c r="R856">
        <f t="shared" ca="1" si="17"/>
        <v>-3.8992453612330005</v>
      </c>
    </row>
    <row r="857" spans="17:18" x14ac:dyDescent="0.3">
      <c r="Q857">
        <v>854</v>
      </c>
      <c r="R857">
        <f t="shared" ca="1" si="17"/>
        <v>-2.692947577931224</v>
      </c>
    </row>
    <row r="858" spans="17:18" x14ac:dyDescent="0.3">
      <c r="Q858">
        <v>855</v>
      </c>
      <c r="R858">
        <f t="shared" ca="1" si="17"/>
        <v>11.715700412079949</v>
      </c>
    </row>
    <row r="859" spans="17:18" x14ac:dyDescent="0.3">
      <c r="Q859">
        <v>856</v>
      </c>
      <c r="R859">
        <f t="shared" ca="1" si="17"/>
        <v>-19.827498487077904</v>
      </c>
    </row>
    <row r="860" spans="17:18" x14ac:dyDescent="0.3">
      <c r="Q860">
        <v>857</v>
      </c>
      <c r="R860">
        <f t="shared" ca="1" si="17"/>
        <v>-15.203024351529931</v>
      </c>
    </row>
    <row r="861" spans="17:18" x14ac:dyDescent="0.3">
      <c r="Q861">
        <v>858</v>
      </c>
      <c r="R861">
        <f t="shared" ca="1" si="17"/>
        <v>-21.821203745033586</v>
      </c>
    </row>
    <row r="862" spans="17:18" x14ac:dyDescent="0.3">
      <c r="Q862">
        <v>859</v>
      </c>
      <c r="R862">
        <f t="shared" ca="1" si="17"/>
        <v>-4.4643563200076786</v>
      </c>
    </row>
    <row r="863" spans="17:18" x14ac:dyDescent="0.3">
      <c r="Q863">
        <v>860</v>
      </c>
      <c r="R863">
        <f t="shared" ca="1" si="17"/>
        <v>12.867230321794205</v>
      </c>
    </row>
    <row r="864" spans="17:18" x14ac:dyDescent="0.3">
      <c r="Q864">
        <v>861</v>
      </c>
      <c r="R864">
        <f t="shared" ca="1" si="17"/>
        <v>30.723575472923091</v>
      </c>
    </row>
    <row r="865" spans="17:18" x14ac:dyDescent="0.3">
      <c r="Q865">
        <v>862</v>
      </c>
      <c r="R865">
        <f t="shared" ca="1" si="17"/>
        <v>4.0787243271506046</v>
      </c>
    </row>
    <row r="866" spans="17:18" x14ac:dyDescent="0.3">
      <c r="Q866">
        <v>863</v>
      </c>
      <c r="R866">
        <f t="shared" ca="1" si="17"/>
        <v>2.7879761648876018</v>
      </c>
    </row>
    <row r="867" spans="17:18" x14ac:dyDescent="0.3">
      <c r="Q867">
        <v>864</v>
      </c>
      <c r="R867">
        <f t="shared" ca="1" si="17"/>
        <v>12.534644787322003</v>
      </c>
    </row>
    <row r="868" spans="17:18" x14ac:dyDescent="0.3">
      <c r="Q868">
        <v>865</v>
      </c>
      <c r="R868">
        <f t="shared" ca="1" si="17"/>
        <v>-40.395341669338421</v>
      </c>
    </row>
    <row r="869" spans="17:18" x14ac:dyDescent="0.3">
      <c r="Q869">
        <v>866</v>
      </c>
      <c r="R869">
        <f t="shared" ca="1" si="17"/>
        <v>6.6126500441374549</v>
      </c>
    </row>
    <row r="870" spans="17:18" x14ac:dyDescent="0.3">
      <c r="Q870">
        <v>867</v>
      </c>
      <c r="R870">
        <f t="shared" ca="1" si="17"/>
        <v>-10.198319511539017</v>
      </c>
    </row>
    <row r="871" spans="17:18" x14ac:dyDescent="0.3">
      <c r="Q871">
        <v>868</v>
      </c>
      <c r="R871">
        <f t="shared" ca="1" si="17"/>
        <v>7.9718567797268136</v>
      </c>
    </row>
    <row r="872" spans="17:18" x14ac:dyDescent="0.3">
      <c r="Q872">
        <v>869</v>
      </c>
      <c r="R872">
        <f t="shared" ca="1" si="17"/>
        <v>-21.887219556186601</v>
      </c>
    </row>
    <row r="873" spans="17:18" x14ac:dyDescent="0.3">
      <c r="Q873">
        <v>870</v>
      </c>
      <c r="R873">
        <f t="shared" ca="1" si="17"/>
        <v>-27.081464019352204</v>
      </c>
    </row>
    <row r="874" spans="17:18" x14ac:dyDescent="0.3">
      <c r="Q874">
        <v>871</v>
      </c>
      <c r="R874">
        <f t="shared" ca="1" si="17"/>
        <v>12.234309129039643</v>
      </c>
    </row>
    <row r="875" spans="17:18" x14ac:dyDescent="0.3">
      <c r="Q875">
        <v>872</v>
      </c>
      <c r="R875">
        <f t="shared" ca="1" si="17"/>
        <v>-14.73892769035713</v>
      </c>
    </row>
    <row r="876" spans="17:18" x14ac:dyDescent="0.3">
      <c r="Q876">
        <v>873</v>
      </c>
      <c r="R876">
        <f t="shared" ca="1" si="17"/>
        <v>5.0773037116405932</v>
      </c>
    </row>
    <row r="877" spans="17:18" x14ac:dyDescent="0.3">
      <c r="Q877">
        <v>874</v>
      </c>
      <c r="R877">
        <f t="shared" ca="1" si="17"/>
        <v>-9.1019042002242507</v>
      </c>
    </row>
    <row r="878" spans="17:18" x14ac:dyDescent="0.3">
      <c r="Q878">
        <v>875</v>
      </c>
      <c r="R878">
        <f t="shared" ca="1" si="17"/>
        <v>32.050303261158952</v>
      </c>
    </row>
    <row r="879" spans="17:18" x14ac:dyDescent="0.3">
      <c r="Q879">
        <v>876</v>
      </c>
      <c r="R879">
        <f t="shared" ca="1" si="17"/>
        <v>37.688782124436415</v>
      </c>
    </row>
    <row r="880" spans="17:18" x14ac:dyDescent="0.3">
      <c r="Q880">
        <v>877</v>
      </c>
      <c r="R880">
        <f t="shared" ca="1" si="17"/>
        <v>-11.798694579566828</v>
      </c>
    </row>
    <row r="881" spans="17:18" x14ac:dyDescent="0.3">
      <c r="Q881">
        <v>878</v>
      </c>
      <c r="R881">
        <f t="shared" ca="1" si="17"/>
        <v>7.9559179827906803</v>
      </c>
    </row>
    <row r="882" spans="17:18" x14ac:dyDescent="0.3">
      <c r="Q882">
        <v>879</v>
      </c>
      <c r="R882">
        <f t="shared" ca="1" si="17"/>
        <v>35.615568528085284</v>
      </c>
    </row>
    <row r="883" spans="17:18" x14ac:dyDescent="0.3">
      <c r="Q883">
        <v>880</v>
      </c>
      <c r="R883">
        <f t="shared" ca="1" si="17"/>
        <v>-8.926659247766155</v>
      </c>
    </row>
    <row r="884" spans="17:18" x14ac:dyDescent="0.3">
      <c r="Q884">
        <v>881</v>
      </c>
      <c r="R884">
        <f t="shared" ca="1" si="17"/>
        <v>-3.4895539884551949</v>
      </c>
    </row>
    <row r="885" spans="17:18" x14ac:dyDescent="0.3">
      <c r="Q885">
        <v>882</v>
      </c>
      <c r="R885">
        <f t="shared" ca="1" si="17"/>
        <v>-7.1585611660279032</v>
      </c>
    </row>
    <row r="886" spans="17:18" x14ac:dyDescent="0.3">
      <c r="Q886">
        <v>883</v>
      </c>
      <c r="R886">
        <f t="shared" ca="1" si="17"/>
        <v>-1.4958469200701243</v>
      </c>
    </row>
    <row r="887" spans="17:18" x14ac:dyDescent="0.3">
      <c r="Q887">
        <v>884</v>
      </c>
      <c r="R887">
        <f t="shared" ca="1" si="17"/>
        <v>-4.4917892618343069</v>
      </c>
    </row>
    <row r="888" spans="17:18" x14ac:dyDescent="0.3">
      <c r="Q888">
        <v>885</v>
      </c>
      <c r="R888">
        <f t="shared" ca="1" si="17"/>
        <v>-9.9111448479866446</v>
      </c>
    </row>
    <row r="889" spans="17:18" x14ac:dyDescent="0.3">
      <c r="Q889">
        <v>886</v>
      </c>
      <c r="R889">
        <f t="shared" ca="1" si="17"/>
        <v>-30.243333204922344</v>
      </c>
    </row>
    <row r="890" spans="17:18" x14ac:dyDescent="0.3">
      <c r="Q890">
        <v>887</v>
      </c>
      <c r="R890">
        <f t="shared" ca="1" si="17"/>
        <v>25.974248739034969</v>
      </c>
    </row>
    <row r="891" spans="17:18" x14ac:dyDescent="0.3">
      <c r="Q891">
        <v>888</v>
      </c>
      <c r="R891">
        <f t="shared" ca="1" si="17"/>
        <v>-10.704321856675215</v>
      </c>
    </row>
    <row r="892" spans="17:18" x14ac:dyDescent="0.3">
      <c r="Q892">
        <v>889</v>
      </c>
      <c r="R892">
        <f t="shared" ca="1" si="17"/>
        <v>-7.8950715901814466</v>
      </c>
    </row>
    <row r="893" spans="17:18" x14ac:dyDescent="0.3">
      <c r="Q893">
        <v>890</v>
      </c>
      <c r="R893">
        <f t="shared" ca="1" si="17"/>
        <v>18.342555957995852</v>
      </c>
    </row>
    <row r="894" spans="17:18" x14ac:dyDescent="0.3">
      <c r="Q894">
        <v>891</v>
      </c>
      <c r="R894">
        <f t="shared" ca="1" si="17"/>
        <v>4.7447152359157894</v>
      </c>
    </row>
    <row r="895" spans="17:18" x14ac:dyDescent="0.3">
      <c r="Q895">
        <v>892</v>
      </c>
      <c r="R895">
        <f t="shared" ca="1" si="17"/>
        <v>22.772640463156424</v>
      </c>
    </row>
    <row r="896" spans="17:18" x14ac:dyDescent="0.3">
      <c r="Q896">
        <v>893</v>
      </c>
      <c r="R896">
        <f t="shared" ca="1" si="17"/>
        <v>-22.255819849509624</v>
      </c>
    </row>
    <row r="897" spans="17:18" x14ac:dyDescent="0.3">
      <c r="Q897">
        <v>894</v>
      </c>
      <c r="R897">
        <f t="shared" ca="1" si="17"/>
        <v>28.322925788612835</v>
      </c>
    </row>
    <row r="898" spans="17:18" x14ac:dyDescent="0.3">
      <c r="Q898">
        <v>895</v>
      </c>
      <c r="R898">
        <f t="shared" ca="1" si="17"/>
        <v>3.9447864067846705</v>
      </c>
    </row>
    <row r="899" spans="17:18" x14ac:dyDescent="0.3">
      <c r="Q899">
        <v>896</v>
      </c>
      <c r="R899">
        <f t="shared" ca="1" si="17"/>
        <v>32.665328426908836</v>
      </c>
    </row>
    <row r="900" spans="17:18" x14ac:dyDescent="0.3">
      <c r="Q900">
        <v>897</v>
      </c>
      <c r="R900">
        <f t="shared" ref="R900:R963" ca="1" si="18">_xlfn.NORM.INV(RAND(),$B$16,$B$17)</f>
        <v>14.1207712729245</v>
      </c>
    </row>
    <row r="901" spans="17:18" x14ac:dyDescent="0.3">
      <c r="Q901">
        <v>898</v>
      </c>
      <c r="R901">
        <f t="shared" ca="1" si="18"/>
        <v>0.57855463349628122</v>
      </c>
    </row>
    <row r="902" spans="17:18" x14ac:dyDescent="0.3">
      <c r="Q902">
        <v>899</v>
      </c>
      <c r="R902">
        <f t="shared" ca="1" si="18"/>
        <v>-11.569428361146</v>
      </c>
    </row>
    <row r="903" spans="17:18" x14ac:dyDescent="0.3">
      <c r="Q903">
        <v>900</v>
      </c>
      <c r="R903">
        <f t="shared" ca="1" si="18"/>
        <v>17.396269933936683</v>
      </c>
    </row>
    <row r="904" spans="17:18" x14ac:dyDescent="0.3">
      <c r="Q904">
        <v>901</v>
      </c>
      <c r="R904">
        <f t="shared" ca="1" si="18"/>
        <v>0.74603637130608247</v>
      </c>
    </row>
    <row r="905" spans="17:18" x14ac:dyDescent="0.3">
      <c r="Q905">
        <v>902</v>
      </c>
      <c r="R905">
        <f t="shared" ca="1" si="18"/>
        <v>-2.1712132187445827</v>
      </c>
    </row>
    <row r="906" spans="17:18" x14ac:dyDescent="0.3">
      <c r="Q906">
        <v>903</v>
      </c>
      <c r="R906">
        <f t="shared" ca="1" si="18"/>
        <v>-5.2855399260761446</v>
      </c>
    </row>
    <row r="907" spans="17:18" x14ac:dyDescent="0.3">
      <c r="Q907">
        <v>904</v>
      </c>
      <c r="R907">
        <f t="shared" ca="1" si="18"/>
        <v>-26.045144005420731</v>
      </c>
    </row>
    <row r="908" spans="17:18" x14ac:dyDescent="0.3">
      <c r="Q908">
        <v>905</v>
      </c>
      <c r="R908">
        <f t="shared" ca="1" si="18"/>
        <v>-27.062243227122696</v>
      </c>
    </row>
    <row r="909" spans="17:18" x14ac:dyDescent="0.3">
      <c r="Q909">
        <v>906</v>
      </c>
      <c r="R909">
        <f t="shared" ca="1" si="18"/>
        <v>17.469144135805141</v>
      </c>
    </row>
    <row r="910" spans="17:18" x14ac:dyDescent="0.3">
      <c r="Q910">
        <v>907</v>
      </c>
      <c r="R910">
        <f t="shared" ca="1" si="18"/>
        <v>-4.8280251992117051</v>
      </c>
    </row>
    <row r="911" spans="17:18" x14ac:dyDescent="0.3">
      <c r="Q911">
        <v>908</v>
      </c>
      <c r="R911">
        <f t="shared" ca="1" si="18"/>
        <v>-6.3044709372338668</v>
      </c>
    </row>
    <row r="912" spans="17:18" x14ac:dyDescent="0.3">
      <c r="Q912">
        <v>909</v>
      </c>
      <c r="R912">
        <f t="shared" ca="1" si="18"/>
        <v>-25.652098660017316</v>
      </c>
    </row>
    <row r="913" spans="17:18" x14ac:dyDescent="0.3">
      <c r="Q913">
        <v>910</v>
      </c>
      <c r="R913">
        <f t="shared" ca="1" si="18"/>
        <v>14.164332783561004</v>
      </c>
    </row>
    <row r="914" spans="17:18" x14ac:dyDescent="0.3">
      <c r="Q914">
        <v>911</v>
      </c>
      <c r="R914">
        <f t="shared" ca="1" si="18"/>
        <v>30.247400262554741</v>
      </c>
    </row>
    <row r="915" spans="17:18" x14ac:dyDescent="0.3">
      <c r="Q915">
        <v>912</v>
      </c>
      <c r="R915">
        <f t="shared" ca="1" si="18"/>
        <v>20.188229437886402</v>
      </c>
    </row>
    <row r="916" spans="17:18" x14ac:dyDescent="0.3">
      <c r="Q916">
        <v>913</v>
      </c>
      <c r="R916">
        <f t="shared" ca="1" si="18"/>
        <v>9.6055011078211106</v>
      </c>
    </row>
    <row r="917" spans="17:18" x14ac:dyDescent="0.3">
      <c r="Q917">
        <v>914</v>
      </c>
      <c r="R917">
        <f t="shared" ca="1" si="18"/>
        <v>47.125141995939607</v>
      </c>
    </row>
    <row r="918" spans="17:18" x14ac:dyDescent="0.3">
      <c r="Q918">
        <v>915</v>
      </c>
      <c r="R918">
        <f t="shared" ca="1" si="18"/>
        <v>9.544038880444722</v>
      </c>
    </row>
    <row r="919" spans="17:18" x14ac:dyDescent="0.3">
      <c r="Q919">
        <v>916</v>
      </c>
      <c r="R919">
        <f t="shared" ca="1" si="18"/>
        <v>-5.4039429953912821</v>
      </c>
    </row>
    <row r="920" spans="17:18" x14ac:dyDescent="0.3">
      <c r="Q920">
        <v>917</v>
      </c>
      <c r="R920">
        <f t="shared" ca="1" si="18"/>
        <v>10.183495253569685</v>
      </c>
    </row>
    <row r="921" spans="17:18" x14ac:dyDescent="0.3">
      <c r="Q921">
        <v>918</v>
      </c>
      <c r="R921">
        <f t="shared" ca="1" si="18"/>
        <v>-7.8726159438768661</v>
      </c>
    </row>
    <row r="922" spans="17:18" x14ac:dyDescent="0.3">
      <c r="Q922">
        <v>919</v>
      </c>
      <c r="R922">
        <f t="shared" ca="1" si="18"/>
        <v>-34.633144352200489</v>
      </c>
    </row>
    <row r="923" spans="17:18" x14ac:dyDescent="0.3">
      <c r="Q923">
        <v>920</v>
      </c>
      <c r="R923">
        <f t="shared" ca="1" si="18"/>
        <v>2.287806142824425</v>
      </c>
    </row>
    <row r="924" spans="17:18" x14ac:dyDescent="0.3">
      <c r="Q924">
        <v>921</v>
      </c>
      <c r="R924">
        <f t="shared" ca="1" si="18"/>
        <v>12.176524256851472</v>
      </c>
    </row>
    <row r="925" spans="17:18" x14ac:dyDescent="0.3">
      <c r="Q925">
        <v>922</v>
      </c>
      <c r="R925">
        <f t="shared" ca="1" si="18"/>
        <v>25.631962092693847</v>
      </c>
    </row>
    <row r="926" spans="17:18" x14ac:dyDescent="0.3">
      <c r="Q926">
        <v>923</v>
      </c>
      <c r="R926">
        <f t="shared" ca="1" si="18"/>
        <v>10.28976411173649</v>
      </c>
    </row>
    <row r="927" spans="17:18" x14ac:dyDescent="0.3">
      <c r="Q927">
        <v>924</v>
      </c>
      <c r="R927">
        <f t="shared" ca="1" si="18"/>
        <v>7.5856273690408162</v>
      </c>
    </row>
    <row r="928" spans="17:18" x14ac:dyDescent="0.3">
      <c r="Q928">
        <v>925</v>
      </c>
      <c r="R928">
        <f t="shared" ca="1" si="18"/>
        <v>4.2806031861664673</v>
      </c>
    </row>
    <row r="929" spans="17:18" x14ac:dyDescent="0.3">
      <c r="Q929">
        <v>926</v>
      </c>
      <c r="R929">
        <f t="shared" ca="1" si="18"/>
        <v>14.875378456561135</v>
      </c>
    </row>
    <row r="930" spans="17:18" x14ac:dyDescent="0.3">
      <c r="Q930">
        <v>927</v>
      </c>
      <c r="R930">
        <f t="shared" ca="1" si="18"/>
        <v>-6.1555641626993323</v>
      </c>
    </row>
    <row r="931" spans="17:18" x14ac:dyDescent="0.3">
      <c r="Q931">
        <v>928</v>
      </c>
      <c r="R931">
        <f t="shared" ca="1" si="18"/>
        <v>16.185914554612364</v>
      </c>
    </row>
    <row r="932" spans="17:18" x14ac:dyDescent="0.3">
      <c r="Q932">
        <v>929</v>
      </c>
      <c r="R932">
        <f t="shared" ca="1" si="18"/>
        <v>26.233416488811553</v>
      </c>
    </row>
    <row r="933" spans="17:18" x14ac:dyDescent="0.3">
      <c r="Q933">
        <v>930</v>
      </c>
      <c r="R933">
        <f t="shared" ca="1" si="18"/>
        <v>3.1487924392408084</v>
      </c>
    </row>
    <row r="934" spans="17:18" x14ac:dyDescent="0.3">
      <c r="Q934">
        <v>931</v>
      </c>
      <c r="R934">
        <f t="shared" ca="1" si="18"/>
        <v>35.959419061409577</v>
      </c>
    </row>
    <row r="935" spans="17:18" x14ac:dyDescent="0.3">
      <c r="Q935">
        <v>932</v>
      </c>
      <c r="R935">
        <f t="shared" ca="1" si="18"/>
        <v>17.313380854055556</v>
      </c>
    </row>
    <row r="936" spans="17:18" x14ac:dyDescent="0.3">
      <c r="Q936">
        <v>933</v>
      </c>
      <c r="R936">
        <f t="shared" ca="1" si="18"/>
        <v>1.0712643543519096</v>
      </c>
    </row>
    <row r="937" spans="17:18" x14ac:dyDescent="0.3">
      <c r="Q937">
        <v>934</v>
      </c>
      <c r="R937">
        <f t="shared" ca="1" si="18"/>
        <v>-15.39283914117587</v>
      </c>
    </row>
    <row r="938" spans="17:18" x14ac:dyDescent="0.3">
      <c r="Q938">
        <v>935</v>
      </c>
      <c r="R938">
        <f t="shared" ca="1" si="18"/>
        <v>12.069846823398661</v>
      </c>
    </row>
    <row r="939" spans="17:18" x14ac:dyDescent="0.3">
      <c r="Q939">
        <v>936</v>
      </c>
      <c r="R939">
        <f t="shared" ca="1" si="18"/>
        <v>-8.1941148034638989</v>
      </c>
    </row>
    <row r="940" spans="17:18" x14ac:dyDescent="0.3">
      <c r="Q940">
        <v>937</v>
      </c>
      <c r="R940">
        <f t="shared" ca="1" si="18"/>
        <v>-5.7304673026938815</v>
      </c>
    </row>
    <row r="941" spans="17:18" x14ac:dyDescent="0.3">
      <c r="Q941">
        <v>938</v>
      </c>
      <c r="R941">
        <f t="shared" ca="1" si="18"/>
        <v>-13.906204899312479</v>
      </c>
    </row>
    <row r="942" spans="17:18" x14ac:dyDescent="0.3">
      <c r="Q942">
        <v>939</v>
      </c>
      <c r="R942">
        <f t="shared" ca="1" si="18"/>
        <v>-3.2869892880492371</v>
      </c>
    </row>
    <row r="943" spans="17:18" x14ac:dyDescent="0.3">
      <c r="Q943">
        <v>940</v>
      </c>
      <c r="R943">
        <f t="shared" ca="1" si="18"/>
        <v>24.90396333624895</v>
      </c>
    </row>
    <row r="944" spans="17:18" x14ac:dyDescent="0.3">
      <c r="Q944">
        <v>941</v>
      </c>
      <c r="R944">
        <f t="shared" ca="1" si="18"/>
        <v>-29.641992735047552</v>
      </c>
    </row>
    <row r="945" spans="17:18" x14ac:dyDescent="0.3">
      <c r="Q945">
        <v>942</v>
      </c>
      <c r="R945">
        <f t="shared" ca="1" si="18"/>
        <v>-39.684743094450781</v>
      </c>
    </row>
    <row r="946" spans="17:18" x14ac:dyDescent="0.3">
      <c r="Q946">
        <v>943</v>
      </c>
      <c r="R946">
        <f t="shared" ca="1" si="18"/>
        <v>8.4622193296927914</v>
      </c>
    </row>
    <row r="947" spans="17:18" x14ac:dyDescent="0.3">
      <c r="Q947">
        <v>944</v>
      </c>
      <c r="R947">
        <f t="shared" ca="1" si="18"/>
        <v>5.1580768035917428</v>
      </c>
    </row>
    <row r="948" spans="17:18" x14ac:dyDescent="0.3">
      <c r="Q948">
        <v>945</v>
      </c>
      <c r="R948">
        <f t="shared" ca="1" si="18"/>
        <v>-27.750748697471263</v>
      </c>
    </row>
    <row r="949" spans="17:18" x14ac:dyDescent="0.3">
      <c r="Q949">
        <v>946</v>
      </c>
      <c r="R949">
        <f t="shared" ca="1" si="18"/>
        <v>26.681140519464002</v>
      </c>
    </row>
    <row r="950" spans="17:18" x14ac:dyDescent="0.3">
      <c r="Q950">
        <v>947</v>
      </c>
      <c r="R950">
        <f t="shared" ca="1" si="18"/>
        <v>-7.8081522997500938</v>
      </c>
    </row>
    <row r="951" spans="17:18" x14ac:dyDescent="0.3">
      <c r="Q951">
        <v>948</v>
      </c>
      <c r="R951">
        <f t="shared" ca="1" si="18"/>
        <v>-17.994613885163588</v>
      </c>
    </row>
    <row r="952" spans="17:18" x14ac:dyDescent="0.3">
      <c r="Q952">
        <v>949</v>
      </c>
      <c r="R952">
        <f t="shared" ca="1" si="18"/>
        <v>-25.652995554428369</v>
      </c>
    </row>
    <row r="953" spans="17:18" x14ac:dyDescent="0.3">
      <c r="Q953">
        <v>950</v>
      </c>
      <c r="R953">
        <f t="shared" ca="1" si="18"/>
        <v>-27.209643852627096</v>
      </c>
    </row>
    <row r="954" spans="17:18" x14ac:dyDescent="0.3">
      <c r="Q954">
        <v>951</v>
      </c>
      <c r="R954">
        <f t="shared" ca="1" si="18"/>
        <v>7.6726646904419749</v>
      </c>
    </row>
    <row r="955" spans="17:18" x14ac:dyDescent="0.3">
      <c r="Q955">
        <v>952</v>
      </c>
      <c r="R955">
        <f t="shared" ca="1" si="18"/>
        <v>-4.0304245451534246</v>
      </c>
    </row>
    <row r="956" spans="17:18" x14ac:dyDescent="0.3">
      <c r="Q956">
        <v>953</v>
      </c>
      <c r="R956">
        <f t="shared" ca="1" si="18"/>
        <v>16.959511730907664</v>
      </c>
    </row>
    <row r="957" spans="17:18" x14ac:dyDescent="0.3">
      <c r="Q957">
        <v>954</v>
      </c>
      <c r="R957">
        <f t="shared" ca="1" si="18"/>
        <v>-0.32553539136327037</v>
      </c>
    </row>
    <row r="958" spans="17:18" x14ac:dyDescent="0.3">
      <c r="Q958">
        <v>955</v>
      </c>
      <c r="R958">
        <f t="shared" ca="1" si="18"/>
        <v>-1.7536683991951942</v>
      </c>
    </row>
    <row r="959" spans="17:18" x14ac:dyDescent="0.3">
      <c r="Q959">
        <v>956</v>
      </c>
      <c r="R959">
        <f t="shared" ca="1" si="18"/>
        <v>-7.1305316766892597</v>
      </c>
    </row>
    <row r="960" spans="17:18" x14ac:dyDescent="0.3">
      <c r="Q960">
        <v>957</v>
      </c>
      <c r="R960">
        <f t="shared" ca="1" si="18"/>
        <v>25.207849908179604</v>
      </c>
    </row>
    <row r="961" spans="17:18" x14ac:dyDescent="0.3">
      <c r="Q961">
        <v>958</v>
      </c>
      <c r="R961">
        <f t="shared" ca="1" si="18"/>
        <v>-4.2518380200231727</v>
      </c>
    </row>
    <row r="962" spans="17:18" x14ac:dyDescent="0.3">
      <c r="Q962">
        <v>959</v>
      </c>
      <c r="R962">
        <f t="shared" ca="1" si="18"/>
        <v>-48.631098805224376</v>
      </c>
    </row>
    <row r="963" spans="17:18" x14ac:dyDescent="0.3">
      <c r="Q963">
        <v>960</v>
      </c>
      <c r="R963">
        <f t="shared" ca="1" si="18"/>
        <v>-15.865394455767074</v>
      </c>
    </row>
    <row r="964" spans="17:18" x14ac:dyDescent="0.3">
      <c r="Q964">
        <v>961</v>
      </c>
      <c r="R964">
        <f t="shared" ref="R964:R1003" ca="1" si="19">_xlfn.NORM.INV(RAND(),$B$16,$B$17)</f>
        <v>3.8160370734860312</v>
      </c>
    </row>
    <row r="965" spans="17:18" x14ac:dyDescent="0.3">
      <c r="Q965">
        <v>962</v>
      </c>
      <c r="R965">
        <f t="shared" ca="1" si="19"/>
        <v>-4.9135845421620017</v>
      </c>
    </row>
    <row r="966" spans="17:18" x14ac:dyDescent="0.3">
      <c r="Q966">
        <v>963</v>
      </c>
      <c r="R966">
        <f t="shared" ca="1" si="19"/>
        <v>13.033163045923457</v>
      </c>
    </row>
    <row r="967" spans="17:18" x14ac:dyDescent="0.3">
      <c r="Q967">
        <v>964</v>
      </c>
      <c r="R967">
        <f t="shared" ca="1" si="19"/>
        <v>-12.305516531170564</v>
      </c>
    </row>
    <row r="968" spans="17:18" x14ac:dyDescent="0.3">
      <c r="Q968">
        <v>965</v>
      </c>
      <c r="R968">
        <f t="shared" ca="1" si="19"/>
        <v>-9.9026810199105739</v>
      </c>
    </row>
    <row r="969" spans="17:18" x14ac:dyDescent="0.3">
      <c r="Q969">
        <v>966</v>
      </c>
      <c r="R969">
        <f t="shared" ca="1" si="19"/>
        <v>-18.95564040598876</v>
      </c>
    </row>
    <row r="970" spans="17:18" x14ac:dyDescent="0.3">
      <c r="Q970">
        <v>967</v>
      </c>
      <c r="R970">
        <f t="shared" ca="1" si="19"/>
        <v>-1.5878887301416391</v>
      </c>
    </row>
    <row r="971" spans="17:18" x14ac:dyDescent="0.3">
      <c r="Q971">
        <v>968</v>
      </c>
      <c r="R971">
        <f t="shared" ca="1" si="19"/>
        <v>22.352990918328111</v>
      </c>
    </row>
    <row r="972" spans="17:18" x14ac:dyDescent="0.3">
      <c r="Q972">
        <v>969</v>
      </c>
      <c r="R972">
        <f t="shared" ca="1" si="19"/>
        <v>9.2606931056148962</v>
      </c>
    </row>
    <row r="973" spans="17:18" x14ac:dyDescent="0.3">
      <c r="Q973">
        <v>970</v>
      </c>
      <c r="R973">
        <f t="shared" ca="1" si="19"/>
        <v>18.3432260095936</v>
      </c>
    </row>
    <row r="974" spans="17:18" x14ac:dyDescent="0.3">
      <c r="Q974">
        <v>971</v>
      </c>
      <c r="R974">
        <f t="shared" ca="1" si="19"/>
        <v>-2.9528485444239507</v>
      </c>
    </row>
    <row r="975" spans="17:18" x14ac:dyDescent="0.3">
      <c r="Q975">
        <v>972</v>
      </c>
      <c r="R975">
        <f t="shared" ca="1" si="19"/>
        <v>-2.2392232701345183</v>
      </c>
    </row>
    <row r="976" spans="17:18" x14ac:dyDescent="0.3">
      <c r="Q976">
        <v>973</v>
      </c>
      <c r="R976">
        <f t="shared" ca="1" si="19"/>
        <v>-22.862436427319835</v>
      </c>
    </row>
    <row r="977" spans="17:18" x14ac:dyDescent="0.3">
      <c r="Q977">
        <v>974</v>
      </c>
      <c r="R977">
        <f t="shared" ca="1" si="19"/>
        <v>4.3424970475117348</v>
      </c>
    </row>
    <row r="978" spans="17:18" x14ac:dyDescent="0.3">
      <c r="Q978">
        <v>975</v>
      </c>
      <c r="R978">
        <f t="shared" ca="1" si="19"/>
        <v>-27.507080765650834</v>
      </c>
    </row>
    <row r="979" spans="17:18" x14ac:dyDescent="0.3">
      <c r="Q979">
        <v>976</v>
      </c>
      <c r="R979">
        <f t="shared" ca="1" si="19"/>
        <v>2.6392021346764993</v>
      </c>
    </row>
    <row r="980" spans="17:18" x14ac:dyDescent="0.3">
      <c r="Q980">
        <v>977</v>
      </c>
      <c r="R980">
        <f t="shared" ca="1" si="19"/>
        <v>25.955143687587078</v>
      </c>
    </row>
    <row r="981" spans="17:18" x14ac:dyDescent="0.3">
      <c r="Q981">
        <v>978</v>
      </c>
      <c r="R981">
        <f t="shared" ca="1" si="19"/>
        <v>-19.055019749886679</v>
      </c>
    </row>
    <row r="982" spans="17:18" x14ac:dyDescent="0.3">
      <c r="Q982">
        <v>979</v>
      </c>
      <c r="R982">
        <f t="shared" ca="1" si="19"/>
        <v>-40.089604179991412</v>
      </c>
    </row>
    <row r="983" spans="17:18" x14ac:dyDescent="0.3">
      <c r="Q983">
        <v>980</v>
      </c>
      <c r="R983">
        <f t="shared" ca="1" si="19"/>
        <v>-21.909901635294215</v>
      </c>
    </row>
    <row r="984" spans="17:18" x14ac:dyDescent="0.3">
      <c r="Q984">
        <v>981</v>
      </c>
      <c r="R984">
        <f t="shared" ca="1" si="19"/>
        <v>-14.623196762554068</v>
      </c>
    </row>
    <row r="985" spans="17:18" x14ac:dyDescent="0.3">
      <c r="Q985">
        <v>982</v>
      </c>
      <c r="R985">
        <f t="shared" ca="1" si="19"/>
        <v>22.51770927483226</v>
      </c>
    </row>
    <row r="986" spans="17:18" x14ac:dyDescent="0.3">
      <c r="Q986">
        <v>983</v>
      </c>
      <c r="R986">
        <f t="shared" ca="1" si="19"/>
        <v>6.3677186421008845</v>
      </c>
    </row>
    <row r="987" spans="17:18" x14ac:dyDescent="0.3">
      <c r="Q987">
        <v>984</v>
      </c>
      <c r="R987">
        <f t="shared" ca="1" si="19"/>
        <v>-8.582928606879987</v>
      </c>
    </row>
    <row r="988" spans="17:18" x14ac:dyDescent="0.3">
      <c r="Q988">
        <v>985</v>
      </c>
      <c r="R988">
        <f t="shared" ca="1" si="19"/>
        <v>12.100534782048898</v>
      </c>
    </row>
    <row r="989" spans="17:18" x14ac:dyDescent="0.3">
      <c r="Q989">
        <v>986</v>
      </c>
      <c r="R989">
        <f t="shared" ca="1" si="19"/>
        <v>-4.7098786628510894</v>
      </c>
    </row>
    <row r="990" spans="17:18" x14ac:dyDescent="0.3">
      <c r="Q990">
        <v>987</v>
      </c>
      <c r="R990">
        <f t="shared" ca="1" si="19"/>
        <v>3.3981306078633855</v>
      </c>
    </row>
    <row r="991" spans="17:18" x14ac:dyDescent="0.3">
      <c r="Q991">
        <v>988</v>
      </c>
      <c r="R991">
        <f t="shared" ca="1" si="19"/>
        <v>-27.19257055348961</v>
      </c>
    </row>
    <row r="992" spans="17:18" x14ac:dyDescent="0.3">
      <c r="Q992">
        <v>989</v>
      </c>
      <c r="R992">
        <f t="shared" ca="1" si="19"/>
        <v>16.43622680299972</v>
      </c>
    </row>
    <row r="993" spans="17:18" x14ac:dyDescent="0.3">
      <c r="Q993">
        <v>990</v>
      </c>
      <c r="R993">
        <f t="shared" ca="1" si="19"/>
        <v>-21.699617060281575</v>
      </c>
    </row>
    <row r="994" spans="17:18" x14ac:dyDescent="0.3">
      <c r="Q994">
        <v>991</v>
      </c>
      <c r="R994">
        <f t="shared" ca="1" si="19"/>
        <v>-11.437588969634781</v>
      </c>
    </row>
    <row r="995" spans="17:18" x14ac:dyDescent="0.3">
      <c r="Q995">
        <v>992</v>
      </c>
      <c r="R995">
        <f t="shared" ca="1" si="19"/>
        <v>-20.85129949850095</v>
      </c>
    </row>
    <row r="996" spans="17:18" x14ac:dyDescent="0.3">
      <c r="Q996">
        <v>993</v>
      </c>
      <c r="R996">
        <f t="shared" ca="1" si="19"/>
        <v>6.4450832043110271</v>
      </c>
    </row>
    <row r="997" spans="17:18" x14ac:dyDescent="0.3">
      <c r="Q997">
        <v>994</v>
      </c>
      <c r="R997">
        <f t="shared" ca="1" si="19"/>
        <v>3.6101302548299881</v>
      </c>
    </row>
    <row r="998" spans="17:18" x14ac:dyDescent="0.3">
      <c r="Q998">
        <v>995</v>
      </c>
      <c r="R998">
        <f t="shared" ca="1" si="19"/>
        <v>-24.256408008656134</v>
      </c>
    </row>
    <row r="999" spans="17:18" x14ac:dyDescent="0.3">
      <c r="Q999">
        <v>996</v>
      </c>
      <c r="R999">
        <f t="shared" ca="1" si="19"/>
        <v>-15.92447206490465</v>
      </c>
    </row>
    <row r="1000" spans="17:18" x14ac:dyDescent="0.3">
      <c r="Q1000">
        <v>997</v>
      </c>
      <c r="R1000">
        <f t="shared" ca="1" si="19"/>
        <v>-4.2875318671822971</v>
      </c>
    </row>
    <row r="1001" spans="17:18" x14ac:dyDescent="0.3">
      <c r="Q1001">
        <v>998</v>
      </c>
      <c r="R1001">
        <f t="shared" ca="1" si="19"/>
        <v>9.3817788508997939</v>
      </c>
    </row>
    <row r="1002" spans="17:18" x14ac:dyDescent="0.3">
      <c r="Q1002">
        <v>999</v>
      </c>
      <c r="R1002">
        <f t="shared" ca="1" si="19"/>
        <v>-3.7068203029021083</v>
      </c>
    </row>
    <row r="1003" spans="17:18" x14ac:dyDescent="0.3">
      <c r="Q1003">
        <v>1000</v>
      </c>
      <c r="R1003">
        <f t="shared" ca="1" si="19"/>
        <v>-15.773654179051036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A615-0746-4D66-9FAA-52AF48B37873}">
  <dimension ref="A1:C4"/>
  <sheetViews>
    <sheetView workbookViewId="0">
      <selection activeCell="D8" sqref="D8"/>
    </sheetView>
  </sheetViews>
  <sheetFormatPr defaultRowHeight="14.4" x14ac:dyDescent="0.3"/>
  <cols>
    <col min="1" max="1" width="17.88671875" bestFit="1" customWidth="1"/>
  </cols>
  <sheetData>
    <row r="1" spans="1:3" x14ac:dyDescent="0.3">
      <c r="A1" s="7" t="s">
        <v>126</v>
      </c>
      <c r="B1" s="7" t="s">
        <v>127</v>
      </c>
      <c r="C1" s="7" t="s">
        <v>18</v>
      </c>
    </row>
    <row r="2" spans="1:3" x14ac:dyDescent="0.3">
      <c r="A2" t="s">
        <v>128</v>
      </c>
      <c r="B2" s="1">
        <f>'$ Portfolio VaR'!B25</f>
        <v>39.877873152023973</v>
      </c>
      <c r="C2" s="1">
        <f>'$ Portfolio VaR'!C25</f>
        <v>85.969205543972294</v>
      </c>
    </row>
    <row r="3" spans="1:3" x14ac:dyDescent="0.3">
      <c r="A3" t="s">
        <v>129</v>
      </c>
      <c r="B3" s="1">
        <v>41.3735</v>
      </c>
      <c r="C3" s="1">
        <v>47.612699999999997</v>
      </c>
    </row>
    <row r="4" spans="1:3" x14ac:dyDescent="0.3">
      <c r="A4" t="s">
        <v>130</v>
      </c>
      <c r="B4">
        <v>39.93</v>
      </c>
      <c r="C4">
        <v>45.74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3B9C-97E8-43F3-92BC-A0F734BFC6CB}">
  <dimension ref="A1:C29"/>
  <sheetViews>
    <sheetView tabSelected="1" zoomScale="55" zoomScaleNormal="55" workbookViewId="0">
      <selection activeCell="T27" sqref="T27"/>
    </sheetView>
  </sheetViews>
  <sheetFormatPr defaultRowHeight="14.4" x14ac:dyDescent="0.3"/>
  <cols>
    <col min="1" max="1" width="14" bestFit="1" customWidth="1"/>
    <col min="2" max="2" width="19.88671875" style="44" bestFit="1" customWidth="1"/>
    <col min="3" max="3" width="22.21875" style="44" bestFit="1" customWidth="1"/>
  </cols>
  <sheetData>
    <row r="1" spans="1:3" x14ac:dyDescent="0.3">
      <c r="A1" t="s">
        <v>131</v>
      </c>
    </row>
    <row r="2" spans="1:3" x14ac:dyDescent="0.3">
      <c r="A2" t="s">
        <v>36</v>
      </c>
      <c r="B2" s="44" t="s">
        <v>133</v>
      </c>
      <c r="C2" s="44" t="s">
        <v>132</v>
      </c>
    </row>
    <row r="3" spans="1:3" x14ac:dyDescent="0.3">
      <c r="A3">
        <v>6682.87</v>
      </c>
      <c r="B3" s="44">
        <v>51088000</v>
      </c>
      <c r="C3" s="44">
        <v>1051088000</v>
      </c>
    </row>
    <row r="4" spans="1:3" x14ac:dyDescent="0.3">
      <c r="A4">
        <v>5847.51</v>
      </c>
      <c r="B4" s="44">
        <v>12772000</v>
      </c>
      <c r="C4" s="44">
        <v>1012772000</v>
      </c>
    </row>
    <row r="5" spans="1:3" x14ac:dyDescent="0.3">
      <c r="A5">
        <v>5624.75</v>
      </c>
      <c r="B5" s="44">
        <v>2554400</v>
      </c>
      <c r="C5" s="44">
        <v>1002554400</v>
      </c>
    </row>
    <row r="6" spans="1:3" x14ac:dyDescent="0.3">
      <c r="A6">
        <v>5569.06</v>
      </c>
      <c r="B6" s="44">
        <v>0</v>
      </c>
      <c r="C6" s="44">
        <v>1000000000</v>
      </c>
    </row>
    <row r="7" spans="1:3" x14ac:dyDescent="0.3">
      <c r="A7">
        <v>5513.37</v>
      </c>
      <c r="B7" s="44">
        <v>-2554400</v>
      </c>
      <c r="C7" s="44">
        <v>997445600</v>
      </c>
    </row>
    <row r="8" spans="1:3" x14ac:dyDescent="0.3">
      <c r="A8">
        <v>5290.61</v>
      </c>
      <c r="B8" s="44">
        <v>-12772000</v>
      </c>
      <c r="C8" s="44">
        <v>987228000</v>
      </c>
    </row>
    <row r="9" spans="1:3" x14ac:dyDescent="0.3">
      <c r="A9">
        <v>4455.25</v>
      </c>
      <c r="B9" s="44">
        <v>-51088000</v>
      </c>
      <c r="C9" s="44">
        <v>948912000</v>
      </c>
    </row>
    <row r="11" spans="1:3" x14ac:dyDescent="0.3">
      <c r="A11" t="s">
        <v>135</v>
      </c>
    </row>
    <row r="12" spans="1:3" x14ac:dyDescent="0.3">
      <c r="A12" t="s">
        <v>36</v>
      </c>
      <c r="B12" s="44" t="s">
        <v>133</v>
      </c>
      <c r="C12" s="44" t="s">
        <v>134</v>
      </c>
    </row>
    <row r="13" spans="1:3" x14ac:dyDescent="0.3">
      <c r="A13">
        <v>6682.87</v>
      </c>
      <c r="B13" s="44">
        <v>-35971</v>
      </c>
      <c r="C13" s="44">
        <v>999964029</v>
      </c>
    </row>
    <row r="14" spans="1:3" x14ac:dyDescent="0.3">
      <c r="A14">
        <v>5847.51</v>
      </c>
      <c r="B14" s="44">
        <v>-8855</v>
      </c>
      <c r="C14" s="44">
        <v>999991145</v>
      </c>
    </row>
    <row r="15" spans="1:3" x14ac:dyDescent="0.3">
      <c r="A15">
        <v>5624.75</v>
      </c>
      <c r="B15" s="44">
        <v>-1771</v>
      </c>
      <c r="C15" s="44">
        <v>999998229</v>
      </c>
    </row>
    <row r="16" spans="1:3" x14ac:dyDescent="0.3">
      <c r="A16">
        <v>5569.06</v>
      </c>
      <c r="B16" s="44">
        <v>0</v>
      </c>
      <c r="C16" s="44">
        <v>1000000000</v>
      </c>
    </row>
    <row r="17" spans="1:3" x14ac:dyDescent="0.3">
      <c r="A17">
        <v>5513.37</v>
      </c>
      <c r="B17" s="44">
        <v>1771</v>
      </c>
      <c r="C17" s="44">
        <v>1000001771</v>
      </c>
    </row>
    <row r="18" spans="1:3" x14ac:dyDescent="0.3">
      <c r="A18">
        <v>5290.61</v>
      </c>
      <c r="B18" s="44">
        <v>8855</v>
      </c>
      <c r="C18" s="44">
        <v>1000008855</v>
      </c>
    </row>
    <row r="19" spans="1:3" x14ac:dyDescent="0.3">
      <c r="A19">
        <v>4455.25</v>
      </c>
      <c r="B19" s="44">
        <v>35879</v>
      </c>
      <c r="C19" s="44">
        <v>1000035879</v>
      </c>
    </row>
    <row r="21" spans="1:3" x14ac:dyDescent="0.3">
      <c r="A21" t="s">
        <v>136</v>
      </c>
    </row>
    <row r="22" spans="1:3" x14ac:dyDescent="0.3">
      <c r="A22" t="s">
        <v>36</v>
      </c>
      <c r="B22" s="44" t="s">
        <v>133</v>
      </c>
      <c r="C22" s="44" t="s">
        <v>134</v>
      </c>
    </row>
    <row r="23" spans="1:3" x14ac:dyDescent="0.3">
      <c r="A23">
        <v>6682.87</v>
      </c>
      <c r="B23">
        <v>49217575</v>
      </c>
      <c r="C23">
        <v>1049217575</v>
      </c>
    </row>
    <row r="24" spans="1:3" x14ac:dyDescent="0.3">
      <c r="A24">
        <v>5847.51</v>
      </c>
      <c r="B24">
        <v>10901575</v>
      </c>
      <c r="C24">
        <v>1010901575</v>
      </c>
    </row>
    <row r="25" spans="1:3" x14ac:dyDescent="0.3">
      <c r="A25">
        <v>5624.75</v>
      </c>
      <c r="B25">
        <v>683975</v>
      </c>
      <c r="C25">
        <v>1000683975</v>
      </c>
    </row>
    <row r="26" spans="1:3" x14ac:dyDescent="0.3">
      <c r="A26">
        <v>5569.06</v>
      </c>
      <c r="B26">
        <v>-1870425</v>
      </c>
      <c r="C26">
        <v>998129575</v>
      </c>
    </row>
    <row r="27" spans="1:3" x14ac:dyDescent="0.3">
      <c r="A27">
        <v>5513.37</v>
      </c>
      <c r="B27">
        <v>-2743508</v>
      </c>
      <c r="C27">
        <v>997256492</v>
      </c>
    </row>
    <row r="28" spans="1:3" x14ac:dyDescent="0.3">
      <c r="A28">
        <v>5290.61</v>
      </c>
      <c r="B28">
        <v>-2736424</v>
      </c>
      <c r="C28">
        <v>997263576</v>
      </c>
    </row>
    <row r="29" spans="1:3" x14ac:dyDescent="0.3">
      <c r="A29">
        <v>4455.25</v>
      </c>
      <c r="B29">
        <v>-2709400</v>
      </c>
      <c r="C29">
        <v>997290600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Data</vt:lpstr>
      <vt:lpstr>Market Holidays</vt:lpstr>
      <vt:lpstr>Hang Seng Index Beta</vt:lpstr>
      <vt:lpstr>FTSE China 50 Beta</vt:lpstr>
      <vt:lpstr>HS Tech Beta</vt:lpstr>
      <vt:lpstr>Hang Seng CEI Beta</vt:lpstr>
      <vt:lpstr>Hang Seng CCI Beta</vt:lpstr>
      <vt:lpstr>Portfolio Beta</vt:lpstr>
      <vt:lpstr>$ Portfolio Loss</vt:lpstr>
      <vt:lpstr>$ Portfolio VaR</vt:lpstr>
      <vt:lpstr>$ Portfolio VaR monte carlo</vt:lpstr>
      <vt:lpstr>Portfolio VaR and ES Analysis</vt:lpstr>
      <vt:lpstr>Hedging Outcome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 Theunissen</dc:creator>
  <cp:lastModifiedBy>WA YEE SIONG</cp:lastModifiedBy>
  <dcterms:created xsi:type="dcterms:W3CDTF">2008-12-21T22:40:24Z</dcterms:created>
  <dcterms:modified xsi:type="dcterms:W3CDTF">2025-07-01T07:36:46Z</dcterms:modified>
</cp:coreProperties>
</file>